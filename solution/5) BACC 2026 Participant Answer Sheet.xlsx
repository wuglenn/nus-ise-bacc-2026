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Q1a" sheetId="1" state="visible" r:id="rId1"/>
    <sheet xmlns:r="http://schemas.openxmlformats.org/officeDocument/2006/relationships" name="data" sheetId="2" state="hidden" r:id="rId2"/>
    <sheet xmlns:r="http://schemas.openxmlformats.org/officeDocument/2006/relationships" name="Q1b" sheetId="3" state="visible" r:id="rId3"/>
    <sheet xmlns:r="http://schemas.openxmlformats.org/officeDocument/2006/relationships" name="Input Data + Q2" sheetId="4" state="visible" r:id="rId4"/>
  </sheets>
  <definedNames>
    <definedName name="_msoanchor_1">#REF!</definedName>
    <definedName name="_msoanchor_2">#REF!</definedName>
    <definedName name="_xlnm._FilterDatabase" localSheetId="0" hidden="1">'Q1a'!$AA$7:$AO$1039</definedName>
    <definedName name="_xlnm._FilterDatabase" localSheetId="1" hidden="1">'data'!$G$2:$O$45</definedName>
    <definedName name="_xlnm._FilterDatabase" localSheetId="2" hidden="1">'Q1b'!$AA$7:$AO$1039</definedName>
    <definedName name="_msoanchor_1" localSheetId="3">'Input Data + Q2'!$X$29</definedName>
    <definedName name="_msoanchor_2" localSheetId="3">'Input Data + Q2'!$D$39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0.0,,&quot;M&quot;"/>
    <numFmt numFmtId="165" formatCode="&quot;$&quot;#,##0"/>
  </numFmts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ptos"/>
      <charset val="1"/>
      <family val="2"/>
      <color rgb="FF000000"/>
      <sz val="12"/>
    </font>
    <font>
      <name val="Aptos"/>
      <family val="2"/>
      <color rgb="FF000000"/>
      <sz val="12"/>
    </font>
    <font>
      <name val="Calibri"/>
      <family val="2"/>
      <color rgb="FF000000"/>
      <sz val="11"/>
      <scheme val="minor"/>
    </font>
    <font>
      <name val="Aptos Narrow"/>
      <family val="2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sz val="8"/>
      <scheme val="minor"/>
    </font>
    <font>
      <name val="Calibri"/>
      <family val="2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3FEFF"/>
        <bgColor indexed="64"/>
      </patternFill>
    </fill>
    <fill>
      <patternFill patternType="solid">
        <fgColor rgb="FF99FF3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9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1" fillId="0" borderId="0" pivotButton="0" quotePrefix="0" xfId="1"/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6" fillId="0" borderId="3" pivotButton="0" quotePrefix="0" xfId="0"/>
    <xf numFmtId="2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2" fontId="0" fillId="0" borderId="7" applyAlignment="1" pivotButton="0" quotePrefix="0" xfId="0">
      <alignment horizontal="center" vertical="center"/>
    </xf>
    <xf numFmtId="2" fontId="0" fillId="0" borderId="8" applyAlignment="1" pivotButton="0" quotePrefix="0" xfId="0">
      <alignment horizontal="center" vertical="center"/>
    </xf>
    <xf numFmtId="2" fontId="0" fillId="0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2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9" fontId="0" fillId="0" borderId="1" applyAlignment="1" pivotButton="0" quotePrefix="0" xfId="0">
      <alignment horizontal="center"/>
    </xf>
    <xf numFmtId="0" fontId="7" fillId="2" borderId="12" pivotButton="0" quotePrefix="0" xfId="0"/>
    <xf numFmtId="0" fontId="7" fillId="2" borderId="11" applyAlignment="1" pivotButton="0" quotePrefix="0" xfId="0">
      <alignment horizontal="center" vertical="center"/>
    </xf>
    <xf numFmtId="0" fontId="7" fillId="2" borderId="11" pivotButton="0" quotePrefix="0" xfId="0"/>
    <xf numFmtId="0" fontId="7" fillId="2" borderId="10" applyAlignment="1" pivotButton="0" quotePrefix="0" xfId="0">
      <alignment horizontal="center" vertical="center"/>
    </xf>
    <xf numFmtId="0" fontId="5" fillId="0" borderId="3" pivotButton="0" quotePrefix="0" xfId="0"/>
    <xf numFmtId="0" fontId="0" fillId="0" borderId="3" applyAlignment="1" pivotButton="0" quotePrefix="0" xfId="0">
      <alignment horizontal="center"/>
    </xf>
    <xf numFmtId="2" fontId="4" fillId="0" borderId="3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6" borderId="0" pivotButton="0" quotePrefix="0" xfId="0"/>
    <xf numFmtId="0" fontId="6" fillId="8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5" fontId="9" fillId="9" borderId="0" applyAlignment="1" pivotButton="0" quotePrefix="0" xfId="0">
      <alignment horizontal="center"/>
    </xf>
    <xf numFmtId="0" fontId="8" fillId="0" borderId="0" pivotButton="0" quotePrefix="0" xfId="0"/>
    <xf numFmtId="0" fontId="10" fillId="0" borderId="0" applyAlignment="1" pivotButton="0" quotePrefix="0" xfId="0">
      <alignment horizontal="right"/>
    </xf>
    <xf numFmtId="9" fontId="4" fillId="0" borderId="3" applyAlignment="1" pivotButton="0" quotePrefix="0" xfId="0">
      <alignment horizontal="center"/>
    </xf>
    <xf numFmtId="2" fontId="4" fillId="0" borderId="17" applyAlignment="1" pivotButton="0" quotePrefix="0" xfId="0">
      <alignment horizontal="center"/>
    </xf>
    <xf numFmtId="2" fontId="0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6" applyAlignment="1" pivotButton="0" quotePrefix="0" xfId="0">
      <alignment horizontal="center"/>
    </xf>
    <xf numFmtId="0" fontId="0" fillId="3" borderId="9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0" fontId="0" fillId="4" borderId="9" applyAlignment="1" pivotButton="0" quotePrefix="0" xfId="0">
      <alignment horizontal="center"/>
    </xf>
    <xf numFmtId="0" fontId="10" fillId="8" borderId="13" applyAlignment="1" pivotButton="0" quotePrefix="0" xfId="0">
      <alignment horizontal="center"/>
    </xf>
    <xf numFmtId="0" fontId="0" fillId="2" borderId="17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/>
    </xf>
    <xf numFmtId="0" fontId="11" fillId="7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wrapText="1"/>
    </xf>
    <xf numFmtId="0" fontId="7" fillId="6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8" borderId="13" applyAlignment="1" pivotButton="0" quotePrefix="0" xfId="0">
      <alignment horizontal="center"/>
    </xf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9" pivotButton="0" quotePrefix="0" xfId="0"/>
    <xf numFmtId="0" fontId="0" fillId="3" borderId="3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0" borderId="22" pivotButton="0" quotePrefix="0" xfId="0"/>
    <xf numFmtId="0" fontId="0" fillId="0" borderId="7" pivotButton="0" quotePrefix="0" xfId="0"/>
  </cellXfs>
  <cellStyles count="2">
    <cellStyle name="Normal" xfId="0" builtinId="0"/>
    <cellStyle name="Hyperlink" xfId="1" builtinId="8"/>
  </cellStyles>
  <dxfs count="6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  <dxf>
      <font>
        <color rgb="FFC00000"/>
      </font>
      <fill>
        <patternFill>
          <bgColor theme="5" tint="0.7999816888943144"/>
        </patternFill>
      </fill>
    </dxf>
    <dxf>
      <font>
        <color rgb="FF008000"/>
      </font>
      <fill>
        <patternFill>
          <bgColor theme="9" tint="0.7999816888943144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39"/>
  <sheetViews>
    <sheetView tabSelected="1" zoomScaleNormal="100" workbookViewId="0">
      <selection activeCell="A1" sqref="A1:C3"/>
    </sheetView>
  </sheetViews>
  <sheetFormatPr baseColWidth="8" defaultRowHeight="15" customHeight="1"/>
  <cols>
    <col width="24.265625" bestFit="1" customWidth="1" min="1" max="1"/>
    <col width="10.46484375" bestFit="1" customWidth="1" min="2" max="2"/>
    <col width="16.46484375" bestFit="1" customWidth="1" min="3" max="5"/>
    <col width="11.46484375" customWidth="1" min="6" max="8"/>
    <col width="23.265625" customWidth="1" min="11" max="11"/>
    <col width="7.9296875" customWidth="1" min="12" max="12"/>
    <col width="11.53125" customWidth="1" style="8" min="15" max="17"/>
    <col width="11.53125" customWidth="1" style="30" min="18" max="18"/>
    <col width="13.53125" customWidth="1" min="19" max="19"/>
    <col width="16.796875" bestFit="1" customWidth="1" min="20" max="20"/>
    <col width="12.73046875" customWidth="1" min="22" max="22"/>
    <col width="21" bestFit="1" customWidth="1" min="23" max="23"/>
    <col width="21.53125" bestFit="1" customWidth="1" min="24" max="24"/>
    <col width="18.06640625" customWidth="1" min="25" max="25"/>
    <col outlineLevel="1" width="8.73046875" customWidth="1" min="27" max="41"/>
    <col width="27.265625" customWidth="1" min="42" max="42"/>
  </cols>
  <sheetData>
    <row r="1" ht="15" customHeight="1">
      <c r="A1" s="80" t="inlineStr">
        <is>
          <t>Do not modify anything in this sheet except for the answer area</t>
        </is>
      </c>
      <c r="F1" s="84" t="inlineStr">
        <is>
          <t>Space available</t>
        </is>
      </c>
      <c r="M1" t="inlineStr">
        <is>
          <t xml:space="preserve">Quarter  </t>
        </is>
      </c>
      <c r="N1" t="inlineStr">
        <is>
          <t>Q1’26</t>
        </is>
      </c>
      <c r="O1" t="inlineStr">
        <is>
          <t>Q2’26</t>
        </is>
      </c>
      <c r="P1" t="inlineStr">
        <is>
          <t>Q3’26</t>
        </is>
      </c>
      <c r="Q1" t="inlineStr">
        <is>
          <t>Q4’26</t>
        </is>
      </c>
      <c r="R1" t="inlineStr">
        <is>
          <t>Q1’27</t>
        </is>
      </c>
      <c r="S1" t="inlineStr">
        <is>
          <t>Q2’27</t>
        </is>
      </c>
      <c r="T1" t="inlineStr">
        <is>
          <t>Q3’27</t>
        </is>
      </c>
      <c r="U1" t="inlineStr">
        <is>
          <t>Q4’27</t>
        </is>
      </c>
    </row>
    <row r="2" ht="15" customHeight="1">
      <c r="F2" s="78" t="inlineStr">
        <is>
          <t>Fab 1</t>
        </is>
      </c>
      <c r="G2" s="78" t="inlineStr">
        <is>
          <t xml:space="preserve">Fab 2 </t>
        </is>
      </c>
      <c r="H2" s="78" t="inlineStr">
        <is>
          <t xml:space="preserve">Fab 3 </t>
        </is>
      </c>
      <c r="K2" s="62" t="inlineStr">
        <is>
          <t>Total costs over 8 quarters</t>
        </is>
      </c>
      <c r="L2" s="8" t="n"/>
      <c r="M2" s="2" t="inlineStr">
        <is>
          <t xml:space="preserve">Node 1 </t>
        </is>
      </c>
      <c r="N2" s="43" t="n">
        <v>12000</v>
      </c>
      <c r="O2" s="43" t="n">
        <v>10000</v>
      </c>
      <c r="P2" s="43" t="n">
        <v>8500</v>
      </c>
      <c r="Q2" s="43" t="n">
        <v>7500</v>
      </c>
      <c r="R2" s="43" t="n">
        <v>6000</v>
      </c>
      <c r="S2" s="43" t="n">
        <v>5000</v>
      </c>
      <c r="T2" s="43" t="n">
        <v>4000</v>
      </c>
      <c r="U2" s="43" t="n">
        <v>2000</v>
      </c>
      <c r="AP2" s="82" t="inlineStr">
        <is>
          <t>All capacity ok?</t>
        </is>
      </c>
    </row>
    <row r="3" ht="15" customHeight="1">
      <c r="F3" s="61" t="n">
        <v>1500</v>
      </c>
      <c r="G3" s="61" t="n">
        <v>1300</v>
      </c>
      <c r="H3" s="61" t="n">
        <v>700</v>
      </c>
      <c r="J3" s="65" t="inlineStr">
        <is>
          <t>minimize this -&gt;</t>
        </is>
      </c>
      <c r="K3" s="63">
        <f>F23+F35+F47+F59+F71+F83+F95+F25+F37+F49+F61+F73+F85+F97+Y6</f>
        <v/>
      </c>
      <c r="L3" s="60" t="n"/>
      <c r="M3" s="3" t="inlineStr">
        <is>
          <t xml:space="preserve">Node 2 </t>
        </is>
      </c>
      <c r="N3" s="43" t="n">
        <v>5000</v>
      </c>
      <c r="O3" s="43" t="n">
        <v>5200</v>
      </c>
      <c r="P3" s="43" t="n">
        <v>5400</v>
      </c>
      <c r="Q3" s="43" t="n">
        <v>5600</v>
      </c>
      <c r="R3" s="43" t="n">
        <v>6000</v>
      </c>
      <c r="S3" s="43" t="n">
        <v>6500</v>
      </c>
      <c r="T3" s="43" t="n">
        <v>7000</v>
      </c>
      <c r="U3" s="43" t="n">
        <v>7500</v>
      </c>
      <c r="AP3">
        <f>AND(AU8:BB25)</f>
        <v/>
      </c>
      <c r="AQ3" s="64" t="inlineStr">
        <is>
          <t>&lt;- make sure its green</t>
        </is>
      </c>
    </row>
    <row r="4" ht="15" customHeight="1">
      <c r="A4" t="inlineStr">
        <is>
          <t>All constraints fulfilled?</t>
        </is>
      </c>
      <c r="B4">
        <f>AND(K7,V8,AP3)</f>
        <v/>
      </c>
      <c r="C4" s="64" t="inlineStr">
        <is>
          <t>&lt;- make sure its green</t>
        </is>
      </c>
      <c r="M4" s="4" t="inlineStr">
        <is>
          <t xml:space="preserve">Node 3 </t>
        </is>
      </c>
      <c r="N4" s="43" t="n">
        <v>3000</v>
      </c>
      <c r="O4" s="43" t="n">
        <v>4500</v>
      </c>
      <c r="P4" s="43" t="n">
        <v>7000</v>
      </c>
      <c r="Q4" s="43" t="n">
        <v>8000</v>
      </c>
      <c r="R4" s="43" t="n">
        <v>9000</v>
      </c>
      <c r="S4" s="43" t="n">
        <v>11000</v>
      </c>
      <c r="T4" s="43" t="n">
        <v>13000</v>
      </c>
      <c r="U4" s="43" t="n">
        <v>16000</v>
      </c>
    </row>
    <row r="5" ht="15" customHeight="1">
      <c r="K5" s="60" t="n"/>
      <c r="O5" s="8">
        <f>ROUNDUP(45*O2/10080/0.84,0)</f>
        <v/>
      </c>
      <c r="P5" s="8">
        <f>ROUNDUP(45*P2/10080/0.84,0)</f>
        <v/>
      </c>
      <c r="Q5" s="8">
        <f>ROUNDUP(45*Q2/10080/0.84,0)</f>
        <v/>
      </c>
      <c r="R5" s="8">
        <f>ROUNDUP(45*R2/10080/0.84,0)</f>
        <v/>
      </c>
      <c r="S5" s="8">
        <f>ROUNDUP(45*S2/10080/0.84,0)</f>
        <v/>
      </c>
      <c r="T5" s="8">
        <f>ROUNDUP(45*T2/10080/0.84,0)</f>
        <v/>
      </c>
      <c r="AU5" s="82" t="inlineStr">
        <is>
          <t>Enough mintech + TOR tools to run the assigned loading?</t>
        </is>
      </c>
    </row>
    <row r="6" ht="14.55" customHeight="1">
      <c r="C6" s="87" t="inlineStr">
        <is>
          <t>Tooling plan (to fill)</t>
        </is>
      </c>
      <c r="D6" s="88" t="n"/>
      <c r="E6" s="88" t="n"/>
      <c r="F6" s="82" t="inlineStr">
        <is>
          <t>Solution Validation</t>
        </is>
      </c>
      <c r="K6" t="inlineStr">
        <is>
          <t>All space within limit?</t>
        </is>
      </c>
      <c r="O6" s="86" t="inlineStr">
        <is>
          <t>Node Wafer Stepflow Distribution for each fab for each quarter</t>
        </is>
      </c>
      <c r="T6" s="82" t="inlineStr">
        <is>
          <t>Solution Validation</t>
        </is>
      </c>
      <c r="V6" s="81" t="inlineStr">
        <is>
          <t>All loading fulfilled?</t>
        </is>
      </c>
      <c r="X6" t="inlineStr">
        <is>
          <t>Total transfer costs:</t>
        </is>
      </c>
      <c r="Y6" s="83">
        <f>SUM(_xlfn.ANCHORARRAY(Y8))</f>
        <v/>
      </c>
      <c r="AB6" s="84" t="inlineStr">
        <is>
          <t>mintech</t>
        </is>
      </c>
      <c r="AC6" s="84" t="inlineStr">
        <is>
          <t>TOR</t>
        </is>
      </c>
      <c r="AD6" s="84" t="inlineStr">
        <is>
          <t>mintech</t>
        </is>
      </c>
      <c r="AE6" s="84" t="inlineStr">
        <is>
          <t>TOR</t>
        </is>
      </c>
      <c r="AF6" s="84" t="inlineStr">
        <is>
          <t>mintech</t>
        </is>
      </c>
      <c r="AG6" s="84" t="inlineStr">
        <is>
          <t>TOR</t>
        </is>
      </c>
      <c r="AH6" s="84" t="inlineStr">
        <is>
          <t>mintech</t>
        </is>
      </c>
      <c r="AI6" s="84" t="inlineStr">
        <is>
          <t>TOR</t>
        </is>
      </c>
      <c r="AJ6" s="84" t="inlineStr">
        <is>
          <t>mintech</t>
        </is>
      </c>
      <c r="AK6" s="84" t="inlineStr">
        <is>
          <t>mintech</t>
        </is>
      </c>
      <c r="AL6" s="84" t="inlineStr">
        <is>
          <t>TOR</t>
        </is>
      </c>
      <c r="AM6" s="84" t="inlineStr">
        <is>
          <t>mintech</t>
        </is>
      </c>
      <c r="AN6" s="84" t="inlineStr">
        <is>
          <t>mintech</t>
        </is>
      </c>
      <c r="AO6" s="84" t="inlineStr">
        <is>
          <t>TOR</t>
        </is>
      </c>
      <c r="AP6" s="81" t="inlineStr">
        <is>
          <t>Enough mintech + TOR tools to run the assigned loading?</t>
        </is>
      </c>
    </row>
    <row r="7" ht="14.25" customHeight="1">
      <c r="B7" s="36" t="inlineStr">
        <is>
          <t xml:space="preserve"> WS Name</t>
        </is>
      </c>
      <c r="C7" s="36" t="inlineStr">
        <is>
          <t>Fab 1 - WS Count</t>
        </is>
      </c>
      <c r="D7" s="36" t="inlineStr">
        <is>
          <t>Fab 2 - WS Count</t>
        </is>
      </c>
      <c r="E7" s="36" t="inlineStr">
        <is>
          <t>Fab 3 - WS Count</t>
        </is>
      </c>
      <c r="F7" s="44" t="inlineStr">
        <is>
          <t>Fab 1 space</t>
        </is>
      </c>
      <c r="G7" s="44" t="inlineStr">
        <is>
          <t>Fab 2 space</t>
        </is>
      </c>
      <c r="H7" s="44" t="inlineStr">
        <is>
          <t>Fab 3 space</t>
        </is>
      </c>
      <c r="K7">
        <f t="array" ref="K7">AND(F8:H8&lt;$F$3:$H$3,F20:H20&lt;$F$3:$H$3,F32:H32&lt;$F$3:$H$3,F44:H44&lt;$F$3:$H$3,F56:H56&lt;$F$3:$H$3,F68:H68&lt;$F$3:$H$3,F80:H80&lt;$F$3:$H$3,F92:H92&lt;$F$3:$H$3)</f>
        <v/>
      </c>
      <c r="O7" s="39" t="inlineStr">
        <is>
          <t>Quarter</t>
        </is>
      </c>
      <c r="P7" s="37" t="inlineStr">
        <is>
          <t>Node</t>
        </is>
      </c>
      <c r="Q7" s="37" t="inlineStr">
        <is>
          <t>Step</t>
        </is>
      </c>
      <c r="R7" s="37" t="inlineStr">
        <is>
          <t>Fab</t>
        </is>
      </c>
      <c r="S7" s="38" t="inlineStr">
        <is>
          <t>Loading (to fill)</t>
        </is>
      </c>
      <c r="T7" s="82" t="inlineStr">
        <is>
          <t>Loading fulfilled?</t>
        </is>
      </c>
      <c r="X7" s="84" t="inlineStr">
        <is>
          <t>Cross-fab transfer count</t>
        </is>
      </c>
      <c r="Y7" t="inlineStr">
        <is>
          <t>Transfer costs</t>
        </is>
      </c>
      <c r="AA7" t="inlineStr">
        <is>
          <t>Mintech preference rank</t>
        </is>
      </c>
      <c r="AB7" t="inlineStr">
        <is>
          <t>WS (mintech)</t>
        </is>
      </c>
      <c r="AC7" t="inlineStr">
        <is>
          <t>WS (TOR)</t>
        </is>
      </c>
      <c r="AD7" t="inlineStr">
        <is>
          <t>RPT (mintech)</t>
        </is>
      </c>
      <c r="AE7" t="inlineStr">
        <is>
          <t>RPT (TOR)</t>
        </is>
      </c>
      <c r="AF7" t="inlineStr">
        <is>
          <t>Util (mintech)</t>
        </is>
      </c>
      <c r="AG7" t="inlineStr">
        <is>
          <t>Util (TOR)</t>
        </is>
      </c>
      <c r="AH7" t="inlineStr">
        <is>
          <t>Tool requirement if running on mintech</t>
        </is>
      </c>
      <c r="AI7" t="inlineStr">
        <is>
          <t>Tool requirement if running on TOR</t>
        </is>
      </c>
      <c r="AJ7" t="inlineStr">
        <is>
          <t>Cumulative mintech req</t>
        </is>
      </c>
      <c r="AK7" t="inlineStr">
        <is>
          <t>Available mintech tools</t>
        </is>
      </c>
      <c r="AL7" t="inlineStr">
        <is>
          <t>Available TOR tools</t>
        </is>
      </c>
      <c r="AM7" t="inlineStr">
        <is>
          <t>Overflow cumreq</t>
        </is>
      </c>
      <c r="AN7" t="inlineStr">
        <is>
          <t>Req on mintech</t>
        </is>
      </c>
      <c r="AO7" t="inlineStr">
        <is>
          <t>Req on TOR</t>
        </is>
      </c>
      <c r="AR7" s="84" t="inlineStr">
        <is>
          <t>Fab</t>
        </is>
      </c>
      <c r="AU7" t="inlineStr">
        <is>
          <t>Q1’26</t>
        </is>
      </c>
      <c r="AV7" t="inlineStr">
        <is>
          <t>Q2’26</t>
        </is>
      </c>
      <c r="AW7" t="inlineStr">
        <is>
          <t>Q3’26</t>
        </is>
      </c>
      <c r="AX7" t="inlineStr">
        <is>
          <t>Q4’26</t>
        </is>
      </c>
      <c r="AY7" t="inlineStr">
        <is>
          <t>Q1’27</t>
        </is>
      </c>
      <c r="AZ7" t="inlineStr">
        <is>
          <t>Q2’27</t>
        </is>
      </c>
      <c r="BA7" t="inlineStr">
        <is>
          <t>Q3’27</t>
        </is>
      </c>
      <c r="BB7" t="inlineStr">
        <is>
          <t>Q4’27</t>
        </is>
      </c>
    </row>
    <row r="8" ht="14.55" customHeight="1">
      <c r="A8" s="85" t="inlineStr">
        <is>
          <t>WS Component for Q1’26</t>
        </is>
      </c>
      <c r="B8" s="31" t="inlineStr">
        <is>
          <t>A</t>
        </is>
      </c>
      <c r="C8" s="43" t="n">
        <v>50</v>
      </c>
      <c r="D8" s="43" t="n">
        <v>35</v>
      </c>
      <c r="E8" s="43" t="n">
        <v>0</v>
      </c>
      <c r="F8">
        <f t="array" ref="F8">SUM(C8:C19*data!$B$3:$B$14)</f>
        <v/>
      </c>
      <c r="G8">
        <f t="array" ref="G8">SUM(D8:D19*data!$B$3:$B$14)</f>
        <v/>
      </c>
      <c r="H8">
        <f t="array" ref="H8">SUM(E8:E19*data!$B$3:$B$14)</f>
        <v/>
      </c>
      <c r="I8" s="64" t="inlineStr">
        <is>
          <t>&lt;- make sure its green</t>
        </is>
      </c>
      <c r="O8" s="43" t="inlineStr">
        <is>
          <t>Q1’26</t>
        </is>
      </c>
      <c r="P8" s="43" t="n">
        <v>1</v>
      </c>
      <c r="Q8" s="43" t="n">
        <v>1</v>
      </c>
      <c r="R8" s="43" t="n">
        <v>1</v>
      </c>
      <c r="S8" s="45" t="n">
        <v>5350.094054513936</v>
      </c>
      <c r="T8">
        <f>(S8+S9+S10)=N2</f>
        <v/>
      </c>
      <c r="V8">
        <f>AND(T8:T1039)</f>
        <v/>
      </c>
      <c r="W8" s="64" t="inlineStr">
        <is>
          <t>&lt;- make sure its green</t>
        </is>
      </c>
      <c r="X8" s="84" t="n">
        <v>0</v>
      </c>
      <c r="Y8" s="83">
        <f t="array" ref="Y8:Y1039">X8:X1039*50*13</f>
        <v/>
      </c>
      <c r="AA8" s="84" t="n">
        <v>4</v>
      </c>
      <c r="AB8" s="84" t="inlineStr">
        <is>
          <t>D</t>
        </is>
      </c>
      <c r="AC8" s="84" t="inlineStr">
        <is>
          <t>D+</t>
        </is>
      </c>
      <c r="AD8" s="84" t="n">
        <v>14</v>
      </c>
      <c r="AE8" s="84" t="n">
        <v>12</v>
      </c>
      <c r="AF8" s="84" t="n">
        <v>0.8</v>
      </c>
      <c r="AG8" s="84" t="n">
        <v>0.88</v>
      </c>
      <c r="AH8" s="84">
        <f t="array" ref="AH8:AH1039">$S8:$S1039*AD8:AD1039/10080/AF8:AF1039</f>
        <v/>
      </c>
      <c r="AI8" s="84">
        <f t="array" ref="AI8:AI1039">$S8:$S1039*AE8:AE1039/10080/AG8:AG1039</f>
        <v/>
      </c>
      <c r="AJ8" s="84">
        <f>SUMIFS(AH$8:AH$1039,$O$8:$O$1039,O8,$AB$8:$AB$1039,AB8,$R$8:$R$1039,R8,$AA$8:$AA$1039,"&lt;="&amp;AA8)</f>
        <v/>
      </c>
      <c r="AK8" s="84">
        <f>C11</f>
        <v/>
      </c>
      <c r="AL8" s="84">
        <f>C17</f>
        <v/>
      </c>
      <c r="AM8" s="84">
        <f>MAX(0,AJ8-AK8)</f>
        <v/>
      </c>
      <c r="AN8" s="84">
        <f>IF(AM8=0,AH8,IF(AM8&gt;=AH8,0,AH8-AM8))</f>
        <v/>
      </c>
      <c r="AO8" s="84">
        <f>IF(AM8&gt;=AH8,AI8,AI8*AM8/AH8)</f>
        <v/>
      </c>
      <c r="AP8">
        <f t="array" ref="AP8">INDEX($AU$8:$BB$25,6*(R8-1)+MATCH(AB8,$AS$8:$AS$13,0),MATCH(O8,$AU$7:$BB$7,0))</f>
        <v/>
      </c>
      <c r="AR8" s="84" t="n">
        <v>1</v>
      </c>
      <c r="AS8" s="84" t="inlineStr">
        <is>
          <t>A</t>
        </is>
      </c>
      <c r="AT8" s="84" t="inlineStr">
        <is>
          <t>A+</t>
        </is>
      </c>
      <c r="AU8">
        <f>AND(SUMIFS($AN$8:$AN$1039,$O$8:$O$1039,AU7,$AB$8:$AB$1039,AS8,$R$8:$R$1039,AR8)&lt;=C8,SUMIFS($AO$8:$AO$1039,$O$8:$O$1039,AU7,$AB$8:$AB$1039,AS8,$R$8:$R$1039,AR8)&lt;=C14)</f>
        <v/>
      </c>
      <c r="AV8">
        <f>AND(SUMIFS($AN$8:$AN$1039,$O$8:$O$1039,AV7,$AB$8:$AB$1039,AS8,$R$8:$R$1039,AR8)&lt;=C20,SUMIFS($AO$8:$AO$1039,$O$8:$O$1039,AV7,$AB$8:$AB$1039,AS8,$R$8:$R$1039,AR8)&lt;=C26)</f>
        <v/>
      </c>
      <c r="AW8">
        <f>AND(SUMIFS($AN$8:$AN$1039,$O$8:$O$1039,AW7,$AB$8:$AB$1039,AS8,$R$8:$R$1039,AR8)&lt;=C32,SUMIFS($AO$8:$AO$1039,$O$8:$O$1039,AW7,$AB$8:$AB$1039,AS8,$R$8:$R$1039,AR8)&lt;=C38)</f>
        <v/>
      </c>
      <c r="AX8">
        <f>AND(SUMIFS($AN$8:$AN$1039,$O$8:$O$1039,AX7,$AB$8:$AB$1039,AS8,$R$8:$R$1039,AR8)&lt;=C44,SUMIFS($AO$8:$AO$1039,$O$8:$O$1039,AX7,$AB$8:$AB$1039,AS8,$R$8:$R$1039,AR8)&lt;=C50)</f>
        <v/>
      </c>
      <c r="AY8">
        <f>AND(SUMIFS($AN$8:$AN$1039,$O$8:$O$1039,AY7,$AB$8:$AB$1039,AS8,$R$8:$R$1039,AR8)&lt;=C56,SUMIFS($AO$8:$AO$1039,$O$8:$O$1039,AY7,$AB$8:$AB$1039,AS8,$R$8:$R$1039,AR8)&lt;=C62)</f>
        <v/>
      </c>
      <c r="AZ8">
        <f>AND(SUMIFS($AN$8:$AN$1039,$O$8:$O$1039,AZ7,$AB$8:$AB$1039,AS8,$R$8:$R$1039,AR8)&lt;=C68,SUMIFS($AO$8:$AO$1039,$O$8:$O$1039,AZ7,$AB$8:$AB$1039,AS8,$R$8:$R$1039,AR8)&lt;=C74)</f>
        <v/>
      </c>
      <c r="BA8">
        <f>AND(SUMIFS($AN$8:$AN$1039,$O$8:$O$1039,BA7,$AB$8:$AB$1039,AS8,$R$8:$R$1039,AR8)&lt;=C80,SUMIFS($AO$8:$AO$1039,$O$8:$O$1039,BA7,$AB$8:$AB$1039,AS8,$R$8:$R$1039,AR8)&lt;=C86)</f>
        <v/>
      </c>
      <c r="BB8">
        <f>AND(SUMIFS($AN$8:$AN$1039,$O$8:$O$1039,BB7,$AB$8:$AB$1039,AS8,$R$8:$R$1039,AR8)&lt;=C92,SUMIFS($AO$8:$AO$1039,$O$8:$O$1039,BB7,$AB$8:$AB$1039,AS8,$R$8:$R$1039,AR8)&lt;=C98)</f>
        <v/>
      </c>
    </row>
    <row r="9" ht="14.55" customHeight="1">
      <c r="B9" s="31" t="inlineStr">
        <is>
          <t>B</t>
        </is>
      </c>
      <c r="C9" s="43" t="n">
        <v>25</v>
      </c>
      <c r="D9" s="43" t="n">
        <v>30</v>
      </c>
      <c r="E9" s="43" t="n">
        <v>0</v>
      </c>
      <c r="O9" s="43" t="inlineStr">
        <is>
          <t>Q1’26</t>
        </is>
      </c>
      <c r="P9" s="43" t="n">
        <v>1</v>
      </c>
      <c r="Q9" s="43" t="n">
        <v>1</v>
      </c>
      <c r="R9" s="43" t="n">
        <v>2</v>
      </c>
      <c r="S9" s="45" t="n">
        <v>4148.622926618141</v>
      </c>
      <c r="T9">
        <f>(S8+S9+S10)=N2</f>
        <v/>
      </c>
      <c r="X9" s="84" t="n">
        <v>0</v>
      </c>
      <c r="Y9" s="83" t="n">
        <v>0</v>
      </c>
      <c r="AA9" s="84" t="n">
        <v>4</v>
      </c>
      <c r="AB9" s="84" t="inlineStr">
        <is>
          <t>D</t>
        </is>
      </c>
      <c r="AC9" s="84" t="inlineStr">
        <is>
          <t>D+</t>
        </is>
      </c>
      <c r="AD9" s="84" t="n">
        <v>14</v>
      </c>
      <c r="AE9" s="84" t="n">
        <v>12</v>
      </c>
      <c r="AF9" s="84" t="n">
        <v>0.8</v>
      </c>
      <c r="AG9" s="84" t="n">
        <v>0.88</v>
      </c>
      <c r="AH9" s="84" t="n">
        <v>0</v>
      </c>
      <c r="AI9" s="84" t="n">
        <v>0</v>
      </c>
      <c r="AJ9" s="84">
        <f>SUMIFS(AH$8:AH$1039,$O$8:$O$1039,O9,$AB$8:$AB$1039,AB9,$R$8:$R$1039,R9,$AA$8:$AA$1039,"&lt;="&amp;AA9)</f>
        <v/>
      </c>
      <c r="AK9" s="84">
        <f>D11</f>
        <v/>
      </c>
      <c r="AL9" s="84">
        <f>D17</f>
        <v/>
      </c>
      <c r="AM9" s="84">
        <f>MAX(0,AJ9-AK9)</f>
        <v/>
      </c>
      <c r="AN9" s="84">
        <f>IF(AM9=0,AH9,IF(AM9&gt;=AH9,0,AH9-AM9))</f>
        <v/>
      </c>
      <c r="AO9" s="84">
        <f>IF(AM9&gt;=AH9,AI9,AI9*AM9/AH9)</f>
        <v/>
      </c>
      <c r="AP9">
        <f t="array" ref="AP9">INDEX($AU$8:$BB$25,6*(R9-1)+MATCH(AB9,$AS$8:$AS$13,0),MATCH(O9,$AU$7:$BB$7,0))</f>
        <v/>
      </c>
      <c r="AR9" s="84" t="n">
        <v>1</v>
      </c>
      <c r="AS9" s="84" t="inlineStr">
        <is>
          <t>B</t>
        </is>
      </c>
      <c r="AT9" s="84" t="inlineStr">
        <is>
          <t>B+</t>
        </is>
      </c>
      <c r="AU9">
        <f>AND(SUMIFS($AN$8:$AN$1039,$O$8:$O$1039,AU7,$AB$8:$AB$1039,AS9,$R$8:$R$1039,AR9)&lt;=C9,SUMIFS($AO$8:$AO$1039,$O$8:$O$1039,AU7,$AB$8:$AB$1039,AS9,$R$8:$R$1039,AR9)&lt;=C15)</f>
        <v/>
      </c>
      <c r="AV9">
        <f>AND(SUMIFS($AN$8:$AN$1039,$O$8:$O$1039,AV7,$AB$8:$AB$1039,AS9,$R$8:$R$1039,AR9)&lt;=C21,SUMIFS($AO$8:$AO$1039,$O$8:$O$1039,AV7,$AB$8:$AB$1039,AS9,$R$8:$R$1039,AR9)&lt;=C27)</f>
        <v/>
      </c>
      <c r="AW9">
        <f>AND(SUMIFS($AN$8:$AN$1039,$O$8:$O$1039,AW7,$AB$8:$AB$1039,AS9,$R$8:$R$1039,AR9)&lt;=C33,SUMIFS($AO$8:$AO$1039,$O$8:$O$1039,AW7,$AB$8:$AB$1039,AS9,$R$8:$R$1039,AR9)&lt;=C39)</f>
        <v/>
      </c>
      <c r="AX9">
        <f>AND(SUMIFS($AN$8:$AN$1039,$O$8:$O$1039,AX7,$AB$8:$AB$1039,AS9,$R$8:$R$1039,AR9)&lt;=C45,SUMIFS($AO$8:$AO$1039,$O$8:$O$1039,AX7,$AB$8:$AB$1039,AS9,$R$8:$R$1039,AR9)&lt;=C51)</f>
        <v/>
      </c>
      <c r="AY9">
        <f>AND(SUMIFS($AN$8:$AN$1039,$O$8:$O$1039,AY7,$AB$8:$AB$1039,AS9,$R$8:$R$1039,AR9)&lt;=C57,SUMIFS($AO$8:$AO$1039,$O$8:$O$1039,AY7,$AB$8:$AB$1039,AS9,$R$8:$R$1039,AR9)&lt;=C63)</f>
        <v/>
      </c>
      <c r="AZ9">
        <f>AND(SUMIFS($AN$8:$AN$1039,$O$8:$O$1039,AZ7,$AB$8:$AB$1039,AS9,$R$8:$R$1039,AR9)&lt;=C69,SUMIFS($AO$8:$AO$1039,$O$8:$O$1039,AZ7,$AB$8:$AB$1039,AS9,$R$8:$R$1039,AR9)&lt;=C75)</f>
        <v/>
      </c>
      <c r="BA9">
        <f>AND(SUMIFS($AN$8:$AN$1039,$O$8:$O$1039,BA7,$AB$8:$AB$1039,AS9,$R$8:$R$1039,AR9)&lt;=C81,SUMIFS($AO$8:$AO$1039,$O$8:$O$1039,BA7,$AB$8:$AB$1039,AS9,$R$8:$R$1039,AR9)&lt;=C87)</f>
        <v/>
      </c>
      <c r="BB9">
        <f>AND(SUMIFS($AN$8:$AN$1039,$O$8:$O$1039,BB7,$AB$8:$AB$1039,AS9,$R$8:$R$1039,AR9)&lt;=C93,SUMIFS($AO$8:$AO$1039,$O$8:$O$1039,BB7,$AB$8:$AB$1039,AS9,$R$8:$R$1039,AR9)&lt;=C99)</f>
        <v/>
      </c>
    </row>
    <row r="10" ht="14.55" customHeight="1">
      <c r="B10" s="31" t="inlineStr">
        <is>
          <t>C</t>
        </is>
      </c>
      <c r="C10" s="43" t="n">
        <v>0</v>
      </c>
      <c r="D10" s="43" t="n">
        <v>0</v>
      </c>
      <c r="E10" s="43" t="n">
        <v>40</v>
      </c>
      <c r="O10" s="43" t="inlineStr">
        <is>
          <t>Q1’26</t>
        </is>
      </c>
      <c r="P10" s="43" t="n">
        <v>1</v>
      </c>
      <c r="Q10" s="43" t="n">
        <v>1</v>
      </c>
      <c r="R10" s="43" t="n">
        <v>3</v>
      </c>
      <c r="S10" s="45" t="n">
        <v>2501.283018867923</v>
      </c>
      <c r="T10">
        <f>(S8+S9+S10)=N2</f>
        <v/>
      </c>
      <c r="X10" s="84" t="n">
        <v>0</v>
      </c>
      <c r="Y10" s="83" t="n">
        <v>0</v>
      </c>
      <c r="AA10" s="84" t="n">
        <v>4</v>
      </c>
      <c r="AB10" s="84" t="inlineStr">
        <is>
          <t>D</t>
        </is>
      </c>
      <c r="AC10" s="84" t="inlineStr">
        <is>
          <t>D+</t>
        </is>
      </c>
      <c r="AD10" s="84" t="n">
        <v>14</v>
      </c>
      <c r="AE10" s="84" t="n">
        <v>12</v>
      </c>
      <c r="AF10" s="84" t="n">
        <v>0.8</v>
      </c>
      <c r="AG10" s="84" t="n">
        <v>0.88</v>
      </c>
      <c r="AH10" s="84" t="n">
        <v>0</v>
      </c>
      <c r="AI10" s="84" t="n">
        <v>0</v>
      </c>
      <c r="AJ10" s="84">
        <f>SUMIFS(AH$8:AH$1039,$O$8:$O$1039,O10,$AB$8:$AB$1039,AB10,$R$8:$R$1039,R10,$AA$8:$AA$1039,"&lt;="&amp;AA10)</f>
        <v/>
      </c>
      <c r="AK10" s="84">
        <f>E11</f>
        <v/>
      </c>
      <c r="AL10" s="84">
        <f>E17</f>
        <v/>
      </c>
      <c r="AM10" s="84">
        <f>MAX(0,AJ10-AK10)</f>
        <v/>
      </c>
      <c r="AN10" s="84">
        <f>IF(AM10=0,AH10,IF(AM10&gt;=AH10,0,AH10-AM10))</f>
        <v/>
      </c>
      <c r="AO10" s="84">
        <f>IF(AM10&gt;=AH10,AI10,AI10*AM10/AH10)</f>
        <v/>
      </c>
      <c r="AP10">
        <f t="array" ref="AP10">INDEX($AU$8:$BB$25,6*(R10-1)+MATCH(AB10,$AS$8:$AS$13,0),MATCH(O10,$AU$7:$BB$7,0))</f>
        <v/>
      </c>
      <c r="AR10" s="84" t="n">
        <v>1</v>
      </c>
      <c r="AS10" s="84" t="inlineStr">
        <is>
          <t>C</t>
        </is>
      </c>
      <c r="AT10" s="84" t="inlineStr">
        <is>
          <t>C+</t>
        </is>
      </c>
      <c r="AU10">
        <f>AND(SUMIFS($AN$8:$AN$1039,$O$8:$O$1039,AU7,$AB$8:$AB$1039,AS10,$R$8:$R$1039,AR10)&lt;=C10,SUMIFS($AO$8:$AO$1039,$O$8:$O$1039,AU7,$AB$8:$AB$1039,AS10,$R$8:$R$1039,AR10)&lt;=C16)</f>
        <v/>
      </c>
      <c r="AV10">
        <f>AND(SUMIFS($AN$8:$AN$1039,$O$8:$O$1039,AV7,$AB$8:$AB$1039,AS10,$R$8:$R$1039,AR10)&lt;=C22,SUMIFS($AO$8:$AO$1039,$O$8:$O$1039,AV7,$AB$8:$AB$1039,AS10,$R$8:$R$1039,AR10)&lt;=C28)</f>
        <v/>
      </c>
      <c r="AW10">
        <f>AND(SUMIFS($AN$8:$AN$1039,$O$8:$O$1039,AW7,$AB$8:$AB$1039,AS10,$R$8:$R$1039,AR10)&lt;=C34,SUMIFS($AO$8:$AO$1039,$O$8:$O$1039,AW7,$AB$8:$AB$1039,AS10,$R$8:$R$1039,AR10)&lt;=C40)</f>
        <v/>
      </c>
      <c r="AX10">
        <f>AND(SUMIFS($AN$8:$AN$1039,$O$8:$O$1039,AX7,$AB$8:$AB$1039,AS10,$R$8:$R$1039,AR10)&lt;=C46,SUMIFS($AO$8:$AO$1039,$O$8:$O$1039,AX7,$AB$8:$AB$1039,AS10,$R$8:$R$1039,AR10)&lt;=C52)</f>
        <v/>
      </c>
      <c r="AY10">
        <f>AND(SUMIFS($AN$8:$AN$1039,$O$8:$O$1039,AY7,$AB$8:$AB$1039,AS10,$R$8:$R$1039,AR10)&lt;=C58,SUMIFS($AO$8:$AO$1039,$O$8:$O$1039,AY7,$AB$8:$AB$1039,AS10,$R$8:$R$1039,AR10)&lt;=C64)</f>
        <v/>
      </c>
      <c r="AZ10">
        <f>AND(SUMIFS($AN$8:$AN$1039,$O$8:$O$1039,AZ7,$AB$8:$AB$1039,AS10,$R$8:$R$1039,AR10)&lt;=C70,SUMIFS($AO$8:$AO$1039,$O$8:$O$1039,AZ7,$AB$8:$AB$1039,AS10,$R$8:$R$1039,AR10)&lt;=C76)</f>
        <v/>
      </c>
      <c r="BA10">
        <f>AND(SUMIFS($AN$8:$AN$1039,$O$8:$O$1039,BA7,$AB$8:$AB$1039,AS10,$R$8:$R$1039,AR10)&lt;=C82,SUMIFS($AO$8:$AO$1039,$O$8:$O$1039,BA7,$AB$8:$AB$1039,AS10,$R$8:$R$1039,AR10)&lt;=C88)</f>
        <v/>
      </c>
      <c r="BB10">
        <f>AND(SUMIFS($AN$8:$AN$1039,$O$8:$O$1039,BB7,$AB$8:$AB$1039,AS10,$R$8:$R$1039,AR10)&lt;=C94,SUMIFS($AO$8:$AO$1039,$O$8:$O$1039,BB7,$AB$8:$AB$1039,AS10,$R$8:$R$1039,AR10)&lt;=C100)</f>
        <v/>
      </c>
    </row>
    <row r="11" ht="14.55" customHeight="1">
      <c r="B11" s="31" t="inlineStr">
        <is>
          <t>D</t>
        </is>
      </c>
      <c r="C11" s="43" t="n">
        <v>50</v>
      </c>
      <c r="D11" s="43" t="n">
        <v>50</v>
      </c>
      <c r="E11" s="43" t="n">
        <v>35</v>
      </c>
      <c r="O11" s="43" t="inlineStr">
        <is>
          <t>Q1’26</t>
        </is>
      </c>
      <c r="P11" s="43" t="n">
        <v>1</v>
      </c>
      <c r="Q11" s="43" t="n">
        <v>2</v>
      </c>
      <c r="R11" s="43" t="n">
        <v>1</v>
      </c>
      <c r="S11" s="45" t="n">
        <v>5350.094054513936</v>
      </c>
      <c r="T11">
        <f>(S11+S12+S13)=N2</f>
        <v/>
      </c>
      <c r="X11" s="84">
        <f>MAX(S8-S11,0)</f>
        <v/>
      </c>
      <c r="Y11" s="83" t="n">
        <v>0</v>
      </c>
      <c r="AA11" s="84" t="n">
        <v>10</v>
      </c>
      <c r="AB11" s="84" t="inlineStr">
        <is>
          <t>F</t>
        </is>
      </c>
      <c r="AC11" s="84" t="inlineStr">
        <is>
          <t>F+</t>
        </is>
      </c>
      <c r="AD11" s="84" t="n">
        <v>25</v>
      </c>
      <c r="AE11" s="84" t="n">
        <v>21</v>
      </c>
      <c r="AF11" s="84" t="n">
        <v>0.8</v>
      </c>
      <c r="AG11" s="84" t="n">
        <v>0.9</v>
      </c>
      <c r="AH11" s="84" t="n">
        <v>0</v>
      </c>
      <c r="AI11" s="84" t="n">
        <v>0</v>
      </c>
      <c r="AJ11" s="84">
        <f>SUMIFS(AH$8:AH$1039,$O$8:$O$1039,O11,$AB$8:$AB$1039,AB11,$R$8:$R$1039,R11,$AA$8:$AA$1039,"&lt;="&amp;AA11)</f>
        <v/>
      </c>
      <c r="AK11" s="84">
        <f>C13</f>
        <v/>
      </c>
      <c r="AL11" s="84">
        <f>C19</f>
        <v/>
      </c>
      <c r="AM11" s="84">
        <f>MAX(0,AJ11-AK11)</f>
        <v/>
      </c>
      <c r="AN11" s="84">
        <f>IF(AM11=0,AH11,IF(AM11&gt;=AH11,0,AH11-AM11))</f>
        <v/>
      </c>
      <c r="AO11" s="84">
        <f>IF(AM11&gt;=AH11,AI11,AI11*AM11/AH11)</f>
        <v/>
      </c>
      <c r="AP11">
        <f t="array" ref="AP11">INDEX($AU$8:$BB$25,6*(R11-1)+MATCH(AB11,$AS$8:$AS$13,0),MATCH(O11,$AU$7:$BB$7,0))</f>
        <v/>
      </c>
      <c r="AR11" s="84" t="n">
        <v>1</v>
      </c>
      <c r="AS11" s="84" t="inlineStr">
        <is>
          <t>D</t>
        </is>
      </c>
      <c r="AT11" s="84" t="inlineStr">
        <is>
          <t>D+</t>
        </is>
      </c>
      <c r="AU11">
        <f>AND(SUMIFS($AN$8:$AN$1039,$O$8:$O$1039,AU7,$AB$8:$AB$1039,AS11,$R$8:$R$1039,AR11)&lt;=C11,SUMIFS($AO$8:$AO$1039,$O$8:$O$1039,AU7,$AB$8:$AB$1039,AS11,$R$8:$R$1039,AR11)&lt;=C17)</f>
        <v/>
      </c>
      <c r="AV11">
        <f>AND(SUMIFS($AN$8:$AN$1039,$O$8:$O$1039,AV7,$AB$8:$AB$1039,AS11,$R$8:$R$1039,AR11)&lt;=C23,SUMIFS($AO$8:$AO$1039,$O$8:$O$1039,AV7,$AB$8:$AB$1039,AS11,$R$8:$R$1039,AR11)&lt;=C29)</f>
        <v/>
      </c>
      <c r="AW11">
        <f>AND(SUMIFS($AN$8:$AN$1039,$O$8:$O$1039,AW7,$AB$8:$AB$1039,AS11,$R$8:$R$1039,AR11)&lt;=C35,SUMIFS($AO$8:$AO$1039,$O$8:$O$1039,AW7,$AB$8:$AB$1039,AS11,$R$8:$R$1039,AR11)&lt;=C41)</f>
        <v/>
      </c>
      <c r="AX11">
        <f>AND(SUMIFS($AN$8:$AN$1039,$O$8:$O$1039,AX7,$AB$8:$AB$1039,AS11,$R$8:$R$1039,AR11)&lt;=C47,SUMIFS($AO$8:$AO$1039,$O$8:$O$1039,AX7,$AB$8:$AB$1039,AS11,$R$8:$R$1039,AR11)&lt;=C53)</f>
        <v/>
      </c>
      <c r="AY11">
        <f>AND(SUMIFS($AN$8:$AN$1039,$O$8:$O$1039,AY7,$AB$8:$AB$1039,AS11,$R$8:$R$1039,AR11)&lt;=C59,SUMIFS($AO$8:$AO$1039,$O$8:$O$1039,AY7,$AB$8:$AB$1039,AS11,$R$8:$R$1039,AR11)&lt;=C65)</f>
        <v/>
      </c>
      <c r="AZ11">
        <f>AND(SUMIFS($AN$8:$AN$1039,$O$8:$O$1039,AZ7,$AB$8:$AB$1039,AS11,$R$8:$R$1039,AR11)&lt;=C71,SUMIFS($AO$8:$AO$1039,$O$8:$O$1039,AZ7,$AB$8:$AB$1039,AS11,$R$8:$R$1039,AR11)&lt;=C77)</f>
        <v/>
      </c>
      <c r="BA11">
        <f>AND(SUMIFS($AN$8:$AN$1039,$O$8:$O$1039,BA7,$AB$8:$AB$1039,AS11,$R$8:$R$1039,AR11)&lt;=C83,SUMIFS($AO$8:$AO$1039,$O$8:$O$1039,BA7,$AB$8:$AB$1039,AS11,$R$8:$R$1039,AR11)&lt;=C89)</f>
        <v/>
      </c>
      <c r="BB11">
        <f>AND(SUMIFS($AN$8:$AN$1039,$O$8:$O$1039,BB7,$AB$8:$AB$1039,AS11,$R$8:$R$1039,AR11)&lt;=C95,SUMIFS($AO$8:$AO$1039,$O$8:$O$1039,BB7,$AB$8:$AB$1039,AS11,$R$8:$R$1039,AR11)&lt;=C101)</f>
        <v/>
      </c>
    </row>
    <row r="12" ht="14.55" customHeight="1">
      <c r="B12" s="31" t="inlineStr">
        <is>
          <t>E</t>
        </is>
      </c>
      <c r="C12" s="43" t="n">
        <v>40</v>
      </c>
      <c r="D12" s="43" t="n">
        <v>30</v>
      </c>
      <c r="E12" s="43" t="n">
        <v>16</v>
      </c>
      <c r="O12" s="43" t="inlineStr">
        <is>
          <t>Q1’26</t>
        </is>
      </c>
      <c r="P12" s="43" t="n">
        <v>1</v>
      </c>
      <c r="Q12" s="43" t="n">
        <v>2</v>
      </c>
      <c r="R12" s="43" t="n">
        <v>2</v>
      </c>
      <c r="S12" s="45" t="n">
        <v>4148.622926618141</v>
      </c>
      <c r="T12">
        <f>(S11+S12+S13)=N2</f>
        <v/>
      </c>
      <c r="X12" s="84">
        <f>MAX(S9-S12,0)</f>
        <v/>
      </c>
      <c r="Y12" s="83" t="n">
        <v>0</v>
      </c>
      <c r="AA12" s="84" t="n">
        <v>10</v>
      </c>
      <c r="AB12" s="84" t="inlineStr">
        <is>
          <t>F</t>
        </is>
      </c>
      <c r="AC12" s="84" t="inlineStr">
        <is>
          <t>F+</t>
        </is>
      </c>
      <c r="AD12" s="84" t="n">
        <v>25</v>
      </c>
      <c r="AE12" s="84" t="n">
        <v>21</v>
      </c>
      <c r="AF12" s="84" t="n">
        <v>0.8</v>
      </c>
      <c r="AG12" s="84" t="n">
        <v>0.9</v>
      </c>
      <c r="AH12" s="84" t="n">
        <v>0</v>
      </c>
      <c r="AI12" s="84" t="n">
        <v>0</v>
      </c>
      <c r="AJ12" s="84">
        <f>SUMIFS(AH$8:AH$1039,$O$8:$O$1039,O12,$AB$8:$AB$1039,AB12,$R$8:$R$1039,R12,$AA$8:$AA$1039,"&lt;="&amp;AA12)</f>
        <v/>
      </c>
      <c r="AK12" s="84">
        <f>D13</f>
        <v/>
      </c>
      <c r="AL12" s="84">
        <f>D19</f>
        <v/>
      </c>
      <c r="AM12" s="84">
        <f>MAX(0,AJ12-AK12)</f>
        <v/>
      </c>
      <c r="AN12" s="84">
        <f>IF(AM12=0,AH12,IF(AM12&gt;=AH12,0,AH12-AM12))</f>
        <v/>
      </c>
      <c r="AO12" s="84">
        <f>IF(AM12&gt;=AH12,AI12,AI12*AM12/AH12)</f>
        <v/>
      </c>
      <c r="AP12">
        <f t="array" ref="AP12">INDEX($AU$8:$BB$25,6*(R12-1)+MATCH(AB12,$AS$8:$AS$13,0),MATCH(O12,$AU$7:$BB$7,0))</f>
        <v/>
      </c>
      <c r="AR12" s="84" t="n">
        <v>1</v>
      </c>
      <c r="AS12" s="84" t="inlineStr">
        <is>
          <t>E</t>
        </is>
      </c>
      <c r="AT12" s="84" t="inlineStr">
        <is>
          <t>E+</t>
        </is>
      </c>
      <c r="AU12">
        <f>AND(SUMIFS($AN$8:$AN$1039,$O$8:$O$1039,AU7,$AB$8:$AB$1039,AS12,$R$8:$R$1039,AR12)&lt;=C12,SUMIFS($AO$8:$AO$1039,$O$8:$O$1039,AU7,$AB$8:$AB$1039,AS12,$R$8:$R$1039,AR12)&lt;=C18)</f>
        <v/>
      </c>
      <c r="AV12">
        <f>AND(SUMIFS($AN$8:$AN$1039,$O$8:$O$1039,AV7,$AB$8:$AB$1039,AS12,$R$8:$R$1039,AR12)&lt;=C24,SUMIFS($AO$8:$AO$1039,$O$8:$O$1039,AV7,$AB$8:$AB$1039,AS12,$R$8:$R$1039,AR12)&lt;=C30)</f>
        <v/>
      </c>
      <c r="AW12">
        <f>AND(SUMIFS($AN$8:$AN$1039,$O$8:$O$1039,AW7,$AB$8:$AB$1039,AS12,$R$8:$R$1039,AR12)&lt;=C36,SUMIFS($AO$8:$AO$1039,$O$8:$O$1039,AW7,$AB$8:$AB$1039,AS12,$R$8:$R$1039,AR12)&lt;=C42)</f>
        <v/>
      </c>
      <c r="AX12">
        <f>AND(SUMIFS($AN$8:$AN$1039,$O$8:$O$1039,AX7,$AB$8:$AB$1039,AS12,$R$8:$R$1039,AR12)&lt;=C48,SUMIFS($AO$8:$AO$1039,$O$8:$O$1039,AX7,$AB$8:$AB$1039,AS12,$R$8:$R$1039,AR12)&lt;=C54)</f>
        <v/>
      </c>
      <c r="AY12">
        <f>AND(SUMIFS($AN$8:$AN$1039,$O$8:$O$1039,AY7,$AB$8:$AB$1039,AS12,$R$8:$R$1039,AR12)&lt;=C60,SUMIFS($AO$8:$AO$1039,$O$8:$O$1039,AY7,$AB$8:$AB$1039,AS12,$R$8:$R$1039,AR12)&lt;=C66)</f>
        <v/>
      </c>
      <c r="AZ12">
        <f>AND(SUMIFS($AN$8:$AN$1039,$O$8:$O$1039,AZ7,$AB$8:$AB$1039,AS12,$R$8:$R$1039,AR12)&lt;=C72,SUMIFS($AO$8:$AO$1039,$O$8:$O$1039,AZ7,$AB$8:$AB$1039,AS12,$R$8:$R$1039,AR12)&lt;=C78)</f>
        <v/>
      </c>
      <c r="BA12">
        <f>AND(SUMIFS($AN$8:$AN$1039,$O$8:$O$1039,BA7,$AB$8:$AB$1039,AS12,$R$8:$R$1039,AR12)&lt;=C84,SUMIFS($AO$8:$AO$1039,$O$8:$O$1039,BA7,$AB$8:$AB$1039,AS12,$R$8:$R$1039,AR12)&lt;=C90)</f>
        <v/>
      </c>
      <c r="BB12">
        <f>AND(SUMIFS($AN$8:$AN$1039,$O$8:$O$1039,BB7,$AB$8:$AB$1039,AS12,$R$8:$R$1039,AR12)&lt;=C96,SUMIFS($AO$8:$AO$1039,$O$8:$O$1039,BB7,$AB$8:$AB$1039,AS12,$R$8:$R$1039,AR12)&lt;=C102)</f>
        <v/>
      </c>
    </row>
    <row r="13" ht="14.55" customHeight="1">
      <c r="B13" s="31" t="inlineStr">
        <is>
          <t>F</t>
        </is>
      </c>
      <c r="C13" s="43" t="n">
        <v>90</v>
      </c>
      <c r="D13" s="43" t="n">
        <v>60</v>
      </c>
      <c r="E13" s="43" t="n">
        <v>36</v>
      </c>
      <c r="O13" s="43" t="inlineStr">
        <is>
          <t>Q1’26</t>
        </is>
      </c>
      <c r="P13" s="43" t="n">
        <v>1</v>
      </c>
      <c r="Q13" s="43" t="n">
        <v>2</v>
      </c>
      <c r="R13" s="43" t="n">
        <v>3</v>
      </c>
      <c r="S13" s="45" t="n">
        <v>2501.283018867923</v>
      </c>
      <c r="T13">
        <f>(S11+S12+S13)=N2</f>
        <v/>
      </c>
      <c r="X13" s="84">
        <f>MAX(S10-S13,0)</f>
        <v/>
      </c>
      <c r="Y13" s="83" t="n">
        <v>0</v>
      </c>
      <c r="AA13" s="84" t="n">
        <v>10</v>
      </c>
      <c r="AB13" s="84" t="inlineStr">
        <is>
          <t>F</t>
        </is>
      </c>
      <c r="AC13" s="84" t="inlineStr">
        <is>
          <t>F+</t>
        </is>
      </c>
      <c r="AD13" s="84" t="n">
        <v>25</v>
      </c>
      <c r="AE13" s="84" t="n">
        <v>21</v>
      </c>
      <c r="AF13" s="84" t="n">
        <v>0.8</v>
      </c>
      <c r="AG13" s="84" t="n">
        <v>0.9</v>
      </c>
      <c r="AH13" s="84" t="n">
        <v>0</v>
      </c>
      <c r="AI13" s="84" t="n">
        <v>0</v>
      </c>
      <c r="AJ13" s="84">
        <f>SUMIFS(AH$8:AH$1039,$O$8:$O$1039,O13,$AB$8:$AB$1039,AB13,$R$8:$R$1039,R13,$AA$8:$AA$1039,"&lt;="&amp;AA13)</f>
        <v/>
      </c>
      <c r="AK13" s="84">
        <f>E13</f>
        <v/>
      </c>
      <c r="AL13" s="84">
        <f>E19</f>
        <v/>
      </c>
      <c r="AM13" s="84">
        <f>MAX(0,AJ13-AK13)</f>
        <v/>
      </c>
      <c r="AN13" s="84">
        <f>IF(AM13=0,AH13,IF(AM13&gt;=AH13,0,AH13-AM13))</f>
        <v/>
      </c>
      <c r="AO13" s="84">
        <f>IF(AM13&gt;=AH13,AI13,AI13*AM13/AH13)</f>
        <v/>
      </c>
      <c r="AP13">
        <f t="array" ref="AP13">INDEX($AU$8:$BB$25,6*(R13-1)+MATCH(AB13,$AS$8:$AS$13,0),MATCH(O13,$AU$7:$BB$7,0))</f>
        <v/>
      </c>
      <c r="AR13" s="84" t="n">
        <v>1</v>
      </c>
      <c r="AS13" s="84" t="inlineStr">
        <is>
          <t>F</t>
        </is>
      </c>
      <c r="AT13" s="84" t="inlineStr">
        <is>
          <t>F+</t>
        </is>
      </c>
      <c r="AU13">
        <f>AND(SUMIFS($AN$8:$AN$1039,$O$8:$O$1039,AU7,$AB$8:$AB$1039,AS13,$R$8:$R$1039,AR13)&lt;=C13,SUMIFS($AO$8:$AO$1039,$O$8:$O$1039,AU7,$AB$8:$AB$1039,AS13,$R$8:$R$1039,AR13)&lt;=C19)</f>
        <v/>
      </c>
      <c r="AV13">
        <f>AND(SUMIFS($AN$8:$AN$1039,$O$8:$O$1039,AV7,$AB$8:$AB$1039,AS13,$R$8:$R$1039,AR13)&lt;=C25,SUMIFS($AO$8:$AO$1039,$O$8:$O$1039,AV7,$AB$8:$AB$1039,AS13,$R$8:$R$1039,AR13)&lt;=C31)</f>
        <v/>
      </c>
      <c r="AW13">
        <f>AND(SUMIFS($AN$8:$AN$1039,$O$8:$O$1039,AW7,$AB$8:$AB$1039,AS13,$R$8:$R$1039,AR13)&lt;=C37,SUMIFS($AO$8:$AO$1039,$O$8:$O$1039,AW7,$AB$8:$AB$1039,AS13,$R$8:$R$1039,AR13)&lt;=C43)</f>
        <v/>
      </c>
      <c r="AX13">
        <f>AND(SUMIFS($AN$8:$AN$1039,$O$8:$O$1039,AX7,$AB$8:$AB$1039,AS13,$R$8:$R$1039,AR13)&lt;=C49,SUMIFS($AO$8:$AO$1039,$O$8:$O$1039,AX7,$AB$8:$AB$1039,AS13,$R$8:$R$1039,AR13)&lt;=C55)</f>
        <v/>
      </c>
      <c r="AY13">
        <f>AND(SUMIFS($AN$8:$AN$1039,$O$8:$O$1039,AY7,$AB$8:$AB$1039,AS13,$R$8:$R$1039,AR13)&lt;=C61,SUMIFS($AO$8:$AO$1039,$O$8:$O$1039,AY7,$AB$8:$AB$1039,AS13,$R$8:$R$1039,AR13)&lt;=C67)</f>
        <v/>
      </c>
      <c r="AZ13">
        <f>AND(SUMIFS($AN$8:$AN$1039,$O$8:$O$1039,AZ7,$AB$8:$AB$1039,AS13,$R$8:$R$1039,AR13)&lt;=C73,SUMIFS($AO$8:$AO$1039,$O$8:$O$1039,AZ7,$AB$8:$AB$1039,AS13,$R$8:$R$1039,AR13)&lt;=C79)</f>
        <v/>
      </c>
      <c r="BA13">
        <f>AND(SUMIFS($AN$8:$AN$1039,$O$8:$O$1039,BA7,$AB$8:$AB$1039,AS13,$R$8:$R$1039,AR13)&lt;=C85,SUMIFS($AO$8:$AO$1039,$O$8:$O$1039,BA7,$AB$8:$AB$1039,AS13,$R$8:$R$1039,AR13)&lt;=C91)</f>
        <v/>
      </c>
      <c r="BB13">
        <f>AND(SUMIFS($AN$8:$AN$1039,$O$8:$O$1039,BB7,$AB$8:$AB$1039,AS13,$R$8:$R$1039,AR13)&lt;=C97,SUMIFS($AO$8:$AO$1039,$O$8:$O$1039,BB7,$AB$8:$AB$1039,AS13,$R$8:$R$1039,AR13)&lt;=C103)</f>
        <v/>
      </c>
    </row>
    <row r="14" ht="14.55" customHeight="1">
      <c r="B14" s="31" t="inlineStr">
        <is>
          <t>A+</t>
        </is>
      </c>
      <c r="C14" s="43" t="n">
        <v>0</v>
      </c>
      <c r="D14" s="43" t="n">
        <v>0</v>
      </c>
      <c r="E14" s="43" t="n">
        <v>0</v>
      </c>
      <c r="O14" s="43" t="inlineStr">
        <is>
          <t>Q1’26</t>
        </is>
      </c>
      <c r="P14" s="43" t="n">
        <v>1</v>
      </c>
      <c r="Q14" s="43" t="n">
        <v>3</v>
      </c>
      <c r="R14" s="43" t="n">
        <v>1</v>
      </c>
      <c r="S14" s="45" t="n">
        <v>5350.094054513936</v>
      </c>
      <c r="T14">
        <f>(S14+S15+S16)=N2</f>
        <v/>
      </c>
      <c r="X14" s="84">
        <f>MAX(S11-S14,0)</f>
        <v/>
      </c>
      <c r="Y14" s="83" t="n">
        <v>0</v>
      </c>
      <c r="AA14" s="84" t="n">
        <v>8</v>
      </c>
      <c r="AB14" s="84" t="inlineStr">
        <is>
          <t>F</t>
        </is>
      </c>
      <c r="AC14" s="84" t="inlineStr">
        <is>
          <t>F+</t>
        </is>
      </c>
      <c r="AD14" s="84" t="n">
        <v>27</v>
      </c>
      <c r="AE14" s="84" t="n">
        <v>23</v>
      </c>
      <c r="AF14" s="84" t="n">
        <v>0.8</v>
      </c>
      <c r="AG14" s="84" t="n">
        <v>0.9</v>
      </c>
      <c r="AH14" s="84" t="n">
        <v>0</v>
      </c>
      <c r="AI14" s="84" t="n">
        <v>0</v>
      </c>
      <c r="AJ14" s="84">
        <f>SUMIFS(AH$8:AH$1039,$O$8:$O$1039,O14,$AB$8:$AB$1039,AB14,$R$8:$R$1039,R14,$AA$8:$AA$1039,"&lt;="&amp;AA14)</f>
        <v/>
      </c>
      <c r="AK14" s="84">
        <f>C13</f>
        <v/>
      </c>
      <c r="AL14" s="84">
        <f>C19</f>
        <v/>
      </c>
      <c r="AM14" s="84">
        <f>MAX(0,AJ14-AK14)</f>
        <v/>
      </c>
      <c r="AN14" s="84">
        <f>IF(AM14=0,AH14,IF(AM14&gt;=AH14,0,AH14-AM14))</f>
        <v/>
      </c>
      <c r="AO14" s="84">
        <f>IF(AM14&gt;=AH14,AI14,AI14*AM14/AH14)</f>
        <v/>
      </c>
      <c r="AP14">
        <f t="array" ref="AP14">INDEX($AU$8:$BB$25,6*(R14-1)+MATCH(AB14,$AS$8:$AS$13,0),MATCH(O14,$AU$7:$BB$7,0))</f>
        <v/>
      </c>
      <c r="AR14" s="84" t="n">
        <v>2</v>
      </c>
      <c r="AS14" s="84" t="inlineStr">
        <is>
          <t>A</t>
        </is>
      </c>
      <c r="AT14" s="84" t="inlineStr">
        <is>
          <t>A+</t>
        </is>
      </c>
      <c r="AU14">
        <f>AND(SUMIFS($AN$8:$AN$1039,$O$8:$O$1039,AU7,$AB$8:$AB$1039,AS14,$R$8:$R$1039,AR14)&lt;=D8,SUMIFS($AO$8:$AO$1039,$O$8:$O$1039,AU7,$AB$8:$AB$1039,AS14,$R$8:$R$1039,AR14)&lt;=D14)</f>
        <v/>
      </c>
      <c r="AV14">
        <f>AND(SUMIFS($AN$8:$AN$1039,$O$8:$O$1039,AV7,$AB$8:$AB$1039,AS14,$R$8:$R$1039,AR14)&lt;=D20,SUMIFS($AO$8:$AO$1039,$O$8:$O$1039,AV7,$AB$8:$AB$1039,AS14,$R$8:$R$1039,AR14)&lt;=D26)</f>
        <v/>
      </c>
      <c r="AW14">
        <f>AND(SUMIFS($AN$8:$AN$1039,$O$8:$O$1039,AW7,$AB$8:$AB$1039,AS14,$R$8:$R$1039,AR14)&lt;=D32,SUMIFS($AO$8:$AO$1039,$O$8:$O$1039,AW7,$AB$8:$AB$1039,AS14,$R$8:$R$1039,AR14)&lt;=D38)</f>
        <v/>
      </c>
      <c r="AX14">
        <f>AND(SUMIFS($AN$8:$AN$1039,$O$8:$O$1039,AX7,$AB$8:$AB$1039,AS14,$R$8:$R$1039,AR14)&lt;=D44,SUMIFS($AO$8:$AO$1039,$O$8:$O$1039,AX7,$AB$8:$AB$1039,AS14,$R$8:$R$1039,AR14)&lt;=D50)</f>
        <v/>
      </c>
      <c r="AY14">
        <f>AND(SUMIFS($AN$8:$AN$1039,$O$8:$O$1039,AY7,$AB$8:$AB$1039,AS14,$R$8:$R$1039,AR14)&lt;=D56,SUMIFS($AO$8:$AO$1039,$O$8:$O$1039,AY7,$AB$8:$AB$1039,AS14,$R$8:$R$1039,AR14)&lt;=D62)</f>
        <v/>
      </c>
      <c r="AZ14">
        <f>AND(SUMIFS($AN$8:$AN$1039,$O$8:$O$1039,AZ7,$AB$8:$AB$1039,AS14,$R$8:$R$1039,AR14)&lt;=D68,SUMIFS($AO$8:$AO$1039,$O$8:$O$1039,AZ7,$AB$8:$AB$1039,AS14,$R$8:$R$1039,AR14)&lt;=D74)</f>
        <v/>
      </c>
      <c r="BA14">
        <f>AND(SUMIFS($AN$8:$AN$1039,$O$8:$O$1039,BA7,$AB$8:$AB$1039,AS14,$R$8:$R$1039,AR14)&lt;=D80,SUMIFS($AO$8:$AO$1039,$O$8:$O$1039,BA7,$AB$8:$AB$1039,AS14,$R$8:$R$1039,AR14)&lt;=D86)</f>
        <v/>
      </c>
      <c r="BB14">
        <f>AND(SUMIFS($AN$8:$AN$1039,$O$8:$O$1039,BB7,$AB$8:$AB$1039,AS14,$R$8:$R$1039,AR14)&lt;=D92,SUMIFS($AO$8:$AO$1039,$O$8:$O$1039,BB7,$AB$8:$AB$1039,AS14,$R$8:$R$1039,AR14)&lt;=D98)</f>
        <v/>
      </c>
    </row>
    <row r="15" ht="14.55" customHeight="1">
      <c r="B15" s="31" t="inlineStr">
        <is>
          <t>B+</t>
        </is>
      </c>
      <c r="C15" s="43" t="n">
        <v>8</v>
      </c>
      <c r="D15" s="43" t="n">
        <v>0</v>
      </c>
      <c r="E15" s="43" t="n">
        <v>0</v>
      </c>
      <c r="O15" s="43" t="inlineStr">
        <is>
          <t>Q1’26</t>
        </is>
      </c>
      <c r="P15" s="43" t="n">
        <v>1</v>
      </c>
      <c r="Q15" s="43" t="n">
        <v>3</v>
      </c>
      <c r="R15" s="43" t="n">
        <v>2</v>
      </c>
      <c r="S15" s="45" t="n">
        <v>4148.622926618141</v>
      </c>
      <c r="T15">
        <f>(S14+S15+S16)=N2</f>
        <v/>
      </c>
      <c r="X15" s="84">
        <f>MAX(S12-S15,0)</f>
        <v/>
      </c>
      <c r="Y15" s="83" t="n">
        <v>0</v>
      </c>
      <c r="AA15" s="84" t="n">
        <v>8</v>
      </c>
      <c r="AB15" s="84" t="inlineStr">
        <is>
          <t>F</t>
        </is>
      </c>
      <c r="AC15" s="84" t="inlineStr">
        <is>
          <t>F+</t>
        </is>
      </c>
      <c r="AD15" s="84" t="n">
        <v>27</v>
      </c>
      <c r="AE15" s="84" t="n">
        <v>23</v>
      </c>
      <c r="AF15" s="84" t="n">
        <v>0.8</v>
      </c>
      <c r="AG15" s="84" t="n">
        <v>0.9</v>
      </c>
      <c r="AH15" s="84" t="n">
        <v>0</v>
      </c>
      <c r="AI15" s="84" t="n">
        <v>0</v>
      </c>
      <c r="AJ15" s="84">
        <f>SUMIFS(AH$8:AH$1039,$O$8:$O$1039,O15,$AB$8:$AB$1039,AB15,$R$8:$R$1039,R15,$AA$8:$AA$1039,"&lt;="&amp;AA15)</f>
        <v/>
      </c>
      <c r="AK15" s="84">
        <f>D13</f>
        <v/>
      </c>
      <c r="AL15" s="84">
        <f>D19</f>
        <v/>
      </c>
      <c r="AM15" s="84">
        <f>MAX(0,AJ15-AK15)</f>
        <v/>
      </c>
      <c r="AN15" s="84">
        <f>IF(AM15=0,AH15,IF(AM15&gt;=AH15,0,AH15-AM15))</f>
        <v/>
      </c>
      <c r="AO15" s="84">
        <f>IF(AM15&gt;=AH15,AI15,AI15*AM15/AH15)</f>
        <v/>
      </c>
      <c r="AP15">
        <f t="array" ref="AP15">INDEX($AU$8:$BB$25,6*(R15-1)+MATCH(AB15,$AS$8:$AS$13,0),MATCH(O15,$AU$7:$BB$7,0))</f>
        <v/>
      </c>
      <c r="AR15" s="84" t="n">
        <v>2</v>
      </c>
      <c r="AS15" s="84" t="inlineStr">
        <is>
          <t>B</t>
        </is>
      </c>
      <c r="AT15" s="84" t="inlineStr">
        <is>
          <t>B+</t>
        </is>
      </c>
      <c r="AU15">
        <f>AND(SUMIFS($AN$8:$AN$1039,$O$8:$O$1039,AU7,$AB$8:$AB$1039,AS15,$R$8:$R$1039,AR15)&lt;=D9,SUMIFS($AO$8:$AO$1039,$O$8:$O$1039,AU7,$AB$8:$AB$1039,AS15,$R$8:$R$1039,AR15)&lt;=D15)</f>
        <v/>
      </c>
      <c r="AV15">
        <f>AND(SUMIFS($AN$8:$AN$1039,$O$8:$O$1039,AV7,$AB$8:$AB$1039,AS15,$R$8:$R$1039,AR15)&lt;=D21,SUMIFS($AO$8:$AO$1039,$O$8:$O$1039,AV7,$AB$8:$AB$1039,AS15,$R$8:$R$1039,AR15)&lt;=D27)</f>
        <v/>
      </c>
      <c r="AW15">
        <f>AND(SUMIFS($AN$8:$AN$1039,$O$8:$O$1039,AW7,$AB$8:$AB$1039,AS15,$R$8:$R$1039,AR15)&lt;=D33,SUMIFS($AO$8:$AO$1039,$O$8:$O$1039,AW7,$AB$8:$AB$1039,AS15,$R$8:$R$1039,AR15)&lt;=D39)</f>
        <v/>
      </c>
      <c r="AX15">
        <f>AND(SUMIFS($AN$8:$AN$1039,$O$8:$O$1039,AX7,$AB$8:$AB$1039,AS15,$R$8:$R$1039,AR15)&lt;=D45,SUMIFS($AO$8:$AO$1039,$O$8:$O$1039,AX7,$AB$8:$AB$1039,AS15,$R$8:$R$1039,AR15)&lt;=D51)</f>
        <v/>
      </c>
      <c r="AY15">
        <f>AND(SUMIFS($AN$8:$AN$1039,$O$8:$O$1039,AY7,$AB$8:$AB$1039,AS15,$R$8:$R$1039,AR15)&lt;=D57,SUMIFS($AO$8:$AO$1039,$O$8:$O$1039,AY7,$AB$8:$AB$1039,AS15,$R$8:$R$1039,AR15)&lt;=D63)</f>
        <v/>
      </c>
      <c r="AZ15">
        <f>AND(SUMIFS($AN$8:$AN$1039,$O$8:$O$1039,AZ7,$AB$8:$AB$1039,AS15,$R$8:$R$1039,AR15)&lt;=D69,SUMIFS($AO$8:$AO$1039,$O$8:$O$1039,AZ7,$AB$8:$AB$1039,AS15,$R$8:$R$1039,AR15)&lt;=D75)</f>
        <v/>
      </c>
      <c r="BA15">
        <f>AND(SUMIFS($AN$8:$AN$1039,$O$8:$O$1039,BA7,$AB$8:$AB$1039,AS15,$R$8:$R$1039,AR15)&lt;=D81,SUMIFS($AO$8:$AO$1039,$O$8:$O$1039,BA7,$AB$8:$AB$1039,AS15,$R$8:$R$1039,AR15)&lt;=D87)</f>
        <v/>
      </c>
      <c r="BB15">
        <f>AND(SUMIFS($AN$8:$AN$1039,$O$8:$O$1039,BB7,$AB$8:$AB$1039,AS15,$R$8:$R$1039,AR15)&lt;=D93,SUMIFS($AO$8:$AO$1039,$O$8:$O$1039,BB7,$AB$8:$AB$1039,AS15,$R$8:$R$1039,AR15)&lt;=D99)</f>
        <v/>
      </c>
    </row>
    <row r="16" ht="14.55" customHeight="1">
      <c r="B16" s="31" t="inlineStr">
        <is>
          <t>C+</t>
        </is>
      </c>
      <c r="C16" s="43" t="n">
        <v>0</v>
      </c>
      <c r="D16" s="43" t="n">
        <v>0</v>
      </c>
      <c r="E16" s="43" t="n">
        <v>0</v>
      </c>
      <c r="O16" s="43" t="inlineStr">
        <is>
          <t>Q1’26</t>
        </is>
      </c>
      <c r="P16" s="43" t="n">
        <v>1</v>
      </c>
      <c r="Q16" s="43" t="n">
        <v>3</v>
      </c>
      <c r="R16" s="43" t="n">
        <v>3</v>
      </c>
      <c r="S16" s="45" t="n">
        <v>2501.283018867923</v>
      </c>
      <c r="T16">
        <f>(S14+S15+S16)=N2</f>
        <v/>
      </c>
      <c r="X16" s="84">
        <f>MAX(S13-S16,0)</f>
        <v/>
      </c>
      <c r="Y16" s="83" t="n">
        <v>0</v>
      </c>
      <c r="AA16" s="84" t="n">
        <v>8</v>
      </c>
      <c r="AB16" s="84" t="inlineStr">
        <is>
          <t>F</t>
        </is>
      </c>
      <c r="AC16" s="84" t="inlineStr">
        <is>
          <t>F+</t>
        </is>
      </c>
      <c r="AD16" s="84" t="n">
        <v>27</v>
      </c>
      <c r="AE16" s="84" t="n">
        <v>23</v>
      </c>
      <c r="AF16" s="84" t="n">
        <v>0.8</v>
      </c>
      <c r="AG16" s="84" t="n">
        <v>0.9</v>
      </c>
      <c r="AH16" s="84" t="n">
        <v>0</v>
      </c>
      <c r="AI16" s="84" t="n">
        <v>0</v>
      </c>
      <c r="AJ16" s="84">
        <f>SUMIFS(AH$8:AH$1039,$O$8:$O$1039,O16,$AB$8:$AB$1039,AB16,$R$8:$R$1039,R16,$AA$8:$AA$1039,"&lt;="&amp;AA16)</f>
        <v/>
      </c>
      <c r="AK16" s="84">
        <f>E13</f>
        <v/>
      </c>
      <c r="AL16" s="84">
        <f>E19</f>
        <v/>
      </c>
      <c r="AM16" s="84">
        <f>MAX(0,AJ16-AK16)</f>
        <v/>
      </c>
      <c r="AN16" s="84">
        <f>IF(AM16=0,AH16,IF(AM16&gt;=AH16,0,AH16-AM16))</f>
        <v/>
      </c>
      <c r="AO16" s="84">
        <f>IF(AM16&gt;=AH16,AI16,AI16*AM16/AH16)</f>
        <v/>
      </c>
      <c r="AP16">
        <f t="array" ref="AP16">INDEX($AU$8:$BB$25,6*(R16-1)+MATCH(AB16,$AS$8:$AS$13,0),MATCH(O16,$AU$7:$BB$7,0))</f>
        <v/>
      </c>
      <c r="AR16" s="84" t="n">
        <v>2</v>
      </c>
      <c r="AS16" s="84" t="inlineStr">
        <is>
          <t>C</t>
        </is>
      </c>
      <c r="AT16" s="84" t="inlineStr">
        <is>
          <t>C+</t>
        </is>
      </c>
      <c r="AU16">
        <f>AND(SUMIFS($AN$8:$AN$1039,$O$8:$O$1039,AU7,$AB$8:$AB$1039,AS16,$R$8:$R$1039,AR16)&lt;=D10,SUMIFS($AO$8:$AO$1039,$O$8:$O$1039,AU7,$AB$8:$AB$1039,AS16,$R$8:$R$1039,AR16)&lt;=D16)</f>
        <v/>
      </c>
      <c r="AV16">
        <f>AND(SUMIFS($AN$8:$AN$1039,$O$8:$O$1039,AV7,$AB$8:$AB$1039,AS16,$R$8:$R$1039,AR16)&lt;=D22,SUMIFS($AO$8:$AO$1039,$O$8:$O$1039,AV7,$AB$8:$AB$1039,AS16,$R$8:$R$1039,AR16)&lt;=D28)</f>
        <v/>
      </c>
      <c r="AW16">
        <f>AND(SUMIFS($AN$8:$AN$1039,$O$8:$O$1039,AW7,$AB$8:$AB$1039,AS16,$R$8:$R$1039,AR16)&lt;=D34,SUMIFS($AO$8:$AO$1039,$O$8:$O$1039,AW7,$AB$8:$AB$1039,AS16,$R$8:$R$1039,AR16)&lt;=D40)</f>
        <v/>
      </c>
      <c r="AX16">
        <f>AND(SUMIFS($AN$8:$AN$1039,$O$8:$O$1039,AX7,$AB$8:$AB$1039,AS16,$R$8:$R$1039,AR16)&lt;=D46,SUMIFS($AO$8:$AO$1039,$O$8:$O$1039,AX7,$AB$8:$AB$1039,AS16,$R$8:$R$1039,AR16)&lt;=D52)</f>
        <v/>
      </c>
      <c r="AY16">
        <f>AND(SUMIFS($AN$8:$AN$1039,$O$8:$O$1039,AY7,$AB$8:$AB$1039,AS16,$R$8:$R$1039,AR16)&lt;=D58,SUMIFS($AO$8:$AO$1039,$O$8:$O$1039,AY7,$AB$8:$AB$1039,AS16,$R$8:$R$1039,AR16)&lt;=D64)</f>
        <v/>
      </c>
      <c r="AZ16">
        <f>AND(SUMIFS($AN$8:$AN$1039,$O$8:$O$1039,AZ7,$AB$8:$AB$1039,AS16,$R$8:$R$1039,AR16)&lt;=D70,SUMIFS($AO$8:$AO$1039,$O$8:$O$1039,AZ7,$AB$8:$AB$1039,AS16,$R$8:$R$1039,AR16)&lt;=D76)</f>
        <v/>
      </c>
      <c r="BA16">
        <f>AND(SUMIFS($AN$8:$AN$1039,$O$8:$O$1039,BA7,$AB$8:$AB$1039,AS16,$R$8:$R$1039,AR16)&lt;=D82,SUMIFS($AO$8:$AO$1039,$O$8:$O$1039,BA7,$AB$8:$AB$1039,AS16,$R$8:$R$1039,AR16)&lt;=D88)</f>
        <v/>
      </c>
      <c r="BB16">
        <f>AND(SUMIFS($AN$8:$AN$1039,$O$8:$O$1039,BB7,$AB$8:$AB$1039,AS16,$R$8:$R$1039,AR16)&lt;=D94,SUMIFS($AO$8:$AO$1039,$O$8:$O$1039,BB7,$AB$8:$AB$1039,AS16,$R$8:$R$1039,AR16)&lt;=D100)</f>
        <v/>
      </c>
    </row>
    <row r="17" ht="14.55" customHeight="1">
      <c r="B17" s="31" t="inlineStr">
        <is>
          <t>D+</t>
        </is>
      </c>
      <c r="C17" s="43" t="n">
        <v>2</v>
      </c>
      <c r="D17" s="43" t="n">
        <v>0</v>
      </c>
      <c r="E17" s="43" t="n">
        <v>0</v>
      </c>
      <c r="O17" s="43" t="inlineStr">
        <is>
          <t>Q1’26</t>
        </is>
      </c>
      <c r="P17" s="43" t="n">
        <v>1</v>
      </c>
      <c r="Q17" s="43" t="n">
        <v>4</v>
      </c>
      <c r="R17" s="43" t="n">
        <v>1</v>
      </c>
      <c r="S17" s="45" t="n">
        <v>6492.651130434787</v>
      </c>
      <c r="T17">
        <f>(S17+S18+S19)=N2</f>
        <v/>
      </c>
      <c r="X17" s="84">
        <f>MAX(S14-S17,0)</f>
        <v/>
      </c>
      <c r="Y17" s="83" t="n">
        <v>0</v>
      </c>
      <c r="AA17" s="84" t="n">
        <v>3</v>
      </c>
      <c r="AB17" s="84" t="inlineStr">
        <is>
          <t>A</t>
        </is>
      </c>
      <c r="AC17" s="84" t="inlineStr">
        <is>
          <t>A+</t>
        </is>
      </c>
      <c r="AD17" s="84" t="n">
        <v>20</v>
      </c>
      <c r="AE17" s="84" t="n">
        <v>16</v>
      </c>
      <c r="AF17" s="84" t="n">
        <v>0.78</v>
      </c>
      <c r="AG17" s="84" t="n">
        <v>0.84</v>
      </c>
      <c r="AH17" s="84" t="n">
        <v>0</v>
      </c>
      <c r="AI17" s="84" t="n">
        <v>0</v>
      </c>
      <c r="AJ17" s="84">
        <f>SUMIFS(AH$8:AH$1039,$O$8:$O$1039,O17,$AB$8:$AB$1039,AB17,$R$8:$R$1039,R17,$AA$8:$AA$1039,"&lt;="&amp;AA17)</f>
        <v/>
      </c>
      <c r="AK17" s="84">
        <f>C8</f>
        <v/>
      </c>
      <c r="AL17" s="84">
        <f>C14</f>
        <v/>
      </c>
      <c r="AM17" s="84">
        <f>MAX(0,AJ17-AK17)</f>
        <v/>
      </c>
      <c r="AN17" s="84">
        <f>IF(AM17=0,AH17,IF(AM17&gt;=AH17,0,AH17-AM17))</f>
        <v/>
      </c>
      <c r="AO17" s="84">
        <f>IF(AM17&gt;=AH17,AI17,AI17*AM17/AH17)</f>
        <v/>
      </c>
      <c r="AP17">
        <f t="array" ref="AP17">INDEX($AU$8:$BB$25,6*(R17-1)+MATCH(AB17,$AS$8:$AS$13,0),MATCH(O17,$AU$7:$BB$7,0))</f>
        <v/>
      </c>
      <c r="AR17" s="84" t="n">
        <v>2</v>
      </c>
      <c r="AS17" s="84" t="inlineStr">
        <is>
          <t>D</t>
        </is>
      </c>
      <c r="AT17" s="84" t="inlineStr">
        <is>
          <t>D+</t>
        </is>
      </c>
      <c r="AU17">
        <f>AND(SUMIFS($AN$8:$AN$1039,$O$8:$O$1039,AU7,$AB$8:$AB$1039,AS17,$R$8:$R$1039,AR17)&lt;=D11,SUMIFS($AO$8:$AO$1039,$O$8:$O$1039,AU7,$AB$8:$AB$1039,AS17,$R$8:$R$1039,AR17)&lt;=D17)</f>
        <v/>
      </c>
      <c r="AV17">
        <f>AND(SUMIFS($AN$8:$AN$1039,$O$8:$O$1039,AV7,$AB$8:$AB$1039,AS17,$R$8:$R$1039,AR17)&lt;=D23,SUMIFS($AO$8:$AO$1039,$O$8:$O$1039,AV7,$AB$8:$AB$1039,AS17,$R$8:$R$1039,AR17)&lt;=D29)</f>
        <v/>
      </c>
      <c r="AW17">
        <f>AND(SUMIFS($AN$8:$AN$1039,$O$8:$O$1039,AW7,$AB$8:$AB$1039,AS17,$R$8:$R$1039,AR17)&lt;=D35,SUMIFS($AO$8:$AO$1039,$O$8:$O$1039,AW7,$AB$8:$AB$1039,AS17,$R$8:$R$1039,AR17)&lt;=D41)</f>
        <v/>
      </c>
      <c r="AX17">
        <f>AND(SUMIFS($AN$8:$AN$1039,$O$8:$O$1039,AX7,$AB$8:$AB$1039,AS17,$R$8:$R$1039,AR17)&lt;=D47,SUMIFS($AO$8:$AO$1039,$O$8:$O$1039,AX7,$AB$8:$AB$1039,AS17,$R$8:$R$1039,AR17)&lt;=D53)</f>
        <v/>
      </c>
      <c r="AY17">
        <f>AND(SUMIFS($AN$8:$AN$1039,$O$8:$O$1039,AY7,$AB$8:$AB$1039,AS17,$R$8:$R$1039,AR17)&lt;=D59,SUMIFS($AO$8:$AO$1039,$O$8:$O$1039,AY7,$AB$8:$AB$1039,AS17,$R$8:$R$1039,AR17)&lt;=D65)</f>
        <v/>
      </c>
      <c r="AZ17">
        <f>AND(SUMIFS($AN$8:$AN$1039,$O$8:$O$1039,AZ7,$AB$8:$AB$1039,AS17,$R$8:$R$1039,AR17)&lt;=D71,SUMIFS($AO$8:$AO$1039,$O$8:$O$1039,AZ7,$AB$8:$AB$1039,AS17,$R$8:$R$1039,AR17)&lt;=D77)</f>
        <v/>
      </c>
      <c r="BA17">
        <f>AND(SUMIFS($AN$8:$AN$1039,$O$8:$O$1039,BA7,$AB$8:$AB$1039,AS17,$R$8:$R$1039,AR17)&lt;=D83,SUMIFS($AO$8:$AO$1039,$O$8:$O$1039,BA7,$AB$8:$AB$1039,AS17,$R$8:$R$1039,AR17)&lt;=D89)</f>
        <v/>
      </c>
      <c r="BB17">
        <f>AND(SUMIFS($AN$8:$AN$1039,$O$8:$O$1039,BB7,$AB$8:$AB$1039,AS17,$R$8:$R$1039,AR17)&lt;=D95,SUMIFS($AO$8:$AO$1039,$O$8:$O$1039,BB7,$AB$8:$AB$1039,AS17,$R$8:$R$1039,AR17)&lt;=D101)</f>
        <v/>
      </c>
    </row>
    <row r="18" ht="14.55" customHeight="1">
      <c r="B18" s="31" t="inlineStr">
        <is>
          <t>E+</t>
        </is>
      </c>
      <c r="C18" s="43" t="n">
        <v>0</v>
      </c>
      <c r="D18" s="43" t="n">
        <v>0</v>
      </c>
      <c r="E18" s="43" t="n">
        <v>9</v>
      </c>
      <c r="O18" s="43" t="inlineStr">
        <is>
          <t>Q1’26</t>
        </is>
      </c>
      <c r="P18" s="43" t="n">
        <v>1</v>
      </c>
      <c r="Q18" s="43" t="n">
        <v>4</v>
      </c>
      <c r="R18" s="43" t="n">
        <v>2</v>
      </c>
      <c r="S18" s="45" t="n">
        <v>5507.348869565213</v>
      </c>
      <c r="T18">
        <f>(S17+S18+S19)=N2</f>
        <v/>
      </c>
      <c r="X18" s="84">
        <f>MAX(S15-S18,0)</f>
        <v/>
      </c>
      <c r="Y18" s="83" t="n">
        <v>0</v>
      </c>
      <c r="AA18" s="84" t="n">
        <v>3</v>
      </c>
      <c r="AB18" s="84" t="inlineStr">
        <is>
          <t>A</t>
        </is>
      </c>
      <c r="AC18" s="84" t="inlineStr">
        <is>
          <t>A+</t>
        </is>
      </c>
      <c r="AD18" s="84" t="n">
        <v>20</v>
      </c>
      <c r="AE18" s="84" t="n">
        <v>16</v>
      </c>
      <c r="AF18" s="84" t="n">
        <v>0.78</v>
      </c>
      <c r="AG18" s="84" t="n">
        <v>0.84</v>
      </c>
      <c r="AH18" s="84" t="n">
        <v>0</v>
      </c>
      <c r="AI18" s="84" t="n">
        <v>0</v>
      </c>
      <c r="AJ18" s="84">
        <f>SUMIFS(AH$8:AH$1039,$O$8:$O$1039,O18,$AB$8:$AB$1039,AB18,$R$8:$R$1039,R18,$AA$8:$AA$1039,"&lt;="&amp;AA18)</f>
        <v/>
      </c>
      <c r="AK18" s="84">
        <f>D8</f>
        <v/>
      </c>
      <c r="AL18" s="84">
        <f>D14</f>
        <v/>
      </c>
      <c r="AM18" s="84">
        <f>MAX(0,AJ18-AK18)</f>
        <v/>
      </c>
      <c r="AN18" s="84">
        <f>IF(AM18=0,AH18,IF(AM18&gt;=AH18,0,AH18-AM18))</f>
        <v/>
      </c>
      <c r="AO18" s="84">
        <f>IF(AM18&gt;=AH18,AI18,AI18*AM18/AH18)</f>
        <v/>
      </c>
      <c r="AP18">
        <f t="array" ref="AP18">INDEX($AU$8:$BB$25,6*(R18-1)+MATCH(AB18,$AS$8:$AS$13,0),MATCH(O18,$AU$7:$BB$7,0))</f>
        <v/>
      </c>
      <c r="AR18" s="84" t="n">
        <v>2</v>
      </c>
      <c r="AS18" s="84" t="inlineStr">
        <is>
          <t>E</t>
        </is>
      </c>
      <c r="AT18" s="84" t="inlineStr">
        <is>
          <t>E+</t>
        </is>
      </c>
      <c r="AU18">
        <f>AND(SUMIFS($AN$8:$AN$1039,$O$8:$O$1039,AU7,$AB$8:$AB$1039,AS18,$R$8:$R$1039,AR18)&lt;=D12,SUMIFS($AO$8:$AO$1039,$O$8:$O$1039,AU7,$AB$8:$AB$1039,AS18,$R$8:$R$1039,AR18)&lt;=D18)</f>
        <v/>
      </c>
      <c r="AV18">
        <f>AND(SUMIFS($AN$8:$AN$1039,$O$8:$O$1039,AV7,$AB$8:$AB$1039,AS18,$R$8:$R$1039,AR18)&lt;=D24,SUMIFS($AO$8:$AO$1039,$O$8:$O$1039,AV7,$AB$8:$AB$1039,AS18,$R$8:$R$1039,AR18)&lt;=D30)</f>
        <v/>
      </c>
      <c r="AW18">
        <f>AND(SUMIFS($AN$8:$AN$1039,$O$8:$O$1039,AW7,$AB$8:$AB$1039,AS18,$R$8:$R$1039,AR18)&lt;=D36,SUMIFS($AO$8:$AO$1039,$O$8:$O$1039,AW7,$AB$8:$AB$1039,AS18,$R$8:$R$1039,AR18)&lt;=D42)</f>
        <v/>
      </c>
      <c r="AX18">
        <f>AND(SUMIFS($AN$8:$AN$1039,$O$8:$O$1039,AX7,$AB$8:$AB$1039,AS18,$R$8:$R$1039,AR18)&lt;=D48,SUMIFS($AO$8:$AO$1039,$O$8:$O$1039,AX7,$AB$8:$AB$1039,AS18,$R$8:$R$1039,AR18)&lt;=D54)</f>
        <v/>
      </c>
      <c r="AY18">
        <f>AND(SUMIFS($AN$8:$AN$1039,$O$8:$O$1039,AY7,$AB$8:$AB$1039,AS18,$R$8:$R$1039,AR18)&lt;=D60,SUMIFS($AO$8:$AO$1039,$O$8:$O$1039,AY7,$AB$8:$AB$1039,AS18,$R$8:$R$1039,AR18)&lt;=D66)</f>
        <v/>
      </c>
      <c r="AZ18">
        <f>AND(SUMIFS($AN$8:$AN$1039,$O$8:$O$1039,AZ7,$AB$8:$AB$1039,AS18,$R$8:$R$1039,AR18)&lt;=D72,SUMIFS($AO$8:$AO$1039,$O$8:$O$1039,AZ7,$AB$8:$AB$1039,AS18,$R$8:$R$1039,AR18)&lt;=D78)</f>
        <v/>
      </c>
      <c r="BA18">
        <f>AND(SUMIFS($AN$8:$AN$1039,$O$8:$O$1039,BA7,$AB$8:$AB$1039,AS18,$R$8:$R$1039,AR18)&lt;=D84,SUMIFS($AO$8:$AO$1039,$O$8:$O$1039,BA7,$AB$8:$AB$1039,AS18,$R$8:$R$1039,AR18)&lt;=D90)</f>
        <v/>
      </c>
      <c r="BB18">
        <f>AND(SUMIFS($AN$8:$AN$1039,$O$8:$O$1039,BB7,$AB$8:$AB$1039,AS18,$R$8:$R$1039,AR18)&lt;=D96,SUMIFS($AO$8:$AO$1039,$O$8:$O$1039,BB7,$AB$8:$AB$1039,AS18,$R$8:$R$1039,AR18)&lt;=D102)</f>
        <v/>
      </c>
    </row>
    <row r="19" ht="14.55" customHeight="1">
      <c r="B19" s="31" t="inlineStr">
        <is>
          <t>F+</t>
        </is>
      </c>
      <c r="C19" s="43" t="n">
        <v>0</v>
      </c>
      <c r="D19" s="43" t="n">
        <v>0</v>
      </c>
      <c r="E19" s="43" t="n">
        <v>0</v>
      </c>
      <c r="F19" s="44" t="inlineStr">
        <is>
          <t>Fab 1 space</t>
        </is>
      </c>
      <c r="G19" s="44" t="inlineStr">
        <is>
          <t>Fab 2 space</t>
        </is>
      </c>
      <c r="H19" s="44" t="inlineStr">
        <is>
          <t>Fab 3 space</t>
        </is>
      </c>
      <c r="O19" s="43" t="inlineStr">
        <is>
          <t>Q1’26</t>
        </is>
      </c>
      <c r="P19" s="43" t="n">
        <v>1</v>
      </c>
      <c r="Q19" s="43" t="n">
        <v>4</v>
      </c>
      <c r="R19" s="43" t="n">
        <v>3</v>
      </c>
      <c r="S19" s="45" t="n">
        <v>0</v>
      </c>
      <c r="T19">
        <f>(S17+S18+S19)=N2</f>
        <v/>
      </c>
      <c r="X19" s="84">
        <f>MAX(S16-S19,0)</f>
        <v/>
      </c>
      <c r="Y19" s="83" t="n">
        <v>0</v>
      </c>
      <c r="AA19" s="84" t="n">
        <v>3</v>
      </c>
      <c r="AB19" s="84" t="inlineStr">
        <is>
          <t>A</t>
        </is>
      </c>
      <c r="AC19" s="84" t="inlineStr">
        <is>
          <t>A+</t>
        </is>
      </c>
      <c r="AD19" s="84" t="n">
        <v>20</v>
      </c>
      <c r="AE19" s="84" t="n">
        <v>16</v>
      </c>
      <c r="AF19" s="84" t="n">
        <v>0.78</v>
      </c>
      <c r="AG19" s="84" t="n">
        <v>0.84</v>
      </c>
      <c r="AH19" s="84" t="n">
        <v>0</v>
      </c>
      <c r="AI19" s="84" t="n">
        <v>0</v>
      </c>
      <c r="AJ19" s="84">
        <f>SUMIFS(AH$8:AH$1039,$O$8:$O$1039,O19,$AB$8:$AB$1039,AB19,$R$8:$R$1039,R19,$AA$8:$AA$1039,"&lt;="&amp;AA19)</f>
        <v/>
      </c>
      <c r="AK19" s="84">
        <f>E8</f>
        <v/>
      </c>
      <c r="AL19" s="84">
        <f>E14</f>
        <v/>
      </c>
      <c r="AM19" s="84">
        <f>MAX(0,AJ19-AK19)</f>
        <v/>
      </c>
      <c r="AN19" s="84">
        <f>IF(AM19=0,AH19,IF(AM19&gt;=AH19,0,AH19-AM19))</f>
        <v/>
      </c>
      <c r="AO19" s="84">
        <f>IF(AM19&gt;=AH19,AI19,AI19*AM19/AH19)</f>
        <v/>
      </c>
      <c r="AP19">
        <f t="array" ref="AP19">INDEX($AU$8:$BB$25,6*(R19-1)+MATCH(AB19,$AS$8:$AS$13,0),MATCH(O19,$AU$7:$BB$7,0))</f>
        <v/>
      </c>
      <c r="AR19" s="84" t="n">
        <v>2</v>
      </c>
      <c r="AS19" s="84" t="inlineStr">
        <is>
          <t>F</t>
        </is>
      </c>
      <c r="AT19" s="84" t="inlineStr">
        <is>
          <t>F+</t>
        </is>
      </c>
      <c r="AU19">
        <f>AND(SUMIFS($AN$8:$AN$1039,$O$8:$O$1039,AU7,$AB$8:$AB$1039,AS19,$R$8:$R$1039,AR19)&lt;=D13,SUMIFS($AO$8:$AO$1039,$O$8:$O$1039,AU7,$AB$8:$AB$1039,AS19,$R$8:$R$1039,AR19)&lt;=D19)</f>
        <v/>
      </c>
      <c r="AV19">
        <f>AND(SUMIFS($AN$8:$AN$1039,$O$8:$O$1039,AV7,$AB$8:$AB$1039,AS19,$R$8:$R$1039,AR19)&lt;=D25,SUMIFS($AO$8:$AO$1039,$O$8:$O$1039,AV7,$AB$8:$AB$1039,AS19,$R$8:$R$1039,AR19)&lt;=D31)</f>
        <v/>
      </c>
      <c r="AW19">
        <f>AND(SUMIFS($AN$8:$AN$1039,$O$8:$O$1039,AW7,$AB$8:$AB$1039,AS19,$R$8:$R$1039,AR19)&lt;=D37,SUMIFS($AO$8:$AO$1039,$O$8:$O$1039,AW7,$AB$8:$AB$1039,AS19,$R$8:$R$1039,AR19)&lt;=D43)</f>
        <v/>
      </c>
      <c r="AX19">
        <f>AND(SUMIFS($AN$8:$AN$1039,$O$8:$O$1039,AX7,$AB$8:$AB$1039,AS19,$R$8:$R$1039,AR19)&lt;=D49,SUMIFS($AO$8:$AO$1039,$O$8:$O$1039,AX7,$AB$8:$AB$1039,AS19,$R$8:$R$1039,AR19)&lt;=D55)</f>
        <v/>
      </c>
      <c r="AY19">
        <f>AND(SUMIFS($AN$8:$AN$1039,$O$8:$O$1039,AY7,$AB$8:$AB$1039,AS19,$R$8:$R$1039,AR19)&lt;=D61,SUMIFS($AO$8:$AO$1039,$O$8:$O$1039,AY7,$AB$8:$AB$1039,AS19,$R$8:$R$1039,AR19)&lt;=D67)</f>
        <v/>
      </c>
      <c r="AZ19">
        <f>AND(SUMIFS($AN$8:$AN$1039,$O$8:$O$1039,AZ7,$AB$8:$AB$1039,AS19,$R$8:$R$1039,AR19)&lt;=D73,SUMIFS($AO$8:$AO$1039,$O$8:$O$1039,AZ7,$AB$8:$AB$1039,AS19,$R$8:$R$1039,AR19)&lt;=D79)</f>
        <v/>
      </c>
      <c r="BA19">
        <f>AND(SUMIFS($AN$8:$AN$1039,$O$8:$O$1039,BA7,$AB$8:$AB$1039,AS19,$R$8:$R$1039,AR19)&lt;=D85,SUMIFS($AO$8:$AO$1039,$O$8:$O$1039,BA7,$AB$8:$AB$1039,AS19,$R$8:$R$1039,AR19)&lt;=D91)</f>
        <v/>
      </c>
      <c r="BB19">
        <f>AND(SUMIFS($AN$8:$AN$1039,$O$8:$O$1039,BB7,$AB$8:$AB$1039,AS19,$R$8:$R$1039,AR19)&lt;=D97,SUMIFS($AO$8:$AO$1039,$O$8:$O$1039,BB7,$AB$8:$AB$1039,AS19,$R$8:$R$1039,AR19)&lt;=D103)</f>
        <v/>
      </c>
    </row>
    <row r="20" ht="14.25" customHeight="1">
      <c r="A20" s="85" t="inlineStr">
        <is>
          <t>WS Component for Q2’26</t>
        </is>
      </c>
      <c r="B20" s="31" t="inlineStr">
        <is>
          <t>A</t>
        </is>
      </c>
      <c r="C20" s="45" t="n">
        <v>50</v>
      </c>
      <c r="D20" s="45" t="n">
        <v>35</v>
      </c>
      <c r="E20" s="45" t="n">
        <v>0</v>
      </c>
      <c r="F20">
        <f t="array" ref="F20">SUM(C20:C31*data!$B$3:$B$14)</f>
        <v/>
      </c>
      <c r="G20">
        <f t="array" ref="G20">SUM(D20:D31*data!$B$3:$B$14)</f>
        <v/>
      </c>
      <c r="H20">
        <f t="array" ref="H20">SUM(E20:E31*data!$B$3:$B$14)</f>
        <v/>
      </c>
      <c r="I20" s="64" t="inlineStr">
        <is>
          <t>&lt;- make sure its green</t>
        </is>
      </c>
      <c r="O20" s="43" t="inlineStr">
        <is>
          <t>Q1’26</t>
        </is>
      </c>
      <c r="P20" s="43" t="n">
        <v>1</v>
      </c>
      <c r="Q20" s="43" t="n">
        <v>5</v>
      </c>
      <c r="R20" s="43" t="n">
        <v>1</v>
      </c>
      <c r="S20" s="45" t="n">
        <v>5714.877545529126</v>
      </c>
      <c r="T20">
        <f>(S20+S21+S22)=N2</f>
        <v/>
      </c>
      <c r="X20" s="84">
        <f>MAX(S17-S20,0)</f>
        <v/>
      </c>
      <c r="Y20" s="83" t="n">
        <v>0</v>
      </c>
      <c r="AA20" s="84" t="n">
        <v>11</v>
      </c>
      <c r="AB20" s="84" t="inlineStr">
        <is>
          <t>F</t>
        </is>
      </c>
      <c r="AC20" s="84" t="inlineStr">
        <is>
          <t>F+</t>
        </is>
      </c>
      <c r="AD20" s="84" t="n">
        <v>12</v>
      </c>
      <c r="AE20" s="84" t="n">
        <v>9</v>
      </c>
      <c r="AF20" s="84" t="n">
        <v>0.8</v>
      </c>
      <c r="AG20" s="84" t="n">
        <v>0.9</v>
      </c>
      <c r="AH20" s="84" t="n">
        <v>0</v>
      </c>
      <c r="AI20" s="84" t="n">
        <v>0</v>
      </c>
      <c r="AJ20" s="84">
        <f>SUMIFS(AH$8:AH$1039,$O$8:$O$1039,O20,$AB$8:$AB$1039,AB20,$R$8:$R$1039,R20,$AA$8:$AA$1039,"&lt;="&amp;AA20)</f>
        <v/>
      </c>
      <c r="AK20" s="84">
        <f>C13</f>
        <v/>
      </c>
      <c r="AL20" s="84">
        <f>C19</f>
        <v/>
      </c>
      <c r="AM20" s="84">
        <f>MAX(0,AJ20-AK20)</f>
        <v/>
      </c>
      <c r="AN20" s="84">
        <f>IF(AM20=0,AH20,IF(AM20&gt;=AH20,0,AH20-AM20))</f>
        <v/>
      </c>
      <c r="AO20" s="84">
        <f>IF(AM20&gt;=AH20,AI20,AI20*AM20/AH20)</f>
        <v/>
      </c>
      <c r="AP20">
        <f t="array" ref="AP20">INDEX($AU$8:$BB$25,6*(R20-1)+MATCH(AB20,$AS$8:$AS$13,0),MATCH(O20,$AU$7:$BB$7,0))</f>
        <v/>
      </c>
      <c r="AR20" s="84" t="n">
        <v>3</v>
      </c>
      <c r="AS20" s="84" t="inlineStr">
        <is>
          <t>A</t>
        </is>
      </c>
      <c r="AT20" s="84" t="inlineStr">
        <is>
          <t>A+</t>
        </is>
      </c>
      <c r="AU20">
        <f>AND(SUMIFS($AN$8:$AN$1039,$O$8:$O$1039,AU7,$AB$8:$AB$1039,AS20,$R$8:$R$1039,AR20)&lt;=E8,SUMIFS($AO$8:$AO$1039,$O$8:$O$1039,AU7,$AB$8:$AB$1039,AS20,$R$8:$R$1039,AR20)&lt;=E14)</f>
        <v/>
      </c>
      <c r="AV20">
        <f>AND(SUMIFS($AN$8:$AN$1039,$O$8:$O$1039,AV7,$AB$8:$AB$1039,AS20,$R$8:$R$1039,AR20)&lt;=E20,SUMIFS($AO$8:$AO$1039,$O$8:$O$1039,AV7,$AB$8:$AB$1039,AS20,$R$8:$R$1039,AR20)&lt;=E26)</f>
        <v/>
      </c>
      <c r="AW20">
        <f>AND(SUMIFS($AN$8:$AN$1039,$O$8:$O$1039,AW7,$AB$8:$AB$1039,AS20,$R$8:$R$1039,AR20)&lt;=E32,SUMIFS($AO$8:$AO$1039,$O$8:$O$1039,AW7,$AB$8:$AB$1039,AS20,$R$8:$R$1039,AR20)&lt;=E38)</f>
        <v/>
      </c>
      <c r="AX20">
        <f>AND(SUMIFS($AN$8:$AN$1039,$O$8:$O$1039,AX7,$AB$8:$AB$1039,AS20,$R$8:$R$1039,AR20)&lt;=E44,SUMIFS($AO$8:$AO$1039,$O$8:$O$1039,AX7,$AB$8:$AB$1039,AS20,$R$8:$R$1039,AR20)&lt;=E50)</f>
        <v/>
      </c>
      <c r="AY20">
        <f>AND(SUMIFS($AN$8:$AN$1039,$O$8:$O$1039,AY7,$AB$8:$AB$1039,AS20,$R$8:$R$1039,AR20)&lt;=E56,SUMIFS($AO$8:$AO$1039,$O$8:$O$1039,AY7,$AB$8:$AB$1039,AS20,$R$8:$R$1039,AR20)&lt;=E62)</f>
        <v/>
      </c>
      <c r="AZ20">
        <f>AND(SUMIFS($AN$8:$AN$1039,$O$8:$O$1039,AZ7,$AB$8:$AB$1039,AS20,$R$8:$R$1039,AR20)&lt;=E68,SUMIFS($AO$8:$AO$1039,$O$8:$O$1039,AZ7,$AB$8:$AB$1039,AS20,$R$8:$R$1039,AR20)&lt;=E74)</f>
        <v/>
      </c>
      <c r="BA20">
        <f>AND(SUMIFS($AN$8:$AN$1039,$O$8:$O$1039,BA7,$AB$8:$AB$1039,AS20,$R$8:$R$1039,AR20)&lt;=E80,SUMIFS($AO$8:$AO$1039,$O$8:$O$1039,BA7,$AB$8:$AB$1039,AS20,$R$8:$R$1039,AR20)&lt;=E86)</f>
        <v/>
      </c>
      <c r="BB20">
        <f>AND(SUMIFS($AN$8:$AN$1039,$O$8:$O$1039,BB7,$AB$8:$AB$1039,AS20,$R$8:$R$1039,AR20)&lt;=E92,SUMIFS($AO$8:$AO$1039,$O$8:$O$1039,BB7,$AB$8:$AB$1039,AS20,$R$8:$R$1039,AR20)&lt;=E98)</f>
        <v/>
      </c>
    </row>
    <row r="21" ht="14.55" customHeight="1">
      <c r="B21" s="31" t="inlineStr">
        <is>
          <t>B</t>
        </is>
      </c>
      <c r="C21" s="45" t="n">
        <v>25</v>
      </c>
      <c r="D21" s="45" t="n">
        <v>30</v>
      </c>
      <c r="E21" s="45" t="n">
        <v>0</v>
      </c>
      <c r="I21" s="64" t="n"/>
      <c r="O21" s="43" t="inlineStr">
        <is>
          <t>Q1’26</t>
        </is>
      </c>
      <c r="P21" s="43" t="n">
        <v>1</v>
      </c>
      <c r="Q21" s="43" t="n">
        <v>5</v>
      </c>
      <c r="R21" s="43" t="n">
        <v>2</v>
      </c>
      <c r="S21" s="45" t="n">
        <v>5507.348869565213</v>
      </c>
      <c r="T21">
        <f>(S20+S21+S22)=N2</f>
        <v/>
      </c>
      <c r="X21" s="84">
        <f>MAX(S18-S21,0)</f>
        <v/>
      </c>
      <c r="Y21" s="83" t="n">
        <v>0</v>
      </c>
      <c r="AA21" s="84" t="n">
        <v>11</v>
      </c>
      <c r="AB21" s="84" t="inlineStr">
        <is>
          <t>F</t>
        </is>
      </c>
      <c r="AC21" s="84" t="inlineStr">
        <is>
          <t>F+</t>
        </is>
      </c>
      <c r="AD21" s="84" t="n">
        <v>12</v>
      </c>
      <c r="AE21" s="84" t="n">
        <v>9</v>
      </c>
      <c r="AF21" s="84" t="n">
        <v>0.8</v>
      </c>
      <c r="AG21" s="84" t="n">
        <v>0.9</v>
      </c>
      <c r="AH21" s="84" t="n">
        <v>0</v>
      </c>
      <c r="AI21" s="84" t="n">
        <v>0</v>
      </c>
      <c r="AJ21" s="84">
        <f>SUMIFS(AH$8:AH$1039,$O$8:$O$1039,O21,$AB$8:$AB$1039,AB21,$R$8:$R$1039,R21,$AA$8:$AA$1039,"&lt;="&amp;AA21)</f>
        <v/>
      </c>
      <c r="AK21" s="84">
        <f>D13</f>
        <v/>
      </c>
      <c r="AL21" s="84">
        <f>D19</f>
        <v/>
      </c>
      <c r="AM21" s="84">
        <f>MAX(0,AJ21-AK21)</f>
        <v/>
      </c>
      <c r="AN21" s="84">
        <f>IF(AM21=0,AH21,IF(AM21&gt;=AH21,0,AH21-AM21))</f>
        <v/>
      </c>
      <c r="AO21" s="84">
        <f>IF(AM21&gt;=AH21,AI21,AI21*AM21/AH21)</f>
        <v/>
      </c>
      <c r="AP21">
        <f t="array" ref="AP21">INDEX($AU$8:$BB$25,6*(R21-1)+MATCH(AB21,$AS$8:$AS$13,0),MATCH(O21,$AU$7:$BB$7,0))</f>
        <v/>
      </c>
      <c r="AR21" s="84" t="n">
        <v>3</v>
      </c>
      <c r="AS21" s="84" t="inlineStr">
        <is>
          <t>B</t>
        </is>
      </c>
      <c r="AT21" s="84" t="inlineStr">
        <is>
          <t>B+</t>
        </is>
      </c>
      <c r="AU21">
        <f>AND(SUMIFS($AN$8:$AN$1039,$O$8:$O$1039,AU7,$AB$8:$AB$1039,AS21,$R$8:$R$1039,AR21)&lt;=E9,SUMIFS($AO$8:$AO$1039,$O$8:$O$1039,AU7,$AB$8:$AB$1039,AS21,$R$8:$R$1039,AR21)&lt;=E15)</f>
        <v/>
      </c>
      <c r="AV21">
        <f>AND(SUMIFS($AN$8:$AN$1039,$O$8:$O$1039,AV7,$AB$8:$AB$1039,AS21,$R$8:$R$1039,AR21)&lt;=E21,SUMIFS($AO$8:$AO$1039,$O$8:$O$1039,AV7,$AB$8:$AB$1039,AS21,$R$8:$R$1039,AR21)&lt;=E27)</f>
        <v/>
      </c>
      <c r="AW21">
        <f>AND(SUMIFS($AN$8:$AN$1039,$O$8:$O$1039,AW7,$AB$8:$AB$1039,AS21,$R$8:$R$1039,AR21)&lt;=E33,SUMIFS($AO$8:$AO$1039,$O$8:$O$1039,AW7,$AB$8:$AB$1039,AS21,$R$8:$R$1039,AR21)&lt;=E39)</f>
        <v/>
      </c>
      <c r="AX21">
        <f>AND(SUMIFS($AN$8:$AN$1039,$O$8:$O$1039,AX7,$AB$8:$AB$1039,AS21,$R$8:$R$1039,AR21)&lt;=E45,SUMIFS($AO$8:$AO$1039,$O$8:$O$1039,AX7,$AB$8:$AB$1039,AS21,$R$8:$R$1039,AR21)&lt;=E51)</f>
        <v/>
      </c>
      <c r="AY21">
        <f>AND(SUMIFS($AN$8:$AN$1039,$O$8:$O$1039,AY7,$AB$8:$AB$1039,AS21,$R$8:$R$1039,AR21)&lt;=E57,SUMIFS($AO$8:$AO$1039,$O$8:$O$1039,AY7,$AB$8:$AB$1039,AS21,$R$8:$R$1039,AR21)&lt;=E63)</f>
        <v/>
      </c>
      <c r="AZ21">
        <f>AND(SUMIFS($AN$8:$AN$1039,$O$8:$O$1039,AZ7,$AB$8:$AB$1039,AS21,$R$8:$R$1039,AR21)&lt;=E69,SUMIFS($AO$8:$AO$1039,$O$8:$O$1039,AZ7,$AB$8:$AB$1039,AS21,$R$8:$R$1039,AR21)&lt;=E75)</f>
        <v/>
      </c>
      <c r="BA21">
        <f>AND(SUMIFS($AN$8:$AN$1039,$O$8:$O$1039,BA7,$AB$8:$AB$1039,AS21,$R$8:$R$1039,AR21)&lt;=E81,SUMIFS($AO$8:$AO$1039,$O$8:$O$1039,BA7,$AB$8:$AB$1039,AS21,$R$8:$R$1039,AR21)&lt;=E87)</f>
        <v/>
      </c>
      <c r="BB21">
        <f>AND(SUMIFS($AN$8:$AN$1039,$O$8:$O$1039,BB7,$AB$8:$AB$1039,AS21,$R$8:$R$1039,AR21)&lt;=E93,SUMIFS($AO$8:$AO$1039,$O$8:$O$1039,BB7,$AB$8:$AB$1039,AS21,$R$8:$R$1039,AR21)&lt;=E99)</f>
        <v/>
      </c>
    </row>
    <row r="22" ht="14.55" customHeight="1">
      <c r="B22" s="31" t="inlineStr">
        <is>
          <t>C</t>
        </is>
      </c>
      <c r="C22" s="45" t="n">
        <v>0</v>
      </c>
      <c r="D22" s="45" t="n">
        <v>0</v>
      </c>
      <c r="E22" s="45" t="n">
        <v>40</v>
      </c>
      <c r="F22" s="84" t="inlineStr">
        <is>
          <t>New tool purchase cost</t>
        </is>
      </c>
      <c r="I22" s="64" t="n"/>
      <c r="O22" s="43" t="inlineStr">
        <is>
          <t>Q1’26</t>
        </is>
      </c>
      <c r="P22" s="43" t="n">
        <v>1</v>
      </c>
      <c r="Q22" s="43" t="n">
        <v>5</v>
      </c>
      <c r="R22" s="43" t="n">
        <v>3</v>
      </c>
      <c r="S22" s="45" t="n">
        <v>777.773584905661</v>
      </c>
      <c r="T22">
        <f>(S20+S21+S22)=N2</f>
        <v/>
      </c>
      <c r="X22" s="84">
        <f>MAX(S19-S22,0)</f>
        <v/>
      </c>
      <c r="Y22" s="83" t="n">
        <v>0</v>
      </c>
      <c r="AA22" s="84" t="n">
        <v>11</v>
      </c>
      <c r="AB22" s="84" t="inlineStr">
        <is>
          <t>F</t>
        </is>
      </c>
      <c r="AC22" s="84" t="inlineStr">
        <is>
          <t>F+</t>
        </is>
      </c>
      <c r="AD22" s="84" t="n">
        <v>12</v>
      </c>
      <c r="AE22" s="84" t="n">
        <v>9</v>
      </c>
      <c r="AF22" s="84" t="n">
        <v>0.8</v>
      </c>
      <c r="AG22" s="84" t="n">
        <v>0.9</v>
      </c>
      <c r="AH22" s="84" t="n">
        <v>0</v>
      </c>
      <c r="AI22" s="84" t="n">
        <v>0</v>
      </c>
      <c r="AJ22" s="84">
        <f>SUMIFS(AH$8:AH$1039,$O$8:$O$1039,O22,$AB$8:$AB$1039,AB22,$R$8:$R$1039,R22,$AA$8:$AA$1039,"&lt;="&amp;AA22)</f>
        <v/>
      </c>
      <c r="AK22" s="84">
        <f>E13</f>
        <v/>
      </c>
      <c r="AL22" s="84">
        <f>E19</f>
        <v/>
      </c>
      <c r="AM22" s="84">
        <f>MAX(0,AJ22-AK22)</f>
        <v/>
      </c>
      <c r="AN22" s="84">
        <f>IF(AM22=0,AH22,IF(AM22&gt;=AH22,0,AH22-AM22))</f>
        <v/>
      </c>
      <c r="AO22" s="84">
        <f>IF(AM22&gt;=AH22,AI22,AI22*AM22/AH22)</f>
        <v/>
      </c>
      <c r="AP22">
        <f t="array" ref="AP22">INDEX($AU$8:$BB$25,6*(R22-1)+MATCH(AB22,$AS$8:$AS$13,0),MATCH(O22,$AU$7:$BB$7,0))</f>
        <v/>
      </c>
      <c r="AR22" s="84" t="n">
        <v>3</v>
      </c>
      <c r="AS22" s="84" t="inlineStr">
        <is>
          <t>C</t>
        </is>
      </c>
      <c r="AT22" s="84" t="inlineStr">
        <is>
          <t>C+</t>
        </is>
      </c>
      <c r="AU22">
        <f>AND(SUMIFS($AN$8:$AN$1039,$O$8:$O$1039,AU7,$AB$8:$AB$1039,AS22,$R$8:$R$1039,AR22)&lt;=E10,SUMIFS($AO$8:$AO$1039,$O$8:$O$1039,AU7,$AB$8:$AB$1039,AS22,$R$8:$R$1039,AR22)&lt;=E16)</f>
        <v/>
      </c>
      <c r="AV22">
        <f>AND(SUMIFS($AN$8:$AN$1039,$O$8:$O$1039,AV7,$AB$8:$AB$1039,AS22,$R$8:$R$1039,AR22)&lt;=E22,SUMIFS($AO$8:$AO$1039,$O$8:$O$1039,AV7,$AB$8:$AB$1039,AS22,$R$8:$R$1039,AR22)&lt;=E28)</f>
        <v/>
      </c>
      <c r="AW22">
        <f>AND(SUMIFS($AN$8:$AN$1039,$O$8:$O$1039,AW7,$AB$8:$AB$1039,AS22,$R$8:$R$1039,AR22)&lt;=E34,SUMIFS($AO$8:$AO$1039,$O$8:$O$1039,AW7,$AB$8:$AB$1039,AS22,$R$8:$R$1039,AR22)&lt;=E40)</f>
        <v/>
      </c>
      <c r="AX22">
        <f>AND(SUMIFS($AN$8:$AN$1039,$O$8:$O$1039,AX7,$AB$8:$AB$1039,AS22,$R$8:$R$1039,AR22)&lt;=E46,SUMIFS($AO$8:$AO$1039,$O$8:$O$1039,AX7,$AB$8:$AB$1039,AS22,$R$8:$R$1039,AR22)&lt;=E52)</f>
        <v/>
      </c>
      <c r="AY22">
        <f>AND(SUMIFS($AN$8:$AN$1039,$O$8:$O$1039,AY7,$AB$8:$AB$1039,AS22,$R$8:$R$1039,AR22)&lt;=E58,SUMIFS($AO$8:$AO$1039,$O$8:$O$1039,AY7,$AB$8:$AB$1039,AS22,$R$8:$R$1039,AR22)&lt;=E64)</f>
        <v/>
      </c>
      <c r="AZ22">
        <f>AND(SUMIFS($AN$8:$AN$1039,$O$8:$O$1039,AZ7,$AB$8:$AB$1039,AS22,$R$8:$R$1039,AR22)&lt;=E70,SUMIFS($AO$8:$AO$1039,$O$8:$O$1039,AZ7,$AB$8:$AB$1039,AS22,$R$8:$R$1039,AR22)&lt;=E76)</f>
        <v/>
      </c>
      <c r="BA22">
        <f>AND(SUMIFS($AN$8:$AN$1039,$O$8:$O$1039,BA7,$AB$8:$AB$1039,AS22,$R$8:$R$1039,AR22)&lt;=E82,SUMIFS($AO$8:$AO$1039,$O$8:$O$1039,BA7,$AB$8:$AB$1039,AS22,$R$8:$R$1039,AR22)&lt;=E88)</f>
        <v/>
      </c>
      <c r="BB22">
        <f>AND(SUMIFS($AN$8:$AN$1039,$O$8:$O$1039,BB7,$AB$8:$AB$1039,AS22,$R$8:$R$1039,AR22)&lt;=E94,SUMIFS($AO$8:$AO$1039,$O$8:$O$1039,BB7,$AB$8:$AB$1039,AS22,$R$8:$R$1039,AR22)&lt;=E100)</f>
        <v/>
      </c>
    </row>
    <row r="23" ht="14.55" customHeight="1">
      <c r="B23" s="31" t="inlineStr">
        <is>
          <t>D</t>
        </is>
      </c>
      <c r="C23" s="45" t="n">
        <v>50</v>
      </c>
      <c r="D23" s="45" t="n">
        <v>50</v>
      </c>
      <c r="E23" s="45" t="n">
        <v>35</v>
      </c>
      <c r="F23" s="83">
        <f t="array" ref="F23">SUM(
     _xlfn.BYROW(
           IF(C20:E31-C8:E19&gt;0, C20:E31-C8:E19, 0),
           _xleta.SUM)
     *data!$C$3:$C$14
)</f>
        <v/>
      </c>
      <c r="I23" s="64" t="n"/>
      <c r="O23" s="43" t="inlineStr">
        <is>
          <t>Q1’26</t>
        </is>
      </c>
      <c r="P23" s="43" t="n">
        <v>1</v>
      </c>
      <c r="Q23" s="43" t="n">
        <v>6</v>
      </c>
      <c r="R23" s="43" t="n">
        <v>1</v>
      </c>
      <c r="S23" s="45" t="n">
        <v>5714.877545529126</v>
      </c>
      <c r="T23">
        <f>(S23+S24+S25)=N2</f>
        <v/>
      </c>
      <c r="X23" s="84">
        <f>MAX(S20-S23,0)</f>
        <v/>
      </c>
      <c r="Y23" s="83" t="n">
        <v>0</v>
      </c>
      <c r="AA23" s="84" t="n">
        <v>7</v>
      </c>
      <c r="AB23" s="84" t="inlineStr">
        <is>
          <t>D</t>
        </is>
      </c>
      <c r="AC23" s="84" t="inlineStr">
        <is>
          <t>D+</t>
        </is>
      </c>
      <c r="AD23" s="84" t="n">
        <v>27</v>
      </c>
      <c r="AE23" s="84" t="n">
        <v>21</v>
      </c>
      <c r="AF23" s="84" t="n">
        <v>0.8</v>
      </c>
      <c r="AG23" s="84" t="n">
        <v>0.88</v>
      </c>
      <c r="AH23" s="84" t="n">
        <v>0</v>
      </c>
      <c r="AI23" s="84" t="n">
        <v>0</v>
      </c>
      <c r="AJ23" s="84">
        <f>SUMIFS(AH$8:AH$1039,$O$8:$O$1039,O23,$AB$8:$AB$1039,AB23,$R$8:$R$1039,R23,$AA$8:$AA$1039,"&lt;="&amp;AA23)</f>
        <v/>
      </c>
      <c r="AK23" s="84">
        <f>C11</f>
        <v/>
      </c>
      <c r="AL23" s="84">
        <f>C17</f>
        <v/>
      </c>
      <c r="AM23" s="84">
        <f>MAX(0,AJ23-AK23)</f>
        <v/>
      </c>
      <c r="AN23" s="84">
        <f>IF(AM23=0,AH23,IF(AM23&gt;=AH23,0,AH23-AM23))</f>
        <v/>
      </c>
      <c r="AO23" s="84">
        <f>IF(AM23&gt;=AH23,AI23,AI23*AM23/AH23)</f>
        <v/>
      </c>
      <c r="AP23">
        <f t="array" ref="AP23">INDEX($AU$8:$BB$25,6*(R23-1)+MATCH(AB23,$AS$8:$AS$13,0),MATCH(O23,$AU$7:$BB$7,0))</f>
        <v/>
      </c>
      <c r="AR23" s="84" t="n">
        <v>3</v>
      </c>
      <c r="AS23" s="84" t="inlineStr">
        <is>
          <t>D</t>
        </is>
      </c>
      <c r="AT23" s="84" t="inlineStr">
        <is>
          <t>D+</t>
        </is>
      </c>
      <c r="AU23">
        <f>AND(SUMIFS($AN$8:$AN$1039,$O$8:$O$1039,AU7,$AB$8:$AB$1039,AS23,$R$8:$R$1039,AR23)&lt;=E11,SUMIFS($AO$8:$AO$1039,$O$8:$O$1039,AU7,$AB$8:$AB$1039,AS23,$R$8:$R$1039,AR23)&lt;=E17)</f>
        <v/>
      </c>
      <c r="AV23">
        <f>AND(SUMIFS($AN$8:$AN$1039,$O$8:$O$1039,AV7,$AB$8:$AB$1039,AS23,$R$8:$R$1039,AR23)&lt;=E23,SUMIFS($AO$8:$AO$1039,$O$8:$O$1039,AV7,$AB$8:$AB$1039,AS23,$R$8:$R$1039,AR23)&lt;=E29)</f>
        <v/>
      </c>
      <c r="AW23">
        <f>AND(SUMIFS($AN$8:$AN$1039,$O$8:$O$1039,AW7,$AB$8:$AB$1039,AS23,$R$8:$R$1039,AR23)&lt;=E35,SUMIFS($AO$8:$AO$1039,$O$8:$O$1039,AW7,$AB$8:$AB$1039,AS23,$R$8:$R$1039,AR23)&lt;=E41)</f>
        <v/>
      </c>
      <c r="AX23">
        <f>AND(SUMIFS($AN$8:$AN$1039,$O$8:$O$1039,AX7,$AB$8:$AB$1039,AS23,$R$8:$R$1039,AR23)&lt;=E47,SUMIFS($AO$8:$AO$1039,$O$8:$O$1039,AX7,$AB$8:$AB$1039,AS23,$R$8:$R$1039,AR23)&lt;=E53)</f>
        <v/>
      </c>
      <c r="AY23">
        <f>AND(SUMIFS($AN$8:$AN$1039,$O$8:$O$1039,AY7,$AB$8:$AB$1039,AS23,$R$8:$R$1039,AR23)&lt;=E59,SUMIFS($AO$8:$AO$1039,$O$8:$O$1039,AY7,$AB$8:$AB$1039,AS23,$R$8:$R$1039,AR23)&lt;=E65)</f>
        <v/>
      </c>
      <c r="AZ23">
        <f>AND(SUMIFS($AN$8:$AN$1039,$O$8:$O$1039,AZ7,$AB$8:$AB$1039,AS23,$R$8:$R$1039,AR23)&lt;=E71,SUMIFS($AO$8:$AO$1039,$O$8:$O$1039,AZ7,$AB$8:$AB$1039,AS23,$R$8:$R$1039,AR23)&lt;=E77)</f>
        <v/>
      </c>
      <c r="BA23">
        <f>AND(SUMIFS($AN$8:$AN$1039,$O$8:$O$1039,BA7,$AB$8:$AB$1039,AS23,$R$8:$R$1039,AR23)&lt;=E83,SUMIFS($AO$8:$AO$1039,$O$8:$O$1039,BA7,$AB$8:$AB$1039,AS23,$R$8:$R$1039,AR23)&lt;=E89)</f>
        <v/>
      </c>
      <c r="BB23">
        <f>AND(SUMIFS($AN$8:$AN$1039,$O$8:$O$1039,BB7,$AB$8:$AB$1039,AS23,$R$8:$R$1039,AR23)&lt;=E95,SUMIFS($AO$8:$AO$1039,$O$8:$O$1039,BB7,$AB$8:$AB$1039,AS23,$R$8:$R$1039,AR23)&lt;=E101)</f>
        <v/>
      </c>
    </row>
    <row r="24" ht="14.55" customHeight="1">
      <c r="B24" s="31" t="inlineStr">
        <is>
          <t>E</t>
        </is>
      </c>
      <c r="C24" s="45" t="n">
        <v>40</v>
      </c>
      <c r="D24" s="45" t="n">
        <v>30</v>
      </c>
      <c r="E24" s="45" t="n">
        <v>16</v>
      </c>
      <c r="F24" s="84" t="inlineStr">
        <is>
          <t>Moveout cost</t>
        </is>
      </c>
      <c r="I24" s="64" t="n"/>
      <c r="O24" s="43" t="inlineStr">
        <is>
          <t>Q1’26</t>
        </is>
      </c>
      <c r="P24" s="43" t="n">
        <v>1</v>
      </c>
      <c r="Q24" s="43" t="n">
        <v>6</v>
      </c>
      <c r="R24" s="43" t="n">
        <v>2</v>
      </c>
      <c r="S24" s="45" t="n">
        <v>5507.348869565213</v>
      </c>
      <c r="T24">
        <f>(S23+S24+S25)=N2</f>
        <v/>
      </c>
      <c r="X24" s="84">
        <f>MAX(S21-S24,0)</f>
        <v/>
      </c>
      <c r="Y24" s="83" t="n">
        <v>0</v>
      </c>
      <c r="AA24" s="84" t="n">
        <v>7</v>
      </c>
      <c r="AB24" s="84" t="inlineStr">
        <is>
          <t>D</t>
        </is>
      </c>
      <c r="AC24" s="84" t="inlineStr">
        <is>
          <t>D+</t>
        </is>
      </c>
      <c r="AD24" s="84" t="n">
        <v>27</v>
      </c>
      <c r="AE24" s="84" t="n">
        <v>21</v>
      </c>
      <c r="AF24" s="84" t="n">
        <v>0.8</v>
      </c>
      <c r="AG24" s="84" t="n">
        <v>0.88</v>
      </c>
      <c r="AH24" s="84" t="n">
        <v>0</v>
      </c>
      <c r="AI24" s="84" t="n">
        <v>0</v>
      </c>
      <c r="AJ24" s="84">
        <f>SUMIFS(AH$8:AH$1039,$O$8:$O$1039,O24,$AB$8:$AB$1039,AB24,$R$8:$R$1039,R24,$AA$8:$AA$1039,"&lt;="&amp;AA24)</f>
        <v/>
      </c>
      <c r="AK24" s="84">
        <f>D11</f>
        <v/>
      </c>
      <c r="AL24" s="84">
        <f>D17</f>
        <v/>
      </c>
      <c r="AM24" s="84">
        <f>MAX(0,AJ24-AK24)</f>
        <v/>
      </c>
      <c r="AN24" s="84">
        <f>IF(AM24=0,AH24,IF(AM24&gt;=AH24,0,AH24-AM24))</f>
        <v/>
      </c>
      <c r="AO24" s="84">
        <f>IF(AM24&gt;=AH24,AI24,AI24*AM24/AH24)</f>
        <v/>
      </c>
      <c r="AP24">
        <f t="array" ref="AP24">INDEX($AU$8:$BB$25,6*(R24-1)+MATCH(AB24,$AS$8:$AS$13,0),MATCH(O24,$AU$7:$BB$7,0))</f>
        <v/>
      </c>
      <c r="AR24" s="84" t="n">
        <v>3</v>
      </c>
      <c r="AS24" s="84" t="inlineStr">
        <is>
          <t>E</t>
        </is>
      </c>
      <c r="AT24" s="84" t="inlineStr">
        <is>
          <t>E+</t>
        </is>
      </c>
      <c r="AU24">
        <f>AND(SUMIFS($AN$8:$AN$1039,$O$8:$O$1039,AU7,$AB$8:$AB$1039,AS24,$R$8:$R$1039,AR24)&lt;=E12,SUMIFS($AO$8:$AO$1039,$O$8:$O$1039,AU7,$AB$8:$AB$1039,AS24,$R$8:$R$1039,AR24)&lt;=E18)</f>
        <v/>
      </c>
      <c r="AV24">
        <f>AND(SUMIFS($AN$8:$AN$1039,$O$8:$O$1039,AV7,$AB$8:$AB$1039,AS24,$R$8:$R$1039,AR24)&lt;=E24,SUMIFS($AO$8:$AO$1039,$O$8:$O$1039,AV7,$AB$8:$AB$1039,AS24,$R$8:$R$1039,AR24)&lt;=E30)</f>
        <v/>
      </c>
      <c r="AW24">
        <f>AND(SUMIFS($AN$8:$AN$1039,$O$8:$O$1039,AW7,$AB$8:$AB$1039,AS24,$R$8:$R$1039,AR24)&lt;=E36,SUMIFS($AO$8:$AO$1039,$O$8:$O$1039,AW7,$AB$8:$AB$1039,AS24,$R$8:$R$1039,AR24)&lt;=E42)</f>
        <v/>
      </c>
      <c r="AX24">
        <f>AND(SUMIFS($AN$8:$AN$1039,$O$8:$O$1039,AX7,$AB$8:$AB$1039,AS24,$R$8:$R$1039,AR24)&lt;=E48,SUMIFS($AO$8:$AO$1039,$O$8:$O$1039,AX7,$AB$8:$AB$1039,AS24,$R$8:$R$1039,AR24)&lt;=E54)</f>
        <v/>
      </c>
      <c r="AY24">
        <f>AND(SUMIFS($AN$8:$AN$1039,$O$8:$O$1039,AY7,$AB$8:$AB$1039,AS24,$R$8:$R$1039,AR24)&lt;=E60,SUMIFS($AO$8:$AO$1039,$O$8:$O$1039,AY7,$AB$8:$AB$1039,AS24,$R$8:$R$1039,AR24)&lt;=E66)</f>
        <v/>
      </c>
      <c r="AZ24">
        <f>AND(SUMIFS($AN$8:$AN$1039,$O$8:$O$1039,AZ7,$AB$8:$AB$1039,AS24,$R$8:$R$1039,AR24)&lt;=E72,SUMIFS($AO$8:$AO$1039,$O$8:$O$1039,AZ7,$AB$8:$AB$1039,AS24,$R$8:$R$1039,AR24)&lt;=E78)</f>
        <v/>
      </c>
      <c r="BA24">
        <f>AND(SUMIFS($AN$8:$AN$1039,$O$8:$O$1039,BA7,$AB$8:$AB$1039,AS24,$R$8:$R$1039,AR24)&lt;=E84,SUMIFS($AO$8:$AO$1039,$O$8:$O$1039,BA7,$AB$8:$AB$1039,AS24,$R$8:$R$1039,AR24)&lt;=E90)</f>
        <v/>
      </c>
      <c r="BB24">
        <f>AND(SUMIFS($AN$8:$AN$1039,$O$8:$O$1039,BB7,$AB$8:$AB$1039,AS24,$R$8:$R$1039,AR24)&lt;=E96,SUMIFS($AO$8:$AO$1039,$O$8:$O$1039,BB7,$AB$8:$AB$1039,AS24,$R$8:$R$1039,AR24)&lt;=E102)</f>
        <v/>
      </c>
    </row>
    <row r="25" ht="14.55" customHeight="1">
      <c r="B25" s="31" t="inlineStr">
        <is>
          <t>F</t>
        </is>
      </c>
      <c r="C25" s="45" t="n">
        <v>90</v>
      </c>
      <c r="D25" s="45" t="n">
        <v>60</v>
      </c>
      <c r="E25" s="45" t="n">
        <v>36</v>
      </c>
      <c r="F25" s="83">
        <f t="array" ref="F25">SUM(
     _xlfn.BYROW(
           IF(C20:E31-C8:E19&lt;0, C20:E31-C8:E19, 0),
           _xleta.SUM)
     * -1000000
)</f>
        <v/>
      </c>
      <c r="I25" s="64" t="n"/>
      <c r="O25" s="43" t="inlineStr">
        <is>
          <t>Q1’26</t>
        </is>
      </c>
      <c r="P25" s="43" t="n">
        <v>1</v>
      </c>
      <c r="Q25" s="43" t="n">
        <v>6</v>
      </c>
      <c r="R25" s="43" t="n">
        <v>3</v>
      </c>
      <c r="S25" s="45" t="n">
        <v>777.773584905661</v>
      </c>
      <c r="T25">
        <f>(S23+S24+S25)=N2</f>
        <v/>
      </c>
      <c r="X25" s="84">
        <f>MAX(S22-S25,0)</f>
        <v/>
      </c>
      <c r="Y25" s="83" t="n">
        <v>0</v>
      </c>
      <c r="AA25" s="84" t="n">
        <v>7</v>
      </c>
      <c r="AB25" s="84" t="inlineStr">
        <is>
          <t>D</t>
        </is>
      </c>
      <c r="AC25" s="84" t="inlineStr">
        <is>
          <t>D+</t>
        </is>
      </c>
      <c r="AD25" s="84" t="n">
        <v>27</v>
      </c>
      <c r="AE25" s="84" t="n">
        <v>21</v>
      </c>
      <c r="AF25" s="84" t="n">
        <v>0.8</v>
      </c>
      <c r="AG25" s="84" t="n">
        <v>0.88</v>
      </c>
      <c r="AH25" s="84" t="n">
        <v>0</v>
      </c>
      <c r="AI25" s="84" t="n">
        <v>0</v>
      </c>
      <c r="AJ25" s="84">
        <f>SUMIFS(AH$8:AH$1039,$O$8:$O$1039,O25,$AB$8:$AB$1039,AB25,$R$8:$R$1039,R25,$AA$8:$AA$1039,"&lt;="&amp;AA25)</f>
        <v/>
      </c>
      <c r="AK25" s="84">
        <f>E11</f>
        <v/>
      </c>
      <c r="AL25" s="84">
        <f>E17</f>
        <v/>
      </c>
      <c r="AM25" s="84">
        <f>MAX(0,AJ25-AK25)</f>
        <v/>
      </c>
      <c r="AN25" s="84">
        <f>IF(AM25=0,AH25,IF(AM25&gt;=AH25,0,AH25-AM25))</f>
        <v/>
      </c>
      <c r="AO25" s="84">
        <f>IF(AM25&gt;=AH25,AI25,AI25*AM25/AH25)</f>
        <v/>
      </c>
      <c r="AP25">
        <f t="array" ref="AP25">INDEX($AU$8:$BB$25,6*(R25-1)+MATCH(AB25,$AS$8:$AS$13,0),MATCH(O25,$AU$7:$BB$7,0))</f>
        <v/>
      </c>
      <c r="AR25" s="84" t="n">
        <v>3</v>
      </c>
      <c r="AS25" s="84" t="inlineStr">
        <is>
          <t>F</t>
        </is>
      </c>
      <c r="AT25" s="84" t="inlineStr">
        <is>
          <t>F+</t>
        </is>
      </c>
      <c r="AU25">
        <f>AND(SUMIFS($AN$8:$AN$1039,$O$8:$O$1039,AU7,$AB$8:$AB$1039,AS25,$R$8:$R$1039,AR25)&lt;=E13,SUMIFS($AO$8:$AO$1039,$O$8:$O$1039,AU7,$AB$8:$AB$1039,AS25,$R$8:$R$1039,AR25)&lt;=E19)</f>
        <v/>
      </c>
      <c r="AV25">
        <f>AND(SUMIFS($AN$8:$AN$1039,$O$8:$O$1039,AV7,$AB$8:$AB$1039,AS25,$R$8:$R$1039,AR25)&lt;=E25,SUMIFS($AO$8:$AO$1039,$O$8:$O$1039,AV7,$AB$8:$AB$1039,AS25,$R$8:$R$1039,AR25)&lt;=E31)</f>
        <v/>
      </c>
      <c r="AW25">
        <f>AND(SUMIFS($AN$8:$AN$1039,$O$8:$O$1039,AW7,$AB$8:$AB$1039,AS25,$R$8:$R$1039,AR25)&lt;=E37,SUMIFS($AO$8:$AO$1039,$O$8:$O$1039,AW7,$AB$8:$AB$1039,AS25,$R$8:$R$1039,AR25)&lt;=E43)</f>
        <v/>
      </c>
      <c r="AX25">
        <f>AND(SUMIFS($AN$8:$AN$1039,$O$8:$O$1039,AX7,$AB$8:$AB$1039,AS25,$R$8:$R$1039,AR25)&lt;=E49,SUMIFS($AO$8:$AO$1039,$O$8:$O$1039,AX7,$AB$8:$AB$1039,AS25,$R$8:$R$1039,AR25)&lt;=E55)</f>
        <v/>
      </c>
      <c r="AY25">
        <f>AND(SUMIFS($AN$8:$AN$1039,$O$8:$O$1039,AY7,$AB$8:$AB$1039,AS25,$R$8:$R$1039,AR25)&lt;=E61,SUMIFS($AO$8:$AO$1039,$O$8:$O$1039,AY7,$AB$8:$AB$1039,AS25,$R$8:$R$1039,AR25)&lt;=E67)</f>
        <v/>
      </c>
      <c r="AZ25">
        <f>AND(SUMIFS($AN$8:$AN$1039,$O$8:$O$1039,AZ7,$AB$8:$AB$1039,AS25,$R$8:$R$1039,AR25)&lt;=E73,SUMIFS($AO$8:$AO$1039,$O$8:$O$1039,AZ7,$AB$8:$AB$1039,AS25,$R$8:$R$1039,AR25)&lt;=E79)</f>
        <v/>
      </c>
      <c r="BA25">
        <f>AND(SUMIFS($AN$8:$AN$1039,$O$8:$O$1039,BA7,$AB$8:$AB$1039,AS25,$R$8:$R$1039,AR25)&lt;=E85,SUMIFS($AO$8:$AO$1039,$O$8:$O$1039,BA7,$AB$8:$AB$1039,AS25,$R$8:$R$1039,AR25)&lt;=E91)</f>
        <v/>
      </c>
      <c r="BB25">
        <f>AND(SUMIFS($AN$8:$AN$1039,$O$8:$O$1039,BB7,$AB$8:$AB$1039,AS25,$R$8:$R$1039,AR25)&lt;=E97,SUMIFS($AO$8:$AO$1039,$O$8:$O$1039,BB7,$AB$8:$AB$1039,AS25,$R$8:$R$1039,AR25)&lt;=E103)</f>
        <v/>
      </c>
    </row>
    <row r="26" ht="14.55" customHeight="1">
      <c r="B26" s="31" t="inlineStr">
        <is>
          <t>A+</t>
        </is>
      </c>
      <c r="C26" s="45" t="n">
        <v>0</v>
      </c>
      <c r="D26" s="45" t="n">
        <v>0</v>
      </c>
      <c r="E26" s="45" t="n">
        <v>0</v>
      </c>
      <c r="I26" s="64" t="n"/>
      <c r="O26" s="43" t="inlineStr">
        <is>
          <t>Q1’26</t>
        </is>
      </c>
      <c r="P26" s="43" t="n">
        <v>1</v>
      </c>
      <c r="Q26" s="43" t="n">
        <v>7</v>
      </c>
      <c r="R26" s="43" t="n">
        <v>1</v>
      </c>
      <c r="S26" s="45" t="n">
        <v>5714.877545529126</v>
      </c>
      <c r="T26">
        <f>(S26+S27+S28)=N2</f>
        <v/>
      </c>
      <c r="X26" s="84">
        <f>MAX(S23-S26,0)</f>
        <v/>
      </c>
      <c r="Y26" s="83" t="n">
        <v>0</v>
      </c>
      <c r="AA26" s="84" t="n">
        <v>9</v>
      </c>
      <c r="AB26" s="84" t="inlineStr">
        <is>
          <t>D</t>
        </is>
      </c>
      <c r="AC26" s="84" t="inlineStr">
        <is>
          <t>D+</t>
        </is>
      </c>
      <c r="AD26" s="84" t="n">
        <v>17</v>
      </c>
      <c r="AE26" s="84" t="n">
        <v>13</v>
      </c>
      <c r="AF26" s="84" t="n">
        <v>0.8</v>
      </c>
      <c r="AG26" s="84" t="n">
        <v>0.88</v>
      </c>
      <c r="AH26" s="84" t="n">
        <v>0</v>
      </c>
      <c r="AI26" s="84" t="n">
        <v>0</v>
      </c>
      <c r="AJ26" s="84">
        <f>SUMIFS(AH$8:AH$1039,$O$8:$O$1039,O26,$AB$8:$AB$1039,AB26,$R$8:$R$1039,R26,$AA$8:$AA$1039,"&lt;="&amp;AA26)</f>
        <v/>
      </c>
      <c r="AK26" s="84">
        <f>C11</f>
        <v/>
      </c>
      <c r="AL26" s="84">
        <f>C17</f>
        <v/>
      </c>
      <c r="AM26" s="84">
        <f>MAX(0,AJ26-AK26)</f>
        <v/>
      </c>
      <c r="AN26" s="84">
        <f>IF(AM26=0,AH26,IF(AM26&gt;=AH26,0,AH26-AM26))</f>
        <v/>
      </c>
      <c r="AO26" s="84">
        <f>IF(AM26&gt;=AH26,AI26,AI26*AM26/AH26)</f>
        <v/>
      </c>
      <c r="AP26">
        <f t="array" ref="AP26">INDEX($AU$8:$BB$25,6*(R26-1)+MATCH(AB26,$AS$8:$AS$13,0),MATCH(O26,$AU$7:$BB$7,0))</f>
        <v/>
      </c>
    </row>
    <row r="27" ht="14.55" customHeight="1">
      <c r="B27" s="31" t="inlineStr">
        <is>
          <t>B+</t>
        </is>
      </c>
      <c r="C27" s="45" t="n">
        <v>8</v>
      </c>
      <c r="D27" s="45" t="n">
        <v>0</v>
      </c>
      <c r="E27" s="45" t="n">
        <v>0</v>
      </c>
      <c r="I27" s="64" t="n"/>
      <c r="O27" s="43" t="inlineStr">
        <is>
          <t>Q1’26</t>
        </is>
      </c>
      <c r="P27" s="43" t="n">
        <v>1</v>
      </c>
      <c r="Q27" s="43" t="n">
        <v>7</v>
      </c>
      <c r="R27" s="43" t="n">
        <v>2</v>
      </c>
      <c r="S27" s="45" t="n">
        <v>5507.348869565213</v>
      </c>
      <c r="T27">
        <f>(S26+S27+S28)=N2</f>
        <v/>
      </c>
      <c r="X27" s="84">
        <f>MAX(S24-S27,0)</f>
        <v/>
      </c>
      <c r="Y27" s="83" t="n">
        <v>0</v>
      </c>
      <c r="AA27" s="84" t="n">
        <v>9</v>
      </c>
      <c r="AB27" s="84" t="inlineStr">
        <is>
          <t>D</t>
        </is>
      </c>
      <c r="AC27" s="84" t="inlineStr">
        <is>
          <t>D+</t>
        </is>
      </c>
      <c r="AD27" s="84" t="n">
        <v>17</v>
      </c>
      <c r="AE27" s="84" t="n">
        <v>13</v>
      </c>
      <c r="AF27" s="84" t="n">
        <v>0.8</v>
      </c>
      <c r="AG27" s="84" t="n">
        <v>0.88</v>
      </c>
      <c r="AH27" s="84" t="n">
        <v>0</v>
      </c>
      <c r="AI27" s="84" t="n">
        <v>0</v>
      </c>
      <c r="AJ27" s="84">
        <f>SUMIFS(AH$8:AH$1039,$O$8:$O$1039,O27,$AB$8:$AB$1039,AB27,$R$8:$R$1039,R27,$AA$8:$AA$1039,"&lt;="&amp;AA27)</f>
        <v/>
      </c>
      <c r="AK27" s="84">
        <f>D11</f>
        <v/>
      </c>
      <c r="AL27" s="84">
        <f>D17</f>
        <v/>
      </c>
      <c r="AM27" s="84">
        <f>MAX(0,AJ27-AK27)</f>
        <v/>
      </c>
      <c r="AN27" s="84">
        <f>IF(AM27=0,AH27,IF(AM27&gt;=AH27,0,AH27-AM27))</f>
        <v/>
      </c>
      <c r="AO27" s="84">
        <f>IF(AM27&gt;=AH27,AI27,AI27*AM27/AH27)</f>
        <v/>
      </c>
      <c r="AP27">
        <f t="array" ref="AP27">INDEX($AU$8:$BB$25,6*(R27-1)+MATCH(AB27,$AS$8:$AS$13,0),MATCH(O27,$AU$7:$BB$7,0))</f>
        <v/>
      </c>
    </row>
    <row r="28" ht="14.55" customHeight="1">
      <c r="B28" s="31" t="inlineStr">
        <is>
          <t>C+</t>
        </is>
      </c>
      <c r="C28" s="45" t="n">
        <v>1</v>
      </c>
      <c r="D28" s="45" t="n">
        <v>11</v>
      </c>
      <c r="E28" s="45" t="n">
        <v>1</v>
      </c>
      <c r="I28" s="64" t="n"/>
      <c r="J28">
        <f>4/16</f>
        <v/>
      </c>
      <c r="O28" s="43" t="inlineStr">
        <is>
          <t>Q1’26</t>
        </is>
      </c>
      <c r="P28" s="43" t="n">
        <v>1</v>
      </c>
      <c r="Q28" s="43" t="n">
        <v>7</v>
      </c>
      <c r="R28" s="43" t="n">
        <v>3</v>
      </c>
      <c r="S28" s="45" t="n">
        <v>777.773584905661</v>
      </c>
      <c r="T28">
        <f>(S26+S27+S28)=N2</f>
        <v/>
      </c>
      <c r="X28" s="84">
        <f>MAX(S25-S28,0)</f>
        <v/>
      </c>
      <c r="Y28" s="83" t="n">
        <v>0</v>
      </c>
      <c r="AA28" s="84" t="n">
        <v>9</v>
      </c>
      <c r="AB28" s="84" t="inlineStr">
        <is>
          <t>D</t>
        </is>
      </c>
      <c r="AC28" s="84" t="inlineStr">
        <is>
          <t>D+</t>
        </is>
      </c>
      <c r="AD28" s="84" t="n">
        <v>17</v>
      </c>
      <c r="AE28" s="84" t="n">
        <v>13</v>
      </c>
      <c r="AF28" s="84" t="n">
        <v>0.8</v>
      </c>
      <c r="AG28" s="84" t="n">
        <v>0.88</v>
      </c>
      <c r="AH28" s="84" t="n">
        <v>0</v>
      </c>
      <c r="AI28" s="84" t="n">
        <v>0</v>
      </c>
      <c r="AJ28" s="84">
        <f>SUMIFS(AH$8:AH$1039,$O$8:$O$1039,O28,$AB$8:$AB$1039,AB28,$R$8:$R$1039,R28,$AA$8:$AA$1039,"&lt;="&amp;AA28)</f>
        <v/>
      </c>
      <c r="AK28" s="84">
        <f>E11</f>
        <v/>
      </c>
      <c r="AL28" s="84">
        <f>E17</f>
        <v/>
      </c>
      <c r="AM28" s="84">
        <f>MAX(0,AJ28-AK28)</f>
        <v/>
      </c>
      <c r="AN28" s="84">
        <f>IF(AM28=0,AH28,IF(AM28&gt;=AH28,0,AH28-AM28))</f>
        <v/>
      </c>
      <c r="AO28" s="84">
        <f>IF(AM28&gt;=AH28,AI28,AI28*AM28/AH28)</f>
        <v/>
      </c>
      <c r="AP28">
        <f t="array" ref="AP28">INDEX($AU$8:$BB$25,6*(R28-1)+MATCH(AB28,$AS$8:$AS$13,0),MATCH(O28,$AU$7:$BB$7,0))</f>
        <v/>
      </c>
    </row>
    <row r="29" ht="14.55" customHeight="1">
      <c r="B29" s="31" t="inlineStr">
        <is>
          <t>D+</t>
        </is>
      </c>
      <c r="C29" s="45" t="n">
        <v>2</v>
      </c>
      <c r="D29" s="45" t="n">
        <v>0</v>
      </c>
      <c r="E29" s="45" t="n">
        <v>0</v>
      </c>
      <c r="I29" s="64" t="n"/>
      <c r="O29" s="43" t="inlineStr">
        <is>
          <t>Q1’26</t>
        </is>
      </c>
      <c r="P29" s="43" t="n">
        <v>1</v>
      </c>
      <c r="Q29" s="43" t="n">
        <v>8</v>
      </c>
      <c r="R29" s="43" t="n">
        <v>1</v>
      </c>
      <c r="S29" s="45" t="n">
        <v>7145.969923273654</v>
      </c>
      <c r="T29">
        <f>(S29+S30+S31)=N2</f>
        <v/>
      </c>
      <c r="X29" s="84">
        <f>MAX(S26-S29,0)</f>
        <v/>
      </c>
      <c r="Y29" s="83" t="n">
        <v>0</v>
      </c>
      <c r="AA29" s="84" t="n">
        <v>1</v>
      </c>
      <c r="AB29" s="84" t="inlineStr">
        <is>
          <t>A</t>
        </is>
      </c>
      <c r="AC29" s="84" t="inlineStr">
        <is>
          <t>A+</t>
        </is>
      </c>
      <c r="AD29" s="84" t="n">
        <v>18</v>
      </c>
      <c r="AE29" s="84" t="n">
        <v>16</v>
      </c>
      <c r="AF29" s="84" t="n">
        <v>0.78</v>
      </c>
      <c r="AG29" s="84" t="n">
        <v>0.84</v>
      </c>
      <c r="AH29" s="84" t="n">
        <v>0</v>
      </c>
      <c r="AI29" s="84" t="n">
        <v>0</v>
      </c>
      <c r="AJ29" s="84">
        <f>SUMIFS(AH$8:AH$1039,$O$8:$O$1039,O29,$AB$8:$AB$1039,AB29,$R$8:$R$1039,R29,$AA$8:$AA$1039,"&lt;="&amp;AA29)</f>
        <v/>
      </c>
      <c r="AK29" s="84">
        <f>C8</f>
        <v/>
      </c>
      <c r="AL29" s="84">
        <f>C14</f>
        <v/>
      </c>
      <c r="AM29" s="84">
        <f>MAX(0,AJ29-AK29)</f>
        <v/>
      </c>
      <c r="AN29" s="84">
        <f>IF(AM29=0,AH29,IF(AM29&gt;=AH29,0,AH29-AM29))</f>
        <v/>
      </c>
      <c r="AO29" s="84">
        <f>IF(AM29&gt;=AH29,AI29,AI29*AM29/AH29)</f>
        <v/>
      </c>
      <c r="AP29">
        <f t="array" ref="AP29">INDEX($AU$8:$BB$25,6*(R29-1)+MATCH(AB29,$AS$8:$AS$13,0),MATCH(O29,$AU$7:$BB$7,0))</f>
        <v/>
      </c>
    </row>
    <row r="30" ht="14.55" customHeight="1">
      <c r="B30" s="31" t="inlineStr">
        <is>
          <t>E+</t>
        </is>
      </c>
      <c r="C30" s="45" t="n">
        <v>0</v>
      </c>
      <c r="D30" s="45" t="n">
        <v>1</v>
      </c>
      <c r="E30" s="45" t="n">
        <v>11</v>
      </c>
      <c r="I30" s="64" t="n"/>
      <c r="O30" s="43" t="inlineStr">
        <is>
          <t>Q1’26</t>
        </is>
      </c>
      <c r="P30" s="43" t="n">
        <v>1</v>
      </c>
      <c r="Q30" s="43" t="n">
        <v>8</v>
      </c>
      <c r="R30" s="43" t="n">
        <v>2</v>
      </c>
      <c r="S30" s="45" t="n">
        <v>4854.030076726346</v>
      </c>
      <c r="T30">
        <f>(S29+S30+S31)=N2</f>
        <v/>
      </c>
      <c r="X30" s="84">
        <f>MAX(S27-S30,0)</f>
        <v/>
      </c>
      <c r="Y30" s="83" t="n">
        <v>0</v>
      </c>
      <c r="AA30" s="84" t="n">
        <v>1</v>
      </c>
      <c r="AB30" s="84" t="inlineStr">
        <is>
          <t>A</t>
        </is>
      </c>
      <c r="AC30" s="84" t="inlineStr">
        <is>
          <t>A+</t>
        </is>
      </c>
      <c r="AD30" s="84" t="n">
        <v>18</v>
      </c>
      <c r="AE30" s="84" t="n">
        <v>16</v>
      </c>
      <c r="AF30" s="84" t="n">
        <v>0.78</v>
      </c>
      <c r="AG30" s="84" t="n">
        <v>0.84</v>
      </c>
      <c r="AH30" s="84" t="n">
        <v>0</v>
      </c>
      <c r="AI30" s="84" t="n">
        <v>0</v>
      </c>
      <c r="AJ30" s="84">
        <f>SUMIFS(AH$8:AH$1039,$O$8:$O$1039,O30,$AB$8:$AB$1039,AB30,$R$8:$R$1039,R30,$AA$8:$AA$1039,"&lt;="&amp;AA30)</f>
        <v/>
      </c>
      <c r="AK30" s="84">
        <f>D8</f>
        <v/>
      </c>
      <c r="AL30" s="84">
        <f>D14</f>
        <v/>
      </c>
      <c r="AM30" s="84">
        <f>MAX(0,AJ30-AK30)</f>
        <v/>
      </c>
      <c r="AN30" s="84">
        <f>IF(AM30=0,AH30,IF(AM30&gt;=AH30,0,AH30-AM30))</f>
        <v/>
      </c>
      <c r="AO30" s="84">
        <f>IF(AM30&gt;=AH30,AI30,AI30*AM30/AH30)</f>
        <v/>
      </c>
      <c r="AP30">
        <f t="array" ref="AP30">INDEX($AU$8:$BB$25,6*(R30-1)+MATCH(AB30,$AS$8:$AS$13,0),MATCH(O30,$AU$7:$BB$7,0))</f>
        <v/>
      </c>
    </row>
    <row r="31" ht="14.55" customHeight="1">
      <c r="B31" s="31" t="inlineStr">
        <is>
          <t>F+</t>
        </is>
      </c>
      <c r="C31" s="45" t="n">
        <v>0</v>
      </c>
      <c r="D31" s="45" t="n">
        <v>0</v>
      </c>
      <c r="E31" s="45" t="n">
        <v>0</v>
      </c>
      <c r="F31" s="44" t="inlineStr">
        <is>
          <t>Fab 1 space</t>
        </is>
      </c>
      <c r="G31" s="44" t="inlineStr">
        <is>
          <t>Fab 2 space</t>
        </is>
      </c>
      <c r="H31" s="44" t="inlineStr">
        <is>
          <t>Fab 3 space</t>
        </is>
      </c>
      <c r="I31" s="64" t="n"/>
      <c r="O31" s="43" t="inlineStr">
        <is>
          <t>Q1’26</t>
        </is>
      </c>
      <c r="P31" s="43" t="n">
        <v>1</v>
      </c>
      <c r="Q31" s="43" t="n">
        <v>8</v>
      </c>
      <c r="R31" s="43" t="n">
        <v>3</v>
      </c>
      <c r="S31" s="45" t="n">
        <v>0</v>
      </c>
      <c r="T31">
        <f>(S29+S30+S31)=N2</f>
        <v/>
      </c>
      <c r="X31" s="84">
        <f>MAX(S28-S31,0)</f>
        <v/>
      </c>
      <c r="Y31" s="83" t="n">
        <v>0</v>
      </c>
      <c r="AA31" s="84" t="n">
        <v>1</v>
      </c>
      <c r="AB31" s="84" t="inlineStr">
        <is>
          <t>A</t>
        </is>
      </c>
      <c r="AC31" s="84" t="inlineStr">
        <is>
          <t>A+</t>
        </is>
      </c>
      <c r="AD31" s="84" t="n">
        <v>18</v>
      </c>
      <c r="AE31" s="84" t="n">
        <v>16</v>
      </c>
      <c r="AF31" s="84" t="n">
        <v>0.78</v>
      </c>
      <c r="AG31" s="84" t="n">
        <v>0.84</v>
      </c>
      <c r="AH31" s="84" t="n">
        <v>0</v>
      </c>
      <c r="AI31" s="84" t="n">
        <v>0</v>
      </c>
      <c r="AJ31" s="84">
        <f>SUMIFS(AH$8:AH$1039,$O$8:$O$1039,O31,$AB$8:$AB$1039,AB31,$R$8:$R$1039,R31,$AA$8:$AA$1039,"&lt;="&amp;AA31)</f>
        <v/>
      </c>
      <c r="AK31" s="84">
        <f>E8</f>
        <v/>
      </c>
      <c r="AL31" s="84">
        <f>E14</f>
        <v/>
      </c>
      <c r="AM31" s="84">
        <f>MAX(0,AJ31-AK31)</f>
        <v/>
      </c>
      <c r="AN31" s="84">
        <f>IF(AM31=0,AH31,IF(AM31&gt;=AH31,0,AH31-AM31))</f>
        <v/>
      </c>
      <c r="AO31" s="84">
        <f>IF(AM31&gt;=AH31,AI31,AI31*AM31/AH31)</f>
        <v/>
      </c>
      <c r="AP31">
        <f t="array" ref="AP31">INDEX($AU$8:$BB$25,6*(R31-1)+MATCH(AB31,$AS$8:$AS$13,0),MATCH(O31,$AU$7:$BB$7,0))</f>
        <v/>
      </c>
    </row>
    <row r="32" ht="14.25" customHeight="1">
      <c r="A32" s="85" t="inlineStr">
        <is>
          <t>WS Component for Q3’26</t>
        </is>
      </c>
      <c r="B32" s="31" t="inlineStr">
        <is>
          <t>A</t>
        </is>
      </c>
      <c r="C32" s="45" t="n">
        <v>50</v>
      </c>
      <c r="D32" s="45" t="n">
        <v>35</v>
      </c>
      <c r="E32" s="45" t="n">
        <v>0</v>
      </c>
      <c r="F32">
        <f t="array" ref="F32">SUM(C32:C43*data!$B$3:$B$14)</f>
        <v/>
      </c>
      <c r="G32">
        <f t="array" ref="G32">SUM(D32:D43*data!$B$3:$B$14)</f>
        <v/>
      </c>
      <c r="H32">
        <f t="array" ref="H32">SUM(E32:E43*data!$B$3:$B$14)</f>
        <v/>
      </c>
      <c r="I32" s="64" t="inlineStr">
        <is>
          <t>&lt;- make sure its green</t>
        </is>
      </c>
      <c r="O32" s="43" t="inlineStr">
        <is>
          <t>Q1’26</t>
        </is>
      </c>
      <c r="P32" s="43" t="n">
        <v>1</v>
      </c>
      <c r="Q32" s="43" t="n">
        <v>9</v>
      </c>
      <c r="R32" s="43" t="n">
        <v>1</v>
      </c>
      <c r="S32" s="45" t="n">
        <v>7145.969923273654</v>
      </c>
      <c r="T32">
        <f>(S32+S33+S34)=N2</f>
        <v/>
      </c>
      <c r="X32" s="84">
        <f>MAX(S29-S32,0)</f>
        <v/>
      </c>
      <c r="Y32" s="83" t="n">
        <v>0</v>
      </c>
      <c r="AA32" s="84" t="n">
        <v>2</v>
      </c>
      <c r="AB32" s="84" t="inlineStr">
        <is>
          <t>A</t>
        </is>
      </c>
      <c r="AC32" s="84" t="inlineStr">
        <is>
          <t>A+</t>
        </is>
      </c>
      <c r="AD32" s="84" t="n">
        <v>16</v>
      </c>
      <c r="AE32" s="84" t="n">
        <v>13</v>
      </c>
      <c r="AF32" s="84" t="n">
        <v>0.78</v>
      </c>
      <c r="AG32" s="84" t="n">
        <v>0.84</v>
      </c>
      <c r="AH32" s="84" t="n">
        <v>0</v>
      </c>
      <c r="AI32" s="84" t="n">
        <v>0</v>
      </c>
      <c r="AJ32" s="84">
        <f>SUMIFS(AH$8:AH$1039,$O$8:$O$1039,O32,$AB$8:$AB$1039,AB32,$R$8:$R$1039,R32,$AA$8:$AA$1039,"&lt;="&amp;AA32)</f>
        <v/>
      </c>
      <c r="AK32" s="84">
        <f>C8</f>
        <v/>
      </c>
      <c r="AL32" s="84">
        <f>C14</f>
        <v/>
      </c>
      <c r="AM32" s="84">
        <f>MAX(0,AJ32-AK32)</f>
        <v/>
      </c>
      <c r="AN32" s="84">
        <f>IF(AM32=0,AH32,IF(AM32&gt;=AH32,0,AH32-AM32))</f>
        <v/>
      </c>
      <c r="AO32" s="84">
        <f>IF(AM32&gt;=AH32,AI32,AI32*AM32/AH32)</f>
        <v/>
      </c>
      <c r="AP32">
        <f t="array" ref="AP32">INDEX($AU$8:$BB$25,6*(R32-1)+MATCH(AB32,$AS$8:$AS$13,0),MATCH(O32,$AU$7:$BB$7,0))</f>
        <v/>
      </c>
    </row>
    <row r="33" ht="14.55" customHeight="1">
      <c r="B33" s="31" t="inlineStr">
        <is>
          <t>B</t>
        </is>
      </c>
      <c r="C33" s="45" t="n">
        <v>25</v>
      </c>
      <c r="D33" s="45" t="n">
        <v>30</v>
      </c>
      <c r="E33" s="45" t="n">
        <v>0</v>
      </c>
      <c r="I33" s="64" t="n"/>
      <c r="O33" s="43" t="inlineStr">
        <is>
          <t>Q1’26</t>
        </is>
      </c>
      <c r="P33" s="43" t="n">
        <v>1</v>
      </c>
      <c r="Q33" s="43" t="n">
        <v>9</v>
      </c>
      <c r="R33" s="43" t="n">
        <v>2</v>
      </c>
      <c r="S33" s="45" t="n">
        <v>4854.030076726346</v>
      </c>
      <c r="T33">
        <f>(S32+S33+S34)=N2</f>
        <v/>
      </c>
      <c r="X33" s="84">
        <f>MAX(S30-S33,0)</f>
        <v/>
      </c>
      <c r="Y33" s="83" t="n">
        <v>0</v>
      </c>
      <c r="AA33" s="84" t="n">
        <v>2</v>
      </c>
      <c r="AB33" s="84" t="inlineStr">
        <is>
          <t>A</t>
        </is>
      </c>
      <c r="AC33" s="84" t="inlineStr">
        <is>
          <t>A+</t>
        </is>
      </c>
      <c r="AD33" s="84" t="n">
        <v>16</v>
      </c>
      <c r="AE33" s="84" t="n">
        <v>13</v>
      </c>
      <c r="AF33" s="84" t="n">
        <v>0.78</v>
      </c>
      <c r="AG33" s="84" t="n">
        <v>0.84</v>
      </c>
      <c r="AH33" s="84" t="n">
        <v>0</v>
      </c>
      <c r="AI33" s="84" t="n">
        <v>0</v>
      </c>
      <c r="AJ33" s="84">
        <f>SUMIFS(AH$8:AH$1039,$O$8:$O$1039,O33,$AB$8:$AB$1039,AB33,$R$8:$R$1039,R33,$AA$8:$AA$1039,"&lt;="&amp;AA33)</f>
        <v/>
      </c>
      <c r="AK33" s="84">
        <f>D8</f>
        <v/>
      </c>
      <c r="AL33" s="84">
        <f>D14</f>
        <v/>
      </c>
      <c r="AM33" s="84">
        <f>MAX(0,AJ33-AK33)</f>
        <v/>
      </c>
      <c r="AN33" s="84">
        <f>IF(AM33=0,AH33,IF(AM33&gt;=AH33,0,AH33-AM33))</f>
        <v/>
      </c>
      <c r="AO33" s="84">
        <f>IF(AM33&gt;=AH33,AI33,AI33*AM33/AH33)</f>
        <v/>
      </c>
      <c r="AP33">
        <f t="array" ref="AP33">INDEX($AU$8:$BB$25,6*(R33-1)+MATCH(AB33,$AS$8:$AS$13,0),MATCH(O33,$AU$7:$BB$7,0))</f>
        <v/>
      </c>
    </row>
    <row r="34" ht="14.55" customHeight="1">
      <c r="B34" s="31" t="inlineStr">
        <is>
          <t>C</t>
        </is>
      </c>
      <c r="C34" s="45" t="n">
        <v>0</v>
      </c>
      <c r="D34" s="45" t="n">
        <v>0</v>
      </c>
      <c r="E34" s="45" t="n">
        <v>40</v>
      </c>
      <c r="F34" s="84" t="inlineStr">
        <is>
          <t>New tool purchase cost</t>
        </is>
      </c>
      <c r="I34" s="64" t="n"/>
      <c r="O34" s="43" t="inlineStr">
        <is>
          <t>Q1’26</t>
        </is>
      </c>
      <c r="P34" s="43" t="n">
        <v>1</v>
      </c>
      <c r="Q34" s="43" t="n">
        <v>9</v>
      </c>
      <c r="R34" s="43" t="n">
        <v>3</v>
      </c>
      <c r="S34" s="45" t="n">
        <v>0</v>
      </c>
      <c r="T34">
        <f>(S32+S33+S34)=N2</f>
        <v/>
      </c>
      <c r="X34" s="84">
        <f>MAX(S31-S34,0)</f>
        <v/>
      </c>
      <c r="Y34" s="83" t="n">
        <v>0</v>
      </c>
      <c r="AA34" s="84" t="n">
        <v>2</v>
      </c>
      <c r="AB34" s="84" t="inlineStr">
        <is>
          <t>A</t>
        </is>
      </c>
      <c r="AC34" s="84" t="inlineStr">
        <is>
          <t>A+</t>
        </is>
      </c>
      <c r="AD34" s="84" t="n">
        <v>16</v>
      </c>
      <c r="AE34" s="84" t="n">
        <v>13</v>
      </c>
      <c r="AF34" s="84" t="n">
        <v>0.78</v>
      </c>
      <c r="AG34" s="84" t="n">
        <v>0.84</v>
      </c>
      <c r="AH34" s="84" t="n">
        <v>0</v>
      </c>
      <c r="AI34" s="84" t="n">
        <v>0</v>
      </c>
      <c r="AJ34" s="84">
        <f>SUMIFS(AH$8:AH$1039,$O$8:$O$1039,O34,$AB$8:$AB$1039,AB34,$R$8:$R$1039,R34,$AA$8:$AA$1039,"&lt;="&amp;AA34)</f>
        <v/>
      </c>
      <c r="AK34" s="84">
        <f>E8</f>
        <v/>
      </c>
      <c r="AL34" s="84">
        <f>E14</f>
        <v/>
      </c>
      <c r="AM34" s="84">
        <f>MAX(0,AJ34-AK34)</f>
        <v/>
      </c>
      <c r="AN34" s="84">
        <f>IF(AM34=0,AH34,IF(AM34&gt;=AH34,0,AH34-AM34))</f>
        <v/>
      </c>
      <c r="AO34" s="84">
        <f>IF(AM34&gt;=AH34,AI34,AI34*AM34/AH34)</f>
        <v/>
      </c>
      <c r="AP34">
        <f t="array" ref="AP34">INDEX($AU$8:$BB$25,6*(R34-1)+MATCH(AB34,$AS$8:$AS$13,0),MATCH(O34,$AU$7:$BB$7,0))</f>
        <v/>
      </c>
    </row>
    <row r="35" ht="14.55" customHeight="1">
      <c r="B35" s="31" t="inlineStr">
        <is>
          <t>D</t>
        </is>
      </c>
      <c r="C35" s="45" t="n">
        <v>50</v>
      </c>
      <c r="D35" s="45" t="n">
        <v>50</v>
      </c>
      <c r="E35" s="45" t="n">
        <v>35</v>
      </c>
      <c r="F35" s="83">
        <f t="array" ref="F35">SUM(
     _xlfn.BYROW(
           IF(C32:E43-C20:E31&gt;0, C32:E43-C20:E31, 0),
           _xleta.SUM)
     *data!$C$3:$C$14
)</f>
        <v/>
      </c>
      <c r="I35" s="64" t="n"/>
      <c r="O35" s="43" t="inlineStr">
        <is>
          <t>Q1’26</t>
        </is>
      </c>
      <c r="P35" s="43" t="n">
        <v>1</v>
      </c>
      <c r="Q35" s="43" t="n">
        <v>10</v>
      </c>
      <c r="R35" s="43" t="n">
        <v>1</v>
      </c>
      <c r="S35" s="45" t="n">
        <v>7145.969923273653</v>
      </c>
      <c r="T35">
        <f>(S35+S36+S37)=N2</f>
        <v/>
      </c>
      <c r="X35" s="84">
        <f>MAX(S32-S35,0)</f>
        <v/>
      </c>
      <c r="Y35" s="83" t="n">
        <v>0</v>
      </c>
      <c r="AA35" s="84" t="n">
        <v>6</v>
      </c>
      <c r="AB35" s="84" t="inlineStr">
        <is>
          <t>D</t>
        </is>
      </c>
      <c r="AC35" s="84" t="inlineStr">
        <is>
          <t>D+</t>
        </is>
      </c>
      <c r="AD35" s="84" t="n">
        <v>14</v>
      </c>
      <c r="AE35" s="84" t="n">
        <v>11</v>
      </c>
      <c r="AF35" s="84" t="n">
        <v>0.8</v>
      </c>
      <c r="AG35" s="84" t="n">
        <v>0.88</v>
      </c>
      <c r="AH35" s="84" t="n">
        <v>0</v>
      </c>
      <c r="AI35" s="84" t="n">
        <v>0</v>
      </c>
      <c r="AJ35" s="84">
        <f>SUMIFS(AH$8:AH$1039,$O$8:$O$1039,O35,$AB$8:$AB$1039,AB35,$R$8:$R$1039,R35,$AA$8:$AA$1039,"&lt;="&amp;AA35)</f>
        <v/>
      </c>
      <c r="AK35" s="84">
        <f>C11</f>
        <v/>
      </c>
      <c r="AL35" s="84">
        <f>C17</f>
        <v/>
      </c>
      <c r="AM35" s="84">
        <f>MAX(0,AJ35-AK35)</f>
        <v/>
      </c>
      <c r="AN35" s="84">
        <f>IF(AM35=0,AH35,IF(AM35&gt;=AH35,0,AH35-AM35))</f>
        <v/>
      </c>
      <c r="AO35" s="84">
        <f>IF(AM35&gt;=AH35,AI35,AI35*AM35/AH35)</f>
        <v/>
      </c>
      <c r="AP35">
        <f t="array" ref="AP35">INDEX($AU$8:$BB$25,6*(R35-1)+MATCH(AB35,$AS$8:$AS$13,0),MATCH(O35,$AU$7:$BB$7,0))</f>
        <v/>
      </c>
    </row>
    <row r="36" ht="14.55" customHeight="1">
      <c r="B36" s="31" t="inlineStr">
        <is>
          <t>E</t>
        </is>
      </c>
      <c r="C36" s="45" t="n">
        <v>40</v>
      </c>
      <c r="D36" s="45" t="n">
        <v>30</v>
      </c>
      <c r="E36" s="45" t="n">
        <v>16</v>
      </c>
      <c r="F36" s="84" t="inlineStr">
        <is>
          <t>Moveout cost</t>
        </is>
      </c>
      <c r="I36" s="64" t="n"/>
      <c r="O36" s="43" t="inlineStr">
        <is>
          <t>Q1’26</t>
        </is>
      </c>
      <c r="P36" s="43" t="n">
        <v>1</v>
      </c>
      <c r="Q36" s="43" t="n">
        <v>10</v>
      </c>
      <c r="R36" s="43" t="n">
        <v>2</v>
      </c>
      <c r="S36" s="45" t="n">
        <v>4854.030076726347</v>
      </c>
      <c r="T36">
        <f>(S35+S36+S37)=N2</f>
        <v/>
      </c>
      <c r="X36" s="84">
        <f>MAX(S33-S36,0)</f>
        <v/>
      </c>
      <c r="Y36" s="83" t="n">
        <v>0</v>
      </c>
      <c r="AA36" s="84" t="n">
        <v>6</v>
      </c>
      <c r="AB36" s="84" t="inlineStr">
        <is>
          <t>D</t>
        </is>
      </c>
      <c r="AC36" s="84" t="inlineStr">
        <is>
          <t>D+</t>
        </is>
      </c>
      <c r="AD36" s="84" t="n">
        <v>14</v>
      </c>
      <c r="AE36" s="84" t="n">
        <v>11</v>
      </c>
      <c r="AF36" s="84" t="n">
        <v>0.8</v>
      </c>
      <c r="AG36" s="84" t="n">
        <v>0.88</v>
      </c>
      <c r="AH36" s="84" t="n">
        <v>0</v>
      </c>
      <c r="AI36" s="84" t="n">
        <v>0</v>
      </c>
      <c r="AJ36" s="84">
        <f>SUMIFS(AH$8:AH$1039,$O$8:$O$1039,O36,$AB$8:$AB$1039,AB36,$R$8:$R$1039,R36,$AA$8:$AA$1039,"&lt;="&amp;AA36)</f>
        <v/>
      </c>
      <c r="AK36" s="84">
        <f>D11</f>
        <v/>
      </c>
      <c r="AL36" s="84">
        <f>D17</f>
        <v/>
      </c>
      <c r="AM36" s="84">
        <f>MAX(0,AJ36-AK36)</f>
        <v/>
      </c>
      <c r="AN36" s="84">
        <f>IF(AM36=0,AH36,IF(AM36&gt;=AH36,0,AH36-AM36))</f>
        <v/>
      </c>
      <c r="AO36" s="84">
        <f>IF(AM36&gt;=AH36,AI36,AI36*AM36/AH36)</f>
        <v/>
      </c>
      <c r="AP36">
        <f t="array" ref="AP36">INDEX($AU$8:$BB$25,6*(R36-1)+MATCH(AB36,$AS$8:$AS$13,0),MATCH(O36,$AU$7:$BB$7,0))</f>
        <v/>
      </c>
    </row>
    <row r="37" ht="14.55" customHeight="1">
      <c r="B37" s="31" t="inlineStr">
        <is>
          <t>F</t>
        </is>
      </c>
      <c r="C37" s="45" t="n">
        <v>90</v>
      </c>
      <c r="D37" s="45" t="n">
        <v>60</v>
      </c>
      <c r="E37" s="45" t="n">
        <v>36</v>
      </c>
      <c r="F37" s="83">
        <f t="array" ref="F37">SUM(
     _xlfn.BYROW(
           IF(C32:E43-C20:E31&lt;0, C32:E43-C20:E31, 0),
           _xleta.SUM)
     * -1000000
)</f>
        <v/>
      </c>
      <c r="I37" s="64" t="n"/>
      <c r="O37" s="43" t="inlineStr">
        <is>
          <t>Q1’26</t>
        </is>
      </c>
      <c r="P37" s="43" t="n">
        <v>1</v>
      </c>
      <c r="Q37" s="43" t="n">
        <v>10</v>
      </c>
      <c r="R37" s="43" t="n">
        <v>3</v>
      </c>
      <c r="S37" s="45" t="n">
        <v>0</v>
      </c>
      <c r="T37">
        <f>(S35+S36+S37)=N2</f>
        <v/>
      </c>
      <c r="X37" s="84">
        <f>MAX(S34-S37,0)</f>
        <v/>
      </c>
      <c r="Y37" s="83" t="n">
        <v>0</v>
      </c>
      <c r="AA37" s="84" t="n">
        <v>6</v>
      </c>
      <c r="AB37" s="84" t="inlineStr">
        <is>
          <t>D</t>
        </is>
      </c>
      <c r="AC37" s="84" t="inlineStr">
        <is>
          <t>D+</t>
        </is>
      </c>
      <c r="AD37" s="84" t="n">
        <v>14</v>
      </c>
      <c r="AE37" s="84" t="n">
        <v>11</v>
      </c>
      <c r="AF37" s="84" t="n">
        <v>0.8</v>
      </c>
      <c r="AG37" s="84" t="n">
        <v>0.88</v>
      </c>
      <c r="AH37" s="84" t="n">
        <v>0</v>
      </c>
      <c r="AI37" s="84" t="n">
        <v>0</v>
      </c>
      <c r="AJ37" s="84">
        <f>SUMIFS(AH$8:AH$1039,$O$8:$O$1039,O37,$AB$8:$AB$1039,AB37,$R$8:$R$1039,R37,$AA$8:$AA$1039,"&lt;="&amp;AA37)</f>
        <v/>
      </c>
      <c r="AK37" s="84">
        <f>E11</f>
        <v/>
      </c>
      <c r="AL37" s="84">
        <f>E17</f>
        <v/>
      </c>
      <c r="AM37" s="84">
        <f>MAX(0,AJ37-AK37)</f>
        <v/>
      </c>
      <c r="AN37" s="84">
        <f>IF(AM37=0,AH37,IF(AM37&gt;=AH37,0,AH37-AM37))</f>
        <v/>
      </c>
      <c r="AO37" s="84">
        <f>IF(AM37&gt;=AH37,AI37,AI37*AM37/AH37)</f>
        <v/>
      </c>
      <c r="AP37">
        <f t="array" ref="AP37">INDEX($AU$8:$BB$25,6*(R37-1)+MATCH(AB37,$AS$8:$AS$13,0),MATCH(O37,$AU$7:$BB$7,0))</f>
        <v/>
      </c>
    </row>
    <row r="38" ht="14.55" customHeight="1">
      <c r="B38" s="31" t="inlineStr">
        <is>
          <t>A+</t>
        </is>
      </c>
      <c r="C38" s="45" t="n">
        <v>0</v>
      </c>
      <c r="D38" s="45" t="n">
        <v>0</v>
      </c>
      <c r="E38" s="45" t="n">
        <v>0</v>
      </c>
      <c r="I38" s="64" t="n"/>
      <c r="O38" s="43" t="inlineStr">
        <is>
          <t>Q1’26</t>
        </is>
      </c>
      <c r="P38" s="43" t="n">
        <v>1</v>
      </c>
      <c r="Q38" s="43" t="n">
        <v>11</v>
      </c>
      <c r="R38" s="43" t="n">
        <v>1</v>
      </c>
      <c r="S38" s="45" t="n">
        <v>7145.969923273653</v>
      </c>
      <c r="T38">
        <f>(S38+S39+S40)=N2</f>
        <v/>
      </c>
      <c r="X38" s="84">
        <f>MAX(S35-S38,0)</f>
        <v/>
      </c>
      <c r="Y38" s="83" t="n">
        <v>0</v>
      </c>
      <c r="AA38" s="84" t="n">
        <v>3</v>
      </c>
      <c r="AB38" s="84" t="inlineStr">
        <is>
          <t>F</t>
        </is>
      </c>
      <c r="AC38" s="84" t="inlineStr">
        <is>
          <t>F+</t>
        </is>
      </c>
      <c r="AD38" s="84" t="n">
        <v>18</v>
      </c>
      <c r="AE38" s="84" t="n">
        <v>16</v>
      </c>
      <c r="AF38" s="84" t="n">
        <v>0.8</v>
      </c>
      <c r="AG38" s="84" t="n">
        <v>0.9</v>
      </c>
      <c r="AH38" s="84" t="n">
        <v>0</v>
      </c>
      <c r="AI38" s="84" t="n">
        <v>0</v>
      </c>
      <c r="AJ38" s="84">
        <f>SUMIFS(AH$8:AH$1039,$O$8:$O$1039,O38,$AB$8:$AB$1039,AB38,$R$8:$R$1039,R38,$AA$8:$AA$1039,"&lt;="&amp;AA38)</f>
        <v/>
      </c>
      <c r="AK38" s="84">
        <f>C13</f>
        <v/>
      </c>
      <c r="AL38" s="84">
        <f>C19</f>
        <v/>
      </c>
      <c r="AM38" s="84">
        <f>MAX(0,AJ38-AK38)</f>
        <v/>
      </c>
      <c r="AN38" s="84">
        <f>IF(AM38=0,AH38,IF(AM38&gt;=AH38,0,AH38-AM38))</f>
        <v/>
      </c>
      <c r="AO38" s="84">
        <f>IF(AM38&gt;=AH38,AI38,AI38*AM38/AH38)</f>
        <v/>
      </c>
      <c r="AP38">
        <f t="array" ref="AP38">INDEX($AU$8:$BB$25,6*(R38-1)+MATCH(AB38,$AS$8:$AS$13,0),MATCH(O38,$AU$7:$BB$7,0))</f>
        <v/>
      </c>
    </row>
    <row r="39" ht="14.55" customHeight="1">
      <c r="B39" s="31" t="inlineStr">
        <is>
          <t>B+</t>
        </is>
      </c>
      <c r="C39" s="45" t="n">
        <v>8</v>
      </c>
      <c r="D39" s="45" t="n">
        <v>0</v>
      </c>
      <c r="E39" s="45" t="n">
        <v>0</v>
      </c>
      <c r="I39" s="64" t="n"/>
      <c r="O39" s="43" t="inlineStr">
        <is>
          <t>Q1’26</t>
        </is>
      </c>
      <c r="P39" s="43" t="n">
        <v>1</v>
      </c>
      <c r="Q39" s="43" t="n">
        <v>11</v>
      </c>
      <c r="R39" s="43" t="n">
        <v>2</v>
      </c>
      <c r="S39" s="45" t="n">
        <v>4854.030076726347</v>
      </c>
      <c r="T39">
        <f>(S38+S39+S40)=N2</f>
        <v/>
      </c>
      <c r="X39" s="84">
        <f>MAX(S36-S39,0)</f>
        <v/>
      </c>
      <c r="Y39" s="83" t="n">
        <v>0</v>
      </c>
      <c r="AA39" s="84" t="n">
        <v>3</v>
      </c>
      <c r="AB39" s="84" t="inlineStr">
        <is>
          <t>F</t>
        </is>
      </c>
      <c r="AC39" s="84" t="inlineStr">
        <is>
          <t>F+</t>
        </is>
      </c>
      <c r="AD39" s="84" t="n">
        <v>18</v>
      </c>
      <c r="AE39" s="84" t="n">
        <v>16</v>
      </c>
      <c r="AF39" s="84" t="n">
        <v>0.8</v>
      </c>
      <c r="AG39" s="84" t="n">
        <v>0.9</v>
      </c>
      <c r="AH39" s="84" t="n">
        <v>0</v>
      </c>
      <c r="AI39" s="84" t="n">
        <v>0</v>
      </c>
      <c r="AJ39" s="84">
        <f>SUMIFS(AH$8:AH$1039,$O$8:$O$1039,O39,$AB$8:$AB$1039,AB39,$R$8:$R$1039,R39,$AA$8:$AA$1039,"&lt;="&amp;AA39)</f>
        <v/>
      </c>
      <c r="AK39" s="84">
        <f>D13</f>
        <v/>
      </c>
      <c r="AL39" s="84">
        <f>D19</f>
        <v/>
      </c>
      <c r="AM39" s="84">
        <f>MAX(0,AJ39-AK39)</f>
        <v/>
      </c>
      <c r="AN39" s="84">
        <f>IF(AM39=0,AH39,IF(AM39&gt;=AH39,0,AH39-AM39))</f>
        <v/>
      </c>
      <c r="AO39" s="84">
        <f>IF(AM39&gt;=AH39,AI39,AI39*AM39/AH39)</f>
        <v/>
      </c>
      <c r="AP39">
        <f t="array" ref="AP39">INDEX($AU$8:$BB$25,6*(R39-1)+MATCH(AB39,$AS$8:$AS$13,0),MATCH(O39,$AU$7:$BB$7,0))</f>
        <v/>
      </c>
    </row>
    <row r="40" ht="14.55" customHeight="1">
      <c r="B40" s="31" t="inlineStr">
        <is>
          <t>C+</t>
        </is>
      </c>
      <c r="C40" s="45" t="n">
        <v>8</v>
      </c>
      <c r="D40" s="45" t="n">
        <v>29</v>
      </c>
      <c r="E40" s="45" t="n">
        <v>1</v>
      </c>
      <c r="I40" s="64" t="n"/>
      <c r="O40" s="43" t="inlineStr">
        <is>
          <t>Q1’26</t>
        </is>
      </c>
      <c r="P40" s="43" t="n">
        <v>1</v>
      </c>
      <c r="Q40" s="43" t="n">
        <v>11</v>
      </c>
      <c r="R40" s="43" t="n">
        <v>3</v>
      </c>
      <c r="S40" s="45" t="n">
        <v>-0</v>
      </c>
      <c r="T40">
        <f>(S38+S39+S40)=N2</f>
        <v/>
      </c>
      <c r="X40" s="84">
        <f>MAX(S37-S40,0)</f>
        <v/>
      </c>
      <c r="Y40" s="83" t="n">
        <v>0</v>
      </c>
      <c r="AA40" s="84" t="n">
        <v>3</v>
      </c>
      <c r="AB40" s="84" t="inlineStr">
        <is>
          <t>F</t>
        </is>
      </c>
      <c r="AC40" s="84" t="inlineStr">
        <is>
          <t>F+</t>
        </is>
      </c>
      <c r="AD40" s="84" t="n">
        <v>18</v>
      </c>
      <c r="AE40" s="84" t="n">
        <v>16</v>
      </c>
      <c r="AF40" s="84" t="n">
        <v>0.8</v>
      </c>
      <c r="AG40" s="84" t="n">
        <v>0.9</v>
      </c>
      <c r="AH40" s="84" t="n">
        <v>0</v>
      </c>
      <c r="AI40" s="84" t="n">
        <v>0</v>
      </c>
      <c r="AJ40" s="84">
        <f>SUMIFS(AH$8:AH$1039,$O$8:$O$1039,O40,$AB$8:$AB$1039,AB40,$R$8:$R$1039,R40,$AA$8:$AA$1039,"&lt;="&amp;AA40)</f>
        <v/>
      </c>
      <c r="AK40" s="84">
        <f>E13</f>
        <v/>
      </c>
      <c r="AL40" s="84">
        <f>E19</f>
        <v/>
      </c>
      <c r="AM40" s="84">
        <f>MAX(0,AJ40-AK40)</f>
        <v/>
      </c>
      <c r="AN40" s="84">
        <f>IF(AM40=0,AH40,IF(AM40&gt;=AH40,0,AH40-AM40))</f>
        <v/>
      </c>
      <c r="AO40" s="84">
        <f>IF(AM40&gt;=AH40,AI40,AI40*AM40/AH40)</f>
        <v/>
      </c>
      <c r="AP40">
        <f t="array" ref="AP40">INDEX($AU$8:$BB$25,6*(R40-1)+MATCH(AB40,$AS$8:$AS$13,0),MATCH(O40,$AU$7:$BB$7,0))</f>
        <v/>
      </c>
    </row>
    <row r="41" ht="14.55" customHeight="1">
      <c r="B41" s="31" t="inlineStr">
        <is>
          <t>D+</t>
        </is>
      </c>
      <c r="C41" s="45" t="n">
        <v>2</v>
      </c>
      <c r="D41" s="45" t="n">
        <v>0</v>
      </c>
      <c r="E41" s="45" t="n">
        <v>0</v>
      </c>
      <c r="I41" s="64" t="n"/>
      <c r="O41" s="43" t="inlineStr">
        <is>
          <t>Q1’26</t>
        </is>
      </c>
      <c r="P41" s="43" t="n">
        <v>2</v>
      </c>
      <c r="Q41" s="43" t="n">
        <v>1</v>
      </c>
      <c r="R41" s="43" t="n">
        <v>1</v>
      </c>
      <c r="S41" s="45" t="n">
        <v>3429.440000000001</v>
      </c>
      <c r="T41">
        <f>(S41+S42+S43)=N3</f>
        <v/>
      </c>
      <c r="X41" s="84" t="n">
        <v>0</v>
      </c>
      <c r="Y41" s="83" t="n">
        <v>0</v>
      </c>
      <c r="AA41" s="84" t="n">
        <v>9</v>
      </c>
      <c r="AB41" s="84" t="inlineStr">
        <is>
          <t>F</t>
        </is>
      </c>
      <c r="AC41" s="84" t="inlineStr">
        <is>
          <t>F+</t>
        </is>
      </c>
      <c r="AD41" s="84" t="n">
        <v>19</v>
      </c>
      <c r="AE41" s="84" t="n">
        <v>16</v>
      </c>
      <c r="AF41" s="84" t="n">
        <v>0.8</v>
      </c>
      <c r="AG41" s="84" t="n">
        <v>0.9</v>
      </c>
      <c r="AH41" s="84" t="n">
        <v>0</v>
      </c>
      <c r="AI41" s="84" t="n">
        <v>0</v>
      </c>
      <c r="AJ41" s="84">
        <f>SUMIFS(AH$8:AH$1039,$O$8:$O$1039,O41,$AB$8:$AB$1039,AB41,$R$8:$R$1039,R41,$AA$8:$AA$1039,"&lt;="&amp;AA41)</f>
        <v/>
      </c>
      <c r="AK41" s="84">
        <f>C13</f>
        <v/>
      </c>
      <c r="AL41" s="84">
        <f>C19</f>
        <v/>
      </c>
      <c r="AM41" s="84">
        <f>MAX(0,AJ41-AK41)</f>
        <v/>
      </c>
      <c r="AN41" s="84">
        <f>IF(AM41=0,AH41,IF(AM41&gt;=AH41,0,AH41-AM41))</f>
        <v/>
      </c>
      <c r="AO41" s="84">
        <f>IF(AM41&gt;=AH41,AI41,AI41*AM41/AH41)</f>
        <v/>
      </c>
      <c r="AP41">
        <f t="array" ref="AP41">INDEX($AU$8:$BB$25,6*(R41-1)+MATCH(AB41,$AS$8:$AS$13,0),MATCH(O41,$AU$7:$BB$7,0))</f>
        <v/>
      </c>
    </row>
    <row r="42" ht="14.55" customHeight="1">
      <c r="B42" s="31" t="inlineStr">
        <is>
          <t>E+</t>
        </is>
      </c>
      <c r="C42" s="45" t="n">
        <v>3</v>
      </c>
      <c r="D42" s="45" t="n">
        <v>14</v>
      </c>
      <c r="E42" s="45" t="n">
        <v>12</v>
      </c>
      <c r="I42" s="64" t="n"/>
      <c r="O42" s="43" t="inlineStr">
        <is>
          <t>Q1’26</t>
        </is>
      </c>
      <c r="P42" s="43" t="n">
        <v>2</v>
      </c>
      <c r="Q42" s="43" t="n">
        <v>1</v>
      </c>
      <c r="R42" s="43" t="n">
        <v>2</v>
      </c>
      <c r="S42" s="45" t="n">
        <v>1570.56</v>
      </c>
      <c r="T42">
        <f>(S41+S42+S43)=N3</f>
        <v/>
      </c>
      <c r="X42" s="84" t="n">
        <v>0</v>
      </c>
      <c r="Y42" s="83" t="n">
        <v>0</v>
      </c>
      <c r="AA42" s="84" t="n">
        <v>9</v>
      </c>
      <c r="AB42" s="84" t="inlineStr">
        <is>
          <t>F</t>
        </is>
      </c>
      <c r="AC42" s="84" t="inlineStr">
        <is>
          <t>F+</t>
        </is>
      </c>
      <c r="AD42" s="84" t="n">
        <v>19</v>
      </c>
      <c r="AE42" s="84" t="n">
        <v>16</v>
      </c>
      <c r="AF42" s="84" t="n">
        <v>0.8</v>
      </c>
      <c r="AG42" s="84" t="n">
        <v>0.9</v>
      </c>
      <c r="AH42" s="84" t="n">
        <v>0</v>
      </c>
      <c r="AI42" s="84" t="n">
        <v>0</v>
      </c>
      <c r="AJ42" s="84">
        <f>SUMIFS(AH$8:AH$1039,$O$8:$O$1039,O42,$AB$8:$AB$1039,AB42,$R$8:$R$1039,R42,$AA$8:$AA$1039,"&lt;="&amp;AA42)</f>
        <v/>
      </c>
      <c r="AK42" s="84">
        <f>D13</f>
        <v/>
      </c>
      <c r="AL42" s="84">
        <f>D19</f>
        <v/>
      </c>
      <c r="AM42" s="84">
        <f>MAX(0,AJ42-AK42)</f>
        <v/>
      </c>
      <c r="AN42" s="84">
        <f>IF(AM42=0,AH42,IF(AM42&gt;=AH42,0,AH42-AM42))</f>
        <v/>
      </c>
      <c r="AO42" s="84">
        <f>IF(AM42&gt;=AH42,AI42,AI42*AM42/AH42)</f>
        <v/>
      </c>
      <c r="AP42">
        <f t="array" ref="AP42">INDEX($AU$8:$BB$25,6*(R42-1)+MATCH(AB42,$AS$8:$AS$13,0),MATCH(O42,$AU$7:$BB$7,0))</f>
        <v/>
      </c>
    </row>
    <row r="43" ht="14.55" customHeight="1">
      <c r="B43" s="31" t="inlineStr">
        <is>
          <t>F+</t>
        </is>
      </c>
      <c r="C43" s="45" t="n">
        <v>0</v>
      </c>
      <c r="D43" s="45" t="n">
        <v>0</v>
      </c>
      <c r="E43" s="45" t="n">
        <v>0</v>
      </c>
      <c r="F43" s="44" t="inlineStr">
        <is>
          <t>Fab 1 space</t>
        </is>
      </c>
      <c r="G43" s="44" t="inlineStr">
        <is>
          <t>Fab 2 space</t>
        </is>
      </c>
      <c r="H43" s="44" t="inlineStr">
        <is>
          <t>Fab 3 space</t>
        </is>
      </c>
      <c r="I43" s="64" t="n"/>
      <c r="O43" s="43" t="inlineStr">
        <is>
          <t>Q1’26</t>
        </is>
      </c>
      <c r="P43" s="43" t="n">
        <v>2</v>
      </c>
      <c r="Q43" s="43" t="n">
        <v>1</v>
      </c>
      <c r="R43" s="43" t="n">
        <v>3</v>
      </c>
      <c r="S43" s="45" t="n">
        <v>0</v>
      </c>
      <c r="T43">
        <f>(S41+S42+S43)=N3</f>
        <v/>
      </c>
      <c r="X43" s="84" t="n">
        <v>0</v>
      </c>
      <c r="Y43" s="83" t="n">
        <v>0</v>
      </c>
      <c r="AA43" s="84" t="n">
        <v>9</v>
      </c>
      <c r="AB43" s="84" t="inlineStr">
        <is>
          <t>F</t>
        </is>
      </c>
      <c r="AC43" s="84" t="inlineStr">
        <is>
          <t>F+</t>
        </is>
      </c>
      <c r="AD43" s="84" t="n">
        <v>19</v>
      </c>
      <c r="AE43" s="84" t="n">
        <v>16</v>
      </c>
      <c r="AF43" s="84" t="n">
        <v>0.8</v>
      </c>
      <c r="AG43" s="84" t="n">
        <v>0.9</v>
      </c>
      <c r="AH43" s="84" t="n">
        <v>0</v>
      </c>
      <c r="AI43" s="84" t="n">
        <v>0</v>
      </c>
      <c r="AJ43" s="84">
        <f>SUMIFS(AH$8:AH$1039,$O$8:$O$1039,O43,$AB$8:$AB$1039,AB43,$R$8:$R$1039,R43,$AA$8:$AA$1039,"&lt;="&amp;AA43)</f>
        <v/>
      </c>
      <c r="AK43" s="84">
        <f>E13</f>
        <v/>
      </c>
      <c r="AL43" s="84">
        <f>E19</f>
        <v/>
      </c>
      <c r="AM43" s="84">
        <f>MAX(0,AJ43-AK43)</f>
        <v/>
      </c>
      <c r="AN43" s="84">
        <f>IF(AM43=0,AH43,IF(AM43&gt;=AH43,0,AH43-AM43))</f>
        <v/>
      </c>
      <c r="AO43" s="84">
        <f>IF(AM43&gt;=AH43,AI43,AI43*AM43/AH43)</f>
        <v/>
      </c>
      <c r="AP43">
        <f t="array" ref="AP43">INDEX($AU$8:$BB$25,6*(R43-1)+MATCH(AB43,$AS$8:$AS$13,0),MATCH(O43,$AU$7:$BB$7,0))</f>
        <v/>
      </c>
    </row>
    <row r="44" ht="14.25" customHeight="1">
      <c r="A44" s="85" t="inlineStr">
        <is>
          <t>WS Component for Q4’26</t>
        </is>
      </c>
      <c r="B44" s="31" t="inlineStr">
        <is>
          <t>A</t>
        </is>
      </c>
      <c r="C44" s="45" t="n">
        <v>50</v>
      </c>
      <c r="D44" s="45" t="n">
        <v>35</v>
      </c>
      <c r="E44" s="45" t="n">
        <v>0</v>
      </c>
      <c r="F44">
        <f t="array" ref="F44">SUM(C44:C55*data!$B$3:$B$14)</f>
        <v/>
      </c>
      <c r="G44">
        <f t="array" ref="G44">SUM(D44:D55*data!$B$3:$B$14)</f>
        <v/>
      </c>
      <c r="H44">
        <f t="array" ref="H44">SUM(E44:E55*data!$B$3:$B$14)</f>
        <v/>
      </c>
      <c r="I44" s="64" t="inlineStr">
        <is>
          <t>&lt;- make sure its green</t>
        </is>
      </c>
      <c r="O44" s="43" t="inlineStr">
        <is>
          <t>Q1’26</t>
        </is>
      </c>
      <c r="P44" s="43" t="n">
        <v>2</v>
      </c>
      <c r="Q44" s="43" t="n">
        <v>2</v>
      </c>
      <c r="R44" s="43" t="n">
        <v>1</v>
      </c>
      <c r="S44" s="45" t="n">
        <v>3429.440000000001</v>
      </c>
      <c r="T44">
        <f>(S44+S45+S46)=N3</f>
        <v/>
      </c>
      <c r="X44" s="84">
        <f>MAX(S41-S44,0)</f>
        <v/>
      </c>
      <c r="Y44" s="83" t="n">
        <v>0</v>
      </c>
      <c r="AA44" s="84" t="n">
        <v>1</v>
      </c>
      <c r="AB44" s="84" t="inlineStr">
        <is>
          <t>B</t>
        </is>
      </c>
      <c r="AC44" s="84" t="inlineStr">
        <is>
          <t>B+</t>
        </is>
      </c>
      <c r="AD44" s="84" t="n">
        <v>20</v>
      </c>
      <c r="AE44" s="84" t="n">
        <v>18</v>
      </c>
      <c r="AF44" s="84" t="n">
        <v>0.76</v>
      </c>
      <c r="AG44" s="84" t="n">
        <v>0.8100000000000001</v>
      </c>
      <c r="AH44" s="84" t="n">
        <v>0</v>
      </c>
      <c r="AI44" s="84" t="n">
        <v>0</v>
      </c>
      <c r="AJ44" s="84">
        <f>SUMIFS(AH$8:AH$1039,$O$8:$O$1039,O44,$AB$8:$AB$1039,AB44,$R$8:$R$1039,R44,$AA$8:$AA$1039,"&lt;="&amp;AA44)</f>
        <v/>
      </c>
      <c r="AK44" s="84">
        <f>C9</f>
        <v/>
      </c>
      <c r="AL44" s="84">
        <f>C15</f>
        <v/>
      </c>
      <c r="AM44" s="84">
        <f>MAX(0,AJ44-AK44)</f>
        <v/>
      </c>
      <c r="AN44" s="84">
        <f>IF(AM44=0,AH44,IF(AM44&gt;=AH44,0,AH44-AM44))</f>
        <v/>
      </c>
      <c r="AO44" s="84">
        <f>IF(AM44&gt;=AH44,AI44,AI44*AM44/AH44)</f>
        <v/>
      </c>
      <c r="AP44">
        <f t="array" ref="AP44">INDEX($AU$8:$BB$25,6*(R44-1)+MATCH(AB44,$AS$8:$AS$13,0),MATCH(O44,$AU$7:$BB$7,0))</f>
        <v/>
      </c>
    </row>
    <row r="45" ht="14.55" customHeight="1">
      <c r="B45" s="31" t="inlineStr">
        <is>
          <t>B</t>
        </is>
      </c>
      <c r="C45" s="45" t="n">
        <v>25</v>
      </c>
      <c r="D45" s="45" t="n">
        <v>30</v>
      </c>
      <c r="E45" s="45" t="n">
        <v>0</v>
      </c>
      <c r="I45" s="64" t="n"/>
      <c r="O45" s="43" t="inlineStr">
        <is>
          <t>Q1’26</t>
        </is>
      </c>
      <c r="P45" s="43" t="n">
        <v>2</v>
      </c>
      <c r="Q45" s="43" t="n">
        <v>2</v>
      </c>
      <c r="R45" s="43" t="n">
        <v>2</v>
      </c>
      <c r="S45" s="45" t="n">
        <v>1570.559999999999</v>
      </c>
      <c r="T45">
        <f>(S44+S45+S46)=N3</f>
        <v/>
      </c>
      <c r="X45" s="84">
        <f>MAX(S42-S45,0)</f>
        <v/>
      </c>
      <c r="Y45" s="83" t="n">
        <v>0</v>
      </c>
      <c r="AA45" s="84" t="n">
        <v>1</v>
      </c>
      <c r="AB45" s="84" t="inlineStr">
        <is>
          <t>B</t>
        </is>
      </c>
      <c r="AC45" s="84" t="inlineStr">
        <is>
          <t>B+</t>
        </is>
      </c>
      <c r="AD45" s="84" t="n">
        <v>20</v>
      </c>
      <c r="AE45" s="84" t="n">
        <v>18</v>
      </c>
      <c r="AF45" s="84" t="n">
        <v>0.76</v>
      </c>
      <c r="AG45" s="84" t="n">
        <v>0.8100000000000001</v>
      </c>
      <c r="AH45" s="84" t="n">
        <v>0</v>
      </c>
      <c r="AI45" s="84" t="n">
        <v>0</v>
      </c>
      <c r="AJ45" s="84">
        <f>SUMIFS(AH$8:AH$1039,$O$8:$O$1039,O45,$AB$8:$AB$1039,AB45,$R$8:$R$1039,R45,$AA$8:$AA$1039,"&lt;="&amp;AA45)</f>
        <v/>
      </c>
      <c r="AK45" s="84">
        <f>D9</f>
        <v/>
      </c>
      <c r="AL45" s="84">
        <f>D15</f>
        <v/>
      </c>
      <c r="AM45" s="84">
        <f>MAX(0,AJ45-AK45)</f>
        <v/>
      </c>
      <c r="AN45" s="84">
        <f>IF(AM45=0,AH45,IF(AM45&gt;=AH45,0,AH45-AM45))</f>
        <v/>
      </c>
      <c r="AO45" s="84">
        <f>IF(AM45&gt;=AH45,AI45,AI45*AM45/AH45)</f>
        <v/>
      </c>
      <c r="AP45">
        <f t="array" ref="AP45">INDEX($AU$8:$BB$25,6*(R45-1)+MATCH(AB45,$AS$8:$AS$13,0),MATCH(O45,$AU$7:$BB$7,0))</f>
        <v/>
      </c>
    </row>
    <row r="46" ht="14.55" customHeight="1">
      <c r="B46" s="31" t="inlineStr">
        <is>
          <t>C</t>
        </is>
      </c>
      <c r="C46" s="45" t="n">
        <v>0</v>
      </c>
      <c r="D46" s="45" t="n">
        <v>0</v>
      </c>
      <c r="E46" s="45" t="n">
        <v>40</v>
      </c>
      <c r="F46" s="84" t="inlineStr">
        <is>
          <t>New tool purchase cost</t>
        </is>
      </c>
      <c r="I46" s="64" t="n"/>
      <c r="O46" s="43" t="inlineStr">
        <is>
          <t>Q1’26</t>
        </is>
      </c>
      <c r="P46" s="43" t="n">
        <v>2</v>
      </c>
      <c r="Q46" s="43" t="n">
        <v>2</v>
      </c>
      <c r="R46" s="43" t="n">
        <v>3</v>
      </c>
      <c r="S46" s="45" t="n">
        <v>0</v>
      </c>
      <c r="T46">
        <f>(S44+S45+S46)=N3</f>
        <v/>
      </c>
      <c r="X46" s="84">
        <f>MAX(S43-S46,0)</f>
        <v/>
      </c>
      <c r="Y46" s="83" t="n">
        <v>0</v>
      </c>
      <c r="AA46" s="84" t="n">
        <v>1</v>
      </c>
      <c r="AB46" s="84" t="inlineStr">
        <is>
          <t>B</t>
        </is>
      </c>
      <c r="AC46" s="84" t="inlineStr">
        <is>
          <t>B+</t>
        </is>
      </c>
      <c r="AD46" s="84" t="n">
        <v>20</v>
      </c>
      <c r="AE46" s="84" t="n">
        <v>18</v>
      </c>
      <c r="AF46" s="84" t="n">
        <v>0.76</v>
      </c>
      <c r="AG46" s="84" t="n">
        <v>0.8100000000000001</v>
      </c>
      <c r="AH46" s="84" t="n">
        <v>0</v>
      </c>
      <c r="AI46" s="84" t="n">
        <v>0</v>
      </c>
      <c r="AJ46" s="84">
        <f>SUMIFS(AH$8:AH$1039,$O$8:$O$1039,O46,$AB$8:$AB$1039,AB46,$R$8:$R$1039,R46,$AA$8:$AA$1039,"&lt;="&amp;AA46)</f>
        <v/>
      </c>
      <c r="AK46" s="84">
        <f>E9</f>
        <v/>
      </c>
      <c r="AL46" s="84">
        <f>E15</f>
        <v/>
      </c>
      <c r="AM46" s="84">
        <f>MAX(0,AJ46-AK46)</f>
        <v/>
      </c>
      <c r="AN46" s="84">
        <f>IF(AM46=0,AH46,IF(AM46&gt;=AH46,0,AH46-AM46))</f>
        <v/>
      </c>
      <c r="AO46" s="84">
        <f>IF(AM46&gt;=AH46,AI46,AI46*AM46/AH46)</f>
        <v/>
      </c>
      <c r="AP46">
        <f t="array" ref="AP46">INDEX($AU$8:$BB$25,6*(R46-1)+MATCH(AB46,$AS$8:$AS$13,0),MATCH(O46,$AU$7:$BB$7,0))</f>
        <v/>
      </c>
    </row>
    <row r="47" ht="14.55" customHeight="1">
      <c r="B47" s="31" t="inlineStr">
        <is>
          <t>D</t>
        </is>
      </c>
      <c r="C47" s="45" t="n">
        <v>50</v>
      </c>
      <c r="D47" s="45" t="n">
        <v>50</v>
      </c>
      <c r="E47" s="45" t="n">
        <v>35</v>
      </c>
      <c r="F47" s="83">
        <f t="array" ref="F47">SUM(
     _xlfn.BYROW(
           IF(C44:E55-C32:E43&gt;0, C44:E55-C32:E43, 0),
           _xleta.SUM)
     *data!$C$3:$C$14
)</f>
        <v/>
      </c>
      <c r="I47" s="64" t="n"/>
      <c r="O47" s="43" t="inlineStr">
        <is>
          <t>Q1’26</t>
        </is>
      </c>
      <c r="P47" s="43" t="n">
        <v>2</v>
      </c>
      <c r="Q47" s="43" t="n">
        <v>3</v>
      </c>
      <c r="R47" s="43" t="n">
        <v>1</v>
      </c>
      <c r="S47" s="45" t="n">
        <v>3429.440000000001</v>
      </c>
      <c r="T47">
        <f>(S47+S48+S49)=N3</f>
        <v/>
      </c>
      <c r="X47" s="84">
        <f>MAX(S44-S47,0)</f>
        <v/>
      </c>
      <c r="Y47" s="83" t="n">
        <v>0</v>
      </c>
      <c r="AA47" s="84" t="n">
        <v>11</v>
      </c>
      <c r="AB47" s="84" t="inlineStr">
        <is>
          <t>E</t>
        </is>
      </c>
      <c r="AC47" s="84" t="inlineStr">
        <is>
          <t>E+</t>
        </is>
      </c>
      <c r="AD47" s="84" t="n">
        <v>10</v>
      </c>
      <c r="AE47" s="84" t="n">
        <v>7</v>
      </c>
      <c r="AF47" s="84" t="n">
        <v>0.76</v>
      </c>
      <c r="AG47" s="84" t="n">
        <v>0.84</v>
      </c>
      <c r="AH47" s="84" t="n">
        <v>0</v>
      </c>
      <c r="AI47" s="84" t="n">
        <v>0</v>
      </c>
      <c r="AJ47" s="84">
        <f>SUMIFS(AH$8:AH$1039,$O$8:$O$1039,O47,$AB$8:$AB$1039,AB47,$R$8:$R$1039,R47,$AA$8:$AA$1039,"&lt;="&amp;AA47)</f>
        <v/>
      </c>
      <c r="AK47" s="84">
        <f>C12</f>
        <v/>
      </c>
      <c r="AL47" s="84">
        <f>C18</f>
        <v/>
      </c>
      <c r="AM47" s="84">
        <f>MAX(0,AJ47-AK47)</f>
        <v/>
      </c>
      <c r="AN47" s="84">
        <f>IF(AM47=0,AH47,IF(AM47&gt;=AH47,0,AH47-AM47))</f>
        <v/>
      </c>
      <c r="AO47" s="84">
        <f>IF(AM47&gt;=AH47,AI47,AI47*AM47/AH47)</f>
        <v/>
      </c>
      <c r="AP47">
        <f t="array" ref="AP47">INDEX($AU$8:$BB$25,6*(R47-1)+MATCH(AB47,$AS$8:$AS$13,0),MATCH(O47,$AU$7:$BB$7,0))</f>
        <v/>
      </c>
    </row>
    <row r="48" ht="14.55" customHeight="1">
      <c r="B48" s="31" t="inlineStr">
        <is>
          <t>E</t>
        </is>
      </c>
      <c r="C48" s="45" t="n">
        <v>40</v>
      </c>
      <c r="D48" s="45" t="n">
        <v>30</v>
      </c>
      <c r="E48" s="45" t="n">
        <v>16</v>
      </c>
      <c r="F48" s="84" t="inlineStr">
        <is>
          <t>Moveout cost</t>
        </is>
      </c>
      <c r="I48" s="64" t="n"/>
      <c r="O48" s="43" t="inlineStr">
        <is>
          <t>Q1’26</t>
        </is>
      </c>
      <c r="P48" s="43" t="n">
        <v>2</v>
      </c>
      <c r="Q48" s="43" t="n">
        <v>3</v>
      </c>
      <c r="R48" s="43" t="n">
        <v>2</v>
      </c>
      <c r="S48" s="45" t="n">
        <v>1570.559999999999</v>
      </c>
      <c r="T48">
        <f>(S47+S48+S49)=N3</f>
        <v/>
      </c>
      <c r="X48" s="84">
        <f>MAX(S45-S48,0)</f>
        <v/>
      </c>
      <c r="Y48" s="83" t="n">
        <v>0</v>
      </c>
      <c r="AA48" s="84" t="n">
        <v>11</v>
      </c>
      <c r="AB48" s="84" t="inlineStr">
        <is>
          <t>E</t>
        </is>
      </c>
      <c r="AC48" s="84" t="inlineStr">
        <is>
          <t>E+</t>
        </is>
      </c>
      <c r="AD48" s="84" t="n">
        <v>10</v>
      </c>
      <c r="AE48" s="84" t="n">
        <v>7</v>
      </c>
      <c r="AF48" s="84" t="n">
        <v>0.76</v>
      </c>
      <c r="AG48" s="84" t="n">
        <v>0.84</v>
      </c>
      <c r="AH48" s="84" t="n">
        <v>0</v>
      </c>
      <c r="AI48" s="84" t="n">
        <v>0</v>
      </c>
      <c r="AJ48" s="84">
        <f>SUMIFS(AH$8:AH$1039,$O$8:$O$1039,O48,$AB$8:$AB$1039,AB48,$R$8:$R$1039,R48,$AA$8:$AA$1039,"&lt;="&amp;AA48)</f>
        <v/>
      </c>
      <c r="AK48" s="84">
        <f>D12</f>
        <v/>
      </c>
      <c r="AL48" s="84">
        <f>D18</f>
        <v/>
      </c>
      <c r="AM48" s="84">
        <f>MAX(0,AJ48-AK48)</f>
        <v/>
      </c>
      <c r="AN48" s="84">
        <f>IF(AM48=0,AH48,IF(AM48&gt;=AH48,0,AH48-AM48))</f>
        <v/>
      </c>
      <c r="AO48" s="84">
        <f>IF(AM48&gt;=AH48,AI48,AI48*AM48/AH48)</f>
        <v/>
      </c>
      <c r="AP48">
        <f t="array" ref="AP48">INDEX($AU$8:$BB$25,6*(R48-1)+MATCH(AB48,$AS$8:$AS$13,0),MATCH(O48,$AU$7:$BB$7,0))</f>
        <v/>
      </c>
    </row>
    <row r="49" ht="14.55" customHeight="1">
      <c r="B49" s="31" t="inlineStr">
        <is>
          <t>F</t>
        </is>
      </c>
      <c r="C49" s="45" t="n">
        <v>90</v>
      </c>
      <c r="D49" s="45" t="n">
        <v>60</v>
      </c>
      <c r="E49" s="45" t="n">
        <v>36</v>
      </c>
      <c r="F49" s="83">
        <f t="array" ref="F49">SUM(
     _xlfn.BYROW(
           IF(C44:E55-C32:E43&lt;0, C44:E55-C32:E43, 0),
           _xleta.SUM)
     * -1000000
)</f>
        <v/>
      </c>
      <c r="I49" s="64" t="n"/>
      <c r="O49" s="43" t="inlineStr">
        <is>
          <t>Q1’26</t>
        </is>
      </c>
      <c r="P49" s="43" t="n">
        <v>2</v>
      </c>
      <c r="Q49" s="43" t="n">
        <v>3</v>
      </c>
      <c r="R49" s="43" t="n">
        <v>3</v>
      </c>
      <c r="S49" s="45" t="n">
        <v>0</v>
      </c>
      <c r="T49">
        <f>(S47+S48+S49)=N3</f>
        <v/>
      </c>
      <c r="X49" s="84">
        <f>MAX(S46-S49,0)</f>
        <v/>
      </c>
      <c r="Y49" s="83" t="n">
        <v>0</v>
      </c>
      <c r="AA49" s="84" t="n">
        <v>11</v>
      </c>
      <c r="AB49" s="84" t="inlineStr">
        <is>
          <t>E</t>
        </is>
      </c>
      <c r="AC49" s="84" t="inlineStr">
        <is>
          <t>E+</t>
        </is>
      </c>
      <c r="AD49" s="84" t="n">
        <v>10</v>
      </c>
      <c r="AE49" s="84" t="n">
        <v>7</v>
      </c>
      <c r="AF49" s="84" t="n">
        <v>0.76</v>
      </c>
      <c r="AG49" s="84" t="n">
        <v>0.84</v>
      </c>
      <c r="AH49" s="84" t="n">
        <v>0</v>
      </c>
      <c r="AI49" s="84" t="n">
        <v>0</v>
      </c>
      <c r="AJ49" s="84">
        <f>SUMIFS(AH$8:AH$1039,$O$8:$O$1039,O49,$AB$8:$AB$1039,AB49,$R$8:$R$1039,R49,$AA$8:$AA$1039,"&lt;="&amp;AA49)</f>
        <v/>
      </c>
      <c r="AK49" s="84">
        <f>E12</f>
        <v/>
      </c>
      <c r="AL49" s="84">
        <f>E18</f>
        <v/>
      </c>
      <c r="AM49" s="84">
        <f>MAX(0,AJ49-AK49)</f>
        <v/>
      </c>
      <c r="AN49" s="84">
        <f>IF(AM49=0,AH49,IF(AM49&gt;=AH49,0,AH49-AM49))</f>
        <v/>
      </c>
      <c r="AO49" s="84">
        <f>IF(AM49&gt;=AH49,AI49,AI49*AM49/AH49)</f>
        <v/>
      </c>
      <c r="AP49">
        <f t="array" ref="AP49">INDEX($AU$8:$BB$25,6*(R49-1)+MATCH(AB49,$AS$8:$AS$13,0),MATCH(O49,$AU$7:$BB$7,0))</f>
        <v/>
      </c>
    </row>
    <row r="50" ht="14.55" customHeight="1">
      <c r="B50" s="31" t="inlineStr">
        <is>
          <t>A+</t>
        </is>
      </c>
      <c r="C50" s="45" t="n">
        <v>0</v>
      </c>
      <c r="D50" s="45" t="n">
        <v>0</v>
      </c>
      <c r="E50" s="45" t="n">
        <v>0</v>
      </c>
      <c r="I50" s="64" t="n"/>
      <c r="O50" s="43" t="inlineStr">
        <is>
          <t>Q1’26</t>
        </is>
      </c>
      <c r="P50" s="43" t="n">
        <v>2</v>
      </c>
      <c r="Q50" s="43" t="n">
        <v>4</v>
      </c>
      <c r="R50" s="43" t="n">
        <v>1</v>
      </c>
      <c r="S50" s="45" t="n">
        <v>3429.440000000001</v>
      </c>
      <c r="T50">
        <f>(S50+S51+S52)=N3</f>
        <v/>
      </c>
      <c r="X50" s="84">
        <f>MAX(S47-S50,0)</f>
        <v/>
      </c>
      <c r="Y50" s="83" t="n">
        <v>0</v>
      </c>
      <c r="AA50" s="84" t="n">
        <v>2</v>
      </c>
      <c r="AB50" s="84" t="inlineStr">
        <is>
          <t>B</t>
        </is>
      </c>
      <c r="AC50" s="84" t="inlineStr">
        <is>
          <t>B+</t>
        </is>
      </c>
      <c r="AD50" s="84" t="n">
        <v>25</v>
      </c>
      <c r="AE50" s="84" t="n">
        <v>19</v>
      </c>
      <c r="AF50" s="84" t="n">
        <v>0.76</v>
      </c>
      <c r="AG50" s="84" t="n">
        <v>0.8100000000000001</v>
      </c>
      <c r="AH50" s="84" t="n">
        <v>0</v>
      </c>
      <c r="AI50" s="84" t="n">
        <v>0</v>
      </c>
      <c r="AJ50" s="84">
        <f>SUMIFS(AH$8:AH$1039,$O$8:$O$1039,O50,$AB$8:$AB$1039,AB50,$R$8:$R$1039,R50,$AA$8:$AA$1039,"&lt;="&amp;AA50)</f>
        <v/>
      </c>
      <c r="AK50" s="84">
        <f>C9</f>
        <v/>
      </c>
      <c r="AL50" s="84">
        <f>C15</f>
        <v/>
      </c>
      <c r="AM50" s="84">
        <f>MAX(0,AJ50-AK50)</f>
        <v/>
      </c>
      <c r="AN50" s="84">
        <f>IF(AM50=0,AH50,IF(AM50&gt;=AH50,0,AH50-AM50))</f>
        <v/>
      </c>
      <c r="AO50" s="84">
        <f>IF(AM50&gt;=AH50,AI50,AI50*AM50/AH50)</f>
        <v/>
      </c>
      <c r="AP50">
        <f t="array" ref="AP50">INDEX($AU$8:$BB$25,6*(R50-1)+MATCH(AB50,$AS$8:$AS$13,0),MATCH(O50,$AU$7:$BB$7,0))</f>
        <v/>
      </c>
    </row>
    <row r="51" ht="14.55" customHeight="1">
      <c r="B51" s="31" t="inlineStr">
        <is>
          <t>B+</t>
        </is>
      </c>
      <c r="C51" s="45" t="n">
        <v>8</v>
      </c>
      <c r="D51" s="45" t="n">
        <v>0</v>
      </c>
      <c r="E51" s="45" t="n">
        <v>0</v>
      </c>
      <c r="I51" s="64" t="n"/>
      <c r="O51" s="43" t="inlineStr">
        <is>
          <t>Q1’26</t>
        </is>
      </c>
      <c r="P51" s="43" t="n">
        <v>2</v>
      </c>
      <c r="Q51" s="43" t="n">
        <v>4</v>
      </c>
      <c r="R51" s="43" t="n">
        <v>2</v>
      </c>
      <c r="S51" s="45" t="n">
        <v>1570.559999999999</v>
      </c>
      <c r="T51">
        <f>(S50+S51+S52)=N3</f>
        <v/>
      </c>
      <c r="X51" s="84">
        <f>MAX(S48-S51,0)</f>
        <v/>
      </c>
      <c r="Y51" s="83" t="n">
        <v>0</v>
      </c>
      <c r="AA51" s="84" t="n">
        <v>2</v>
      </c>
      <c r="AB51" s="84" t="inlineStr">
        <is>
          <t>B</t>
        </is>
      </c>
      <c r="AC51" s="84" t="inlineStr">
        <is>
          <t>B+</t>
        </is>
      </c>
      <c r="AD51" s="84" t="n">
        <v>25</v>
      </c>
      <c r="AE51" s="84" t="n">
        <v>19</v>
      </c>
      <c r="AF51" s="84" t="n">
        <v>0.76</v>
      </c>
      <c r="AG51" s="84" t="n">
        <v>0.8100000000000001</v>
      </c>
      <c r="AH51" s="84" t="n">
        <v>0</v>
      </c>
      <c r="AI51" s="84" t="n">
        <v>0</v>
      </c>
      <c r="AJ51" s="84">
        <f>SUMIFS(AH$8:AH$1039,$O$8:$O$1039,O51,$AB$8:$AB$1039,AB51,$R$8:$R$1039,R51,$AA$8:$AA$1039,"&lt;="&amp;AA51)</f>
        <v/>
      </c>
      <c r="AK51" s="84">
        <f>D9</f>
        <v/>
      </c>
      <c r="AL51" s="84">
        <f>D15</f>
        <v/>
      </c>
      <c r="AM51" s="84">
        <f>MAX(0,AJ51-AK51)</f>
        <v/>
      </c>
      <c r="AN51" s="84">
        <f>IF(AM51=0,AH51,IF(AM51&gt;=AH51,0,AH51-AM51))</f>
        <v/>
      </c>
      <c r="AO51" s="84">
        <f>IF(AM51&gt;=AH51,AI51,AI51*AM51/AH51)</f>
        <v/>
      </c>
      <c r="AP51">
        <f t="array" ref="AP51">INDEX($AU$8:$BB$25,6*(R51-1)+MATCH(AB51,$AS$8:$AS$13,0),MATCH(O51,$AU$7:$BB$7,0))</f>
        <v/>
      </c>
    </row>
    <row r="52" ht="14.55" customHeight="1">
      <c r="B52" s="31" t="inlineStr">
        <is>
          <t>C+</t>
        </is>
      </c>
      <c r="C52" s="45" t="n">
        <v>10</v>
      </c>
      <c r="D52" s="45" t="n">
        <v>36</v>
      </c>
      <c r="E52" s="45" t="n">
        <v>1</v>
      </c>
      <c r="I52" s="64" t="n"/>
      <c r="O52" s="43" t="inlineStr">
        <is>
          <t>Q1’26</t>
        </is>
      </c>
      <c r="P52" s="43" t="n">
        <v>2</v>
      </c>
      <c r="Q52" s="43" t="n">
        <v>4</v>
      </c>
      <c r="R52" s="43" t="n">
        <v>3</v>
      </c>
      <c r="S52" s="45" t="n">
        <v>0</v>
      </c>
      <c r="T52">
        <f>(S50+S51+S52)=N3</f>
        <v/>
      </c>
      <c r="X52" s="84">
        <f>MAX(S49-S52,0)</f>
        <v/>
      </c>
      <c r="Y52" s="83" t="n">
        <v>0</v>
      </c>
      <c r="AA52" s="84" t="n">
        <v>2</v>
      </c>
      <c r="AB52" s="84" t="inlineStr">
        <is>
          <t>B</t>
        </is>
      </c>
      <c r="AC52" s="84" t="inlineStr">
        <is>
          <t>B+</t>
        </is>
      </c>
      <c r="AD52" s="84" t="n">
        <v>25</v>
      </c>
      <c r="AE52" s="84" t="n">
        <v>19</v>
      </c>
      <c r="AF52" s="84" t="n">
        <v>0.76</v>
      </c>
      <c r="AG52" s="84" t="n">
        <v>0.8100000000000001</v>
      </c>
      <c r="AH52" s="84" t="n">
        <v>0</v>
      </c>
      <c r="AI52" s="84" t="n">
        <v>0</v>
      </c>
      <c r="AJ52" s="84">
        <f>SUMIFS(AH$8:AH$1039,$O$8:$O$1039,O52,$AB$8:$AB$1039,AB52,$R$8:$R$1039,R52,$AA$8:$AA$1039,"&lt;="&amp;AA52)</f>
        <v/>
      </c>
      <c r="AK52" s="84">
        <f>E9</f>
        <v/>
      </c>
      <c r="AL52" s="84">
        <f>E15</f>
        <v/>
      </c>
      <c r="AM52" s="84">
        <f>MAX(0,AJ52-AK52)</f>
        <v/>
      </c>
      <c r="AN52" s="84">
        <f>IF(AM52=0,AH52,IF(AM52&gt;=AH52,0,AH52-AM52))</f>
        <v/>
      </c>
      <c r="AO52" s="84">
        <f>IF(AM52&gt;=AH52,AI52,AI52*AM52/AH52)</f>
        <v/>
      </c>
      <c r="AP52">
        <f t="array" ref="AP52">INDEX($AU$8:$BB$25,6*(R52-1)+MATCH(AB52,$AS$8:$AS$13,0),MATCH(O52,$AU$7:$BB$7,0))</f>
        <v/>
      </c>
    </row>
    <row r="53" ht="14.55" customHeight="1">
      <c r="B53" s="31" t="inlineStr">
        <is>
          <t>D+</t>
        </is>
      </c>
      <c r="C53" s="45" t="n">
        <v>2</v>
      </c>
      <c r="D53" s="45" t="n">
        <v>0</v>
      </c>
      <c r="E53" s="45" t="n">
        <v>0</v>
      </c>
      <c r="I53" s="64" t="n"/>
      <c r="O53" s="43" t="inlineStr">
        <is>
          <t>Q1’26</t>
        </is>
      </c>
      <c r="P53" s="43" t="n">
        <v>2</v>
      </c>
      <c r="Q53" s="43" t="n">
        <v>5</v>
      </c>
      <c r="R53" s="43" t="n">
        <v>1</v>
      </c>
      <c r="S53" s="45" t="n">
        <v>3429.440000000001</v>
      </c>
      <c r="T53">
        <f>(S53+S54+S55)=N3</f>
        <v/>
      </c>
      <c r="X53" s="84">
        <f>MAX(S50-S53,0)</f>
        <v/>
      </c>
      <c r="Y53" s="83" t="n">
        <v>0</v>
      </c>
      <c r="AA53" s="84" t="n">
        <v>3</v>
      </c>
      <c r="AB53" s="84" t="inlineStr">
        <is>
          <t>B</t>
        </is>
      </c>
      <c r="AC53" s="84" t="inlineStr">
        <is>
          <t>B+</t>
        </is>
      </c>
      <c r="AD53" s="84" t="n">
        <v>15</v>
      </c>
      <c r="AE53" s="84" t="n">
        <v>11</v>
      </c>
      <c r="AF53" s="84" t="n">
        <v>0.76</v>
      </c>
      <c r="AG53" s="84" t="n">
        <v>0.8100000000000001</v>
      </c>
      <c r="AH53" s="84" t="n">
        <v>0</v>
      </c>
      <c r="AI53" s="84" t="n">
        <v>0</v>
      </c>
      <c r="AJ53" s="84">
        <f>SUMIFS(AH$8:AH$1039,$O$8:$O$1039,O53,$AB$8:$AB$1039,AB53,$R$8:$R$1039,R53,$AA$8:$AA$1039,"&lt;="&amp;AA53)</f>
        <v/>
      </c>
      <c r="AK53" s="84">
        <f>C9</f>
        <v/>
      </c>
      <c r="AL53" s="84">
        <f>C15</f>
        <v/>
      </c>
      <c r="AM53" s="84">
        <f>MAX(0,AJ53-AK53)</f>
        <v/>
      </c>
      <c r="AN53" s="84">
        <f>IF(AM53=0,AH53,IF(AM53&gt;=AH53,0,AH53-AM53))</f>
        <v/>
      </c>
      <c r="AO53" s="84">
        <f>IF(AM53&gt;=AH53,AI53,AI53*AM53/AH53)</f>
        <v/>
      </c>
      <c r="AP53">
        <f t="array" ref="AP53">INDEX($AU$8:$BB$25,6*(R53-1)+MATCH(AB53,$AS$8:$AS$13,0),MATCH(O53,$AU$7:$BB$7,0))</f>
        <v/>
      </c>
    </row>
    <row r="54" ht="14.55" customHeight="1">
      <c r="B54" s="31" t="inlineStr">
        <is>
          <t>E+</t>
        </is>
      </c>
      <c r="C54" s="45" t="n">
        <v>5</v>
      </c>
      <c r="D54" s="45" t="n">
        <v>20</v>
      </c>
      <c r="E54" s="45" t="n">
        <v>12</v>
      </c>
      <c r="I54" s="64" t="n"/>
      <c r="O54" s="43" t="inlineStr">
        <is>
          <t>Q1’26</t>
        </is>
      </c>
      <c r="P54" s="43" t="n">
        <v>2</v>
      </c>
      <c r="Q54" s="43" t="n">
        <v>5</v>
      </c>
      <c r="R54" s="43" t="n">
        <v>2</v>
      </c>
      <c r="S54" s="45" t="n">
        <v>1570.559999999999</v>
      </c>
      <c r="T54">
        <f>(S53+S54+S55)=N3</f>
        <v/>
      </c>
      <c r="X54" s="84">
        <f>MAX(S51-S54,0)</f>
        <v/>
      </c>
      <c r="Y54" s="83" t="n">
        <v>0</v>
      </c>
      <c r="AA54" s="84" t="n">
        <v>3</v>
      </c>
      <c r="AB54" s="84" t="inlineStr">
        <is>
          <t>B</t>
        </is>
      </c>
      <c r="AC54" s="84" t="inlineStr">
        <is>
          <t>B+</t>
        </is>
      </c>
      <c r="AD54" s="84" t="n">
        <v>15</v>
      </c>
      <c r="AE54" s="84" t="n">
        <v>11</v>
      </c>
      <c r="AF54" s="84" t="n">
        <v>0.76</v>
      </c>
      <c r="AG54" s="84" t="n">
        <v>0.8100000000000001</v>
      </c>
      <c r="AH54" s="84" t="n">
        <v>0</v>
      </c>
      <c r="AI54" s="84" t="n">
        <v>0</v>
      </c>
      <c r="AJ54" s="84">
        <f>SUMIFS(AH$8:AH$1039,$O$8:$O$1039,O54,$AB$8:$AB$1039,AB54,$R$8:$R$1039,R54,$AA$8:$AA$1039,"&lt;="&amp;AA54)</f>
        <v/>
      </c>
      <c r="AK54" s="84">
        <f>D9</f>
        <v/>
      </c>
      <c r="AL54" s="84">
        <f>D15</f>
        <v/>
      </c>
      <c r="AM54" s="84">
        <f>MAX(0,AJ54-AK54)</f>
        <v/>
      </c>
      <c r="AN54" s="84">
        <f>IF(AM54=0,AH54,IF(AM54&gt;=AH54,0,AH54-AM54))</f>
        <v/>
      </c>
      <c r="AO54" s="84">
        <f>IF(AM54&gt;=AH54,AI54,AI54*AM54/AH54)</f>
        <v/>
      </c>
      <c r="AP54">
        <f t="array" ref="AP54">INDEX($AU$8:$BB$25,6*(R54-1)+MATCH(AB54,$AS$8:$AS$13,0),MATCH(O54,$AU$7:$BB$7,0))</f>
        <v/>
      </c>
    </row>
    <row r="55" ht="14.55" customHeight="1">
      <c r="B55" s="31" t="inlineStr">
        <is>
          <t>F+</t>
        </is>
      </c>
      <c r="C55" s="45" t="n">
        <v>0</v>
      </c>
      <c r="D55" s="45" t="n">
        <v>0</v>
      </c>
      <c r="E55" s="45" t="n">
        <v>0</v>
      </c>
      <c r="F55" s="44" t="inlineStr">
        <is>
          <t>Fab 1 space</t>
        </is>
      </c>
      <c r="G55" s="44" t="inlineStr">
        <is>
          <t>Fab 2 space</t>
        </is>
      </c>
      <c r="H55" s="44" t="inlineStr">
        <is>
          <t>Fab 3 space</t>
        </is>
      </c>
      <c r="I55" s="64" t="n"/>
      <c r="O55" s="43" t="inlineStr">
        <is>
          <t>Q1’26</t>
        </is>
      </c>
      <c r="P55" s="43" t="n">
        <v>2</v>
      </c>
      <c r="Q55" s="43" t="n">
        <v>5</v>
      </c>
      <c r="R55" s="43" t="n">
        <v>3</v>
      </c>
      <c r="S55" s="45" t="n">
        <v>0</v>
      </c>
      <c r="T55">
        <f>(S53+S54+S55)=N3</f>
        <v/>
      </c>
      <c r="X55" s="84">
        <f>MAX(S52-S55,0)</f>
        <v/>
      </c>
      <c r="Y55" s="83" t="n">
        <v>0</v>
      </c>
      <c r="AA55" s="84" t="n">
        <v>3</v>
      </c>
      <c r="AB55" s="84" t="inlineStr">
        <is>
          <t>B</t>
        </is>
      </c>
      <c r="AC55" s="84" t="inlineStr">
        <is>
          <t>B+</t>
        </is>
      </c>
      <c r="AD55" s="84" t="n">
        <v>15</v>
      </c>
      <c r="AE55" s="84" t="n">
        <v>11</v>
      </c>
      <c r="AF55" s="84" t="n">
        <v>0.76</v>
      </c>
      <c r="AG55" s="84" t="n">
        <v>0.8100000000000001</v>
      </c>
      <c r="AH55" s="84" t="n">
        <v>0</v>
      </c>
      <c r="AI55" s="84" t="n">
        <v>0</v>
      </c>
      <c r="AJ55" s="84">
        <f>SUMIFS(AH$8:AH$1039,$O$8:$O$1039,O55,$AB$8:$AB$1039,AB55,$R$8:$R$1039,R55,$AA$8:$AA$1039,"&lt;="&amp;AA55)</f>
        <v/>
      </c>
      <c r="AK55" s="84">
        <f>E9</f>
        <v/>
      </c>
      <c r="AL55" s="84">
        <f>E15</f>
        <v/>
      </c>
      <c r="AM55" s="84">
        <f>MAX(0,AJ55-AK55)</f>
        <v/>
      </c>
      <c r="AN55" s="84">
        <f>IF(AM55=0,AH55,IF(AM55&gt;=AH55,0,AH55-AM55))</f>
        <v/>
      </c>
      <c r="AO55" s="84">
        <f>IF(AM55&gt;=AH55,AI55,AI55*AM55/AH55)</f>
        <v/>
      </c>
      <c r="AP55">
        <f t="array" ref="AP55">INDEX($AU$8:$BB$25,6*(R55-1)+MATCH(AB55,$AS$8:$AS$13,0),MATCH(O55,$AU$7:$BB$7,0))</f>
        <v/>
      </c>
    </row>
    <row r="56" ht="14.25" customHeight="1">
      <c r="A56" s="85" t="inlineStr">
        <is>
          <t>WS Component for Q1’27</t>
        </is>
      </c>
      <c r="B56" s="31" t="inlineStr">
        <is>
          <t>A</t>
        </is>
      </c>
      <c r="C56" s="45" t="n">
        <v>50</v>
      </c>
      <c r="D56" s="45" t="n">
        <v>35</v>
      </c>
      <c r="E56" s="45" t="n">
        <v>0</v>
      </c>
      <c r="F56">
        <f t="array" ref="F56">SUM(C56:C67*data!$B$3:$B$14)</f>
        <v/>
      </c>
      <c r="G56">
        <f t="array" ref="G56">SUM(D56:D67*data!$B$3:$B$14)</f>
        <v/>
      </c>
      <c r="H56">
        <f t="array" ref="H56">SUM(E56:E67*data!$B$3:$B$14)</f>
        <v/>
      </c>
      <c r="I56" s="64" t="inlineStr">
        <is>
          <t>&lt;- make sure its green</t>
        </is>
      </c>
      <c r="O56" s="43" t="inlineStr">
        <is>
          <t>Q1’26</t>
        </is>
      </c>
      <c r="P56" s="43" t="n">
        <v>2</v>
      </c>
      <c r="Q56" s="43" t="n">
        <v>6</v>
      </c>
      <c r="R56" s="43" t="n">
        <v>1</v>
      </c>
      <c r="S56" s="45" t="n">
        <v>3429.440000000001</v>
      </c>
      <c r="T56">
        <f>(S56+S57+S58)=N3</f>
        <v/>
      </c>
      <c r="X56" s="84">
        <f>MAX(S53-S56,0)</f>
        <v/>
      </c>
      <c r="Y56" s="83" t="n">
        <v>0</v>
      </c>
      <c r="AA56" s="84" t="n">
        <v>5</v>
      </c>
      <c r="AB56" s="84" t="inlineStr">
        <is>
          <t>F</t>
        </is>
      </c>
      <c r="AC56" s="84" t="inlineStr">
        <is>
          <t>F+</t>
        </is>
      </c>
      <c r="AD56" s="84" t="n">
        <v>16</v>
      </c>
      <c r="AE56" s="84" t="n">
        <v>14</v>
      </c>
      <c r="AF56" s="84" t="n">
        <v>0.8</v>
      </c>
      <c r="AG56" s="84" t="n">
        <v>0.9</v>
      </c>
      <c r="AH56" s="84" t="n">
        <v>0</v>
      </c>
      <c r="AI56" s="84" t="n">
        <v>0</v>
      </c>
      <c r="AJ56" s="84">
        <f>SUMIFS(AH$8:AH$1039,$O$8:$O$1039,O56,$AB$8:$AB$1039,AB56,$R$8:$R$1039,R56,$AA$8:$AA$1039,"&lt;="&amp;AA56)</f>
        <v/>
      </c>
      <c r="AK56" s="84">
        <f>C13</f>
        <v/>
      </c>
      <c r="AL56" s="84">
        <f>C19</f>
        <v/>
      </c>
      <c r="AM56" s="84">
        <f>MAX(0,AJ56-AK56)</f>
        <v/>
      </c>
      <c r="AN56" s="84">
        <f>IF(AM56=0,AH56,IF(AM56&gt;=AH56,0,AH56-AM56))</f>
        <v/>
      </c>
      <c r="AO56" s="84">
        <f>IF(AM56&gt;=AH56,AI56,AI56*AM56/AH56)</f>
        <v/>
      </c>
      <c r="AP56">
        <f t="array" ref="AP56">INDEX($AU$8:$BB$25,6*(R56-1)+MATCH(AB56,$AS$8:$AS$13,0),MATCH(O56,$AU$7:$BB$7,0))</f>
        <v/>
      </c>
    </row>
    <row r="57" ht="14.55" customHeight="1">
      <c r="B57" s="31" t="inlineStr">
        <is>
          <t>B</t>
        </is>
      </c>
      <c r="C57" s="45" t="n">
        <v>25</v>
      </c>
      <c r="D57" s="45" t="n">
        <v>30</v>
      </c>
      <c r="E57" s="45" t="n">
        <v>0</v>
      </c>
      <c r="I57" s="64" t="n"/>
      <c r="O57" s="43" t="inlineStr">
        <is>
          <t>Q1’26</t>
        </is>
      </c>
      <c r="P57" s="43" t="n">
        <v>2</v>
      </c>
      <c r="Q57" s="43" t="n">
        <v>6</v>
      </c>
      <c r="R57" s="43" t="n">
        <v>2</v>
      </c>
      <c r="S57" s="45" t="n">
        <v>1570.559999999999</v>
      </c>
      <c r="T57">
        <f>(S56+S57+S58)=N3</f>
        <v/>
      </c>
      <c r="X57" s="84">
        <f>MAX(S54-S57,0)</f>
        <v/>
      </c>
      <c r="Y57" s="83" t="n">
        <v>0</v>
      </c>
      <c r="AA57" s="84" t="n">
        <v>5</v>
      </c>
      <c r="AB57" s="84" t="inlineStr">
        <is>
          <t>F</t>
        </is>
      </c>
      <c r="AC57" s="84" t="inlineStr">
        <is>
          <t>F+</t>
        </is>
      </c>
      <c r="AD57" s="84" t="n">
        <v>16</v>
      </c>
      <c r="AE57" s="84" t="n">
        <v>14</v>
      </c>
      <c r="AF57" s="84" t="n">
        <v>0.8</v>
      </c>
      <c r="AG57" s="84" t="n">
        <v>0.9</v>
      </c>
      <c r="AH57" s="84" t="n">
        <v>0</v>
      </c>
      <c r="AI57" s="84" t="n">
        <v>0</v>
      </c>
      <c r="AJ57" s="84">
        <f>SUMIFS(AH$8:AH$1039,$O$8:$O$1039,O57,$AB$8:$AB$1039,AB57,$R$8:$R$1039,R57,$AA$8:$AA$1039,"&lt;="&amp;AA57)</f>
        <v/>
      </c>
      <c r="AK57" s="84">
        <f>D13</f>
        <v/>
      </c>
      <c r="AL57" s="84">
        <f>D19</f>
        <v/>
      </c>
      <c r="AM57" s="84">
        <f>MAX(0,AJ57-AK57)</f>
        <v/>
      </c>
      <c r="AN57" s="84">
        <f>IF(AM57=0,AH57,IF(AM57&gt;=AH57,0,AH57-AM57))</f>
        <v/>
      </c>
      <c r="AO57" s="84">
        <f>IF(AM57&gt;=AH57,AI57,AI57*AM57/AH57)</f>
        <v/>
      </c>
      <c r="AP57">
        <f t="array" ref="AP57">INDEX($AU$8:$BB$25,6*(R57-1)+MATCH(AB57,$AS$8:$AS$13,0),MATCH(O57,$AU$7:$BB$7,0))</f>
        <v/>
      </c>
    </row>
    <row r="58" ht="14.55" customHeight="1">
      <c r="B58" s="31" t="inlineStr">
        <is>
          <t>C</t>
        </is>
      </c>
      <c r="C58" s="45" t="n">
        <v>0</v>
      </c>
      <c r="D58" s="45" t="n">
        <v>0</v>
      </c>
      <c r="E58" s="45" t="n">
        <v>40</v>
      </c>
      <c r="F58" s="84" t="inlineStr">
        <is>
          <t>New tool purchase cost</t>
        </is>
      </c>
      <c r="I58" s="64" t="n"/>
      <c r="O58" s="43" t="inlineStr">
        <is>
          <t>Q1’26</t>
        </is>
      </c>
      <c r="P58" s="43" t="n">
        <v>2</v>
      </c>
      <c r="Q58" s="43" t="n">
        <v>6</v>
      </c>
      <c r="R58" s="43" t="n">
        <v>3</v>
      </c>
      <c r="S58" s="45" t="n">
        <v>-0</v>
      </c>
      <c r="T58">
        <f>(S56+S57+S58)=N3</f>
        <v/>
      </c>
      <c r="X58" s="84">
        <f>MAX(S55-S58,0)</f>
        <v/>
      </c>
      <c r="Y58" s="83" t="n">
        <v>0</v>
      </c>
      <c r="AA58" s="84" t="n">
        <v>5</v>
      </c>
      <c r="AB58" s="84" t="inlineStr">
        <is>
          <t>F</t>
        </is>
      </c>
      <c r="AC58" s="84" t="inlineStr">
        <is>
          <t>F+</t>
        </is>
      </c>
      <c r="AD58" s="84" t="n">
        <v>16</v>
      </c>
      <c r="AE58" s="84" t="n">
        <v>14</v>
      </c>
      <c r="AF58" s="84" t="n">
        <v>0.8</v>
      </c>
      <c r="AG58" s="84" t="n">
        <v>0.9</v>
      </c>
      <c r="AH58" s="84" t="n">
        <v>0</v>
      </c>
      <c r="AI58" s="84" t="n">
        <v>0</v>
      </c>
      <c r="AJ58" s="84">
        <f>SUMIFS(AH$8:AH$1039,$O$8:$O$1039,O58,$AB$8:$AB$1039,AB58,$R$8:$R$1039,R58,$AA$8:$AA$1039,"&lt;="&amp;AA58)</f>
        <v/>
      </c>
      <c r="AK58" s="84">
        <f>E13</f>
        <v/>
      </c>
      <c r="AL58" s="84">
        <f>E19</f>
        <v/>
      </c>
      <c r="AM58" s="84">
        <f>MAX(0,AJ58-AK58)</f>
        <v/>
      </c>
      <c r="AN58" s="84">
        <f>IF(AM58=0,AH58,IF(AM58&gt;=AH58,0,AH58-AM58))</f>
        <v/>
      </c>
      <c r="AO58" s="84">
        <f>IF(AM58&gt;=AH58,AI58,AI58*AM58/AH58)</f>
        <v/>
      </c>
      <c r="AP58">
        <f t="array" ref="AP58">INDEX($AU$8:$BB$25,6*(R58-1)+MATCH(AB58,$AS$8:$AS$13,0),MATCH(O58,$AU$7:$BB$7,0))</f>
        <v/>
      </c>
    </row>
    <row r="59" ht="14.55" customHeight="1">
      <c r="B59" s="31" t="inlineStr">
        <is>
          <t>D</t>
        </is>
      </c>
      <c r="C59" s="45" t="n">
        <v>50</v>
      </c>
      <c r="D59" s="45" t="n">
        <v>50</v>
      </c>
      <c r="E59" s="45" t="n">
        <v>35</v>
      </c>
      <c r="F59" s="83">
        <f t="array" ref="F59">SUM(
     _xlfn.BYROW(
           IF(C56:E67-C44:E55&gt;0, C56:E67-C44:E55, 0),
           _xleta.SUM)
     *data!$C$3:$C$14
)</f>
        <v/>
      </c>
      <c r="I59" s="64" t="n"/>
      <c r="O59" s="43" t="inlineStr">
        <is>
          <t>Q1’26</t>
        </is>
      </c>
      <c r="P59" s="43" t="n">
        <v>2</v>
      </c>
      <c r="Q59" s="43" t="n">
        <v>7</v>
      </c>
      <c r="R59" s="43" t="n">
        <v>1</v>
      </c>
      <c r="S59" s="45" t="n">
        <v>3429.440000000001</v>
      </c>
      <c r="T59">
        <f>(S59+S60+S61)=N3</f>
        <v/>
      </c>
      <c r="X59" s="84">
        <f>MAX(S56-S59,0)</f>
        <v/>
      </c>
      <c r="Y59" s="83" t="n">
        <v>0</v>
      </c>
      <c r="AA59" s="84" t="n">
        <v>4</v>
      </c>
      <c r="AB59" s="84" t="inlineStr">
        <is>
          <t>F</t>
        </is>
      </c>
      <c r="AC59" s="84" t="inlineStr">
        <is>
          <t>F+</t>
        </is>
      </c>
      <c r="AD59" s="84" t="n">
        <v>17</v>
      </c>
      <c r="AE59" s="84" t="n">
        <v>15</v>
      </c>
      <c r="AF59" s="84" t="n">
        <v>0.8</v>
      </c>
      <c r="AG59" s="84" t="n">
        <v>0.9</v>
      </c>
      <c r="AH59" s="84" t="n">
        <v>0</v>
      </c>
      <c r="AI59" s="84" t="n">
        <v>0</v>
      </c>
      <c r="AJ59" s="84">
        <f>SUMIFS(AH$8:AH$1039,$O$8:$O$1039,O59,$AB$8:$AB$1039,AB59,$R$8:$R$1039,R59,$AA$8:$AA$1039,"&lt;="&amp;AA59)</f>
        <v/>
      </c>
      <c r="AK59" s="84">
        <f>C13</f>
        <v/>
      </c>
      <c r="AL59" s="84">
        <f>C19</f>
        <v/>
      </c>
      <c r="AM59" s="84">
        <f>MAX(0,AJ59-AK59)</f>
        <v/>
      </c>
      <c r="AN59" s="84">
        <f>IF(AM59=0,AH59,IF(AM59&gt;=AH59,0,AH59-AM59))</f>
        <v/>
      </c>
      <c r="AO59" s="84">
        <f>IF(AM59&gt;=AH59,AI59,AI59*AM59/AH59)</f>
        <v/>
      </c>
      <c r="AP59">
        <f t="array" ref="AP59">INDEX($AU$8:$BB$25,6*(R59-1)+MATCH(AB59,$AS$8:$AS$13,0),MATCH(O59,$AU$7:$BB$7,0))</f>
        <v/>
      </c>
    </row>
    <row r="60" ht="14.55" customHeight="1">
      <c r="B60" s="31" t="inlineStr">
        <is>
          <t>E</t>
        </is>
      </c>
      <c r="C60" s="45" t="n">
        <v>40</v>
      </c>
      <c r="D60" s="45" t="n">
        <v>30</v>
      </c>
      <c r="E60" s="45" t="n">
        <v>16</v>
      </c>
      <c r="F60" s="84" t="inlineStr">
        <is>
          <t>Moveout cost</t>
        </is>
      </c>
      <c r="I60" s="64" t="n"/>
      <c r="O60" s="43" t="inlineStr">
        <is>
          <t>Q1’26</t>
        </is>
      </c>
      <c r="P60" s="43" t="n">
        <v>2</v>
      </c>
      <c r="Q60" s="43" t="n">
        <v>7</v>
      </c>
      <c r="R60" s="43" t="n">
        <v>2</v>
      </c>
      <c r="S60" s="45" t="n">
        <v>1570.559999999999</v>
      </c>
      <c r="T60">
        <f>(S59+S60+S61)=N3</f>
        <v/>
      </c>
      <c r="X60" s="84">
        <f>MAX(S57-S60,0)</f>
        <v/>
      </c>
      <c r="Y60" s="83" t="n">
        <v>0</v>
      </c>
      <c r="AA60" s="84" t="n">
        <v>4</v>
      </c>
      <c r="AB60" s="84" t="inlineStr">
        <is>
          <t>F</t>
        </is>
      </c>
      <c r="AC60" s="84" t="inlineStr">
        <is>
          <t>F+</t>
        </is>
      </c>
      <c r="AD60" s="84" t="n">
        <v>17</v>
      </c>
      <c r="AE60" s="84" t="n">
        <v>15</v>
      </c>
      <c r="AF60" s="84" t="n">
        <v>0.8</v>
      </c>
      <c r="AG60" s="84" t="n">
        <v>0.9</v>
      </c>
      <c r="AH60" s="84" t="n">
        <v>0</v>
      </c>
      <c r="AI60" s="84" t="n">
        <v>0</v>
      </c>
      <c r="AJ60" s="84">
        <f>SUMIFS(AH$8:AH$1039,$O$8:$O$1039,O60,$AB$8:$AB$1039,AB60,$R$8:$R$1039,R60,$AA$8:$AA$1039,"&lt;="&amp;AA60)</f>
        <v/>
      </c>
      <c r="AK60" s="84">
        <f>D13</f>
        <v/>
      </c>
      <c r="AL60" s="84">
        <f>D19</f>
        <v/>
      </c>
      <c r="AM60" s="84">
        <f>MAX(0,AJ60-AK60)</f>
        <v/>
      </c>
      <c r="AN60" s="84">
        <f>IF(AM60=0,AH60,IF(AM60&gt;=AH60,0,AH60-AM60))</f>
        <v/>
      </c>
      <c r="AO60" s="84">
        <f>IF(AM60&gt;=AH60,AI60,AI60*AM60/AH60)</f>
        <v/>
      </c>
      <c r="AP60">
        <f t="array" ref="AP60">INDEX($AU$8:$BB$25,6*(R60-1)+MATCH(AB60,$AS$8:$AS$13,0),MATCH(O60,$AU$7:$BB$7,0))</f>
        <v/>
      </c>
    </row>
    <row r="61" ht="14.55" customHeight="1">
      <c r="B61" s="31" t="inlineStr">
        <is>
          <t>F</t>
        </is>
      </c>
      <c r="C61" s="45" t="n">
        <v>90</v>
      </c>
      <c r="D61" s="45" t="n">
        <v>60</v>
      </c>
      <c r="E61" s="45" t="n">
        <v>36</v>
      </c>
      <c r="F61" s="83">
        <f t="array" ref="F61">SUM(
     _xlfn.BYROW(
           IF(C56:E67-C44:E55&lt;0, C56:E67-C44:E55, 0),
           _xleta.SUM)
     * -1000000
)</f>
        <v/>
      </c>
      <c r="I61" s="64" t="n"/>
      <c r="O61" s="43" t="inlineStr">
        <is>
          <t>Q1’26</t>
        </is>
      </c>
      <c r="P61" s="43" t="n">
        <v>2</v>
      </c>
      <c r="Q61" s="43" t="n">
        <v>7</v>
      </c>
      <c r="R61" s="43" t="n">
        <v>3</v>
      </c>
      <c r="S61" s="45" t="n">
        <v>-0</v>
      </c>
      <c r="T61">
        <f>(S59+S60+S61)=N3</f>
        <v/>
      </c>
      <c r="X61" s="84">
        <f>MAX(S58-S61,0)</f>
        <v/>
      </c>
      <c r="Y61" s="83" t="n">
        <v>0</v>
      </c>
      <c r="AA61" s="84" t="n">
        <v>4</v>
      </c>
      <c r="AB61" s="84" t="inlineStr">
        <is>
          <t>F</t>
        </is>
      </c>
      <c r="AC61" s="84" t="inlineStr">
        <is>
          <t>F+</t>
        </is>
      </c>
      <c r="AD61" s="84" t="n">
        <v>17</v>
      </c>
      <c r="AE61" s="84" t="n">
        <v>15</v>
      </c>
      <c r="AF61" s="84" t="n">
        <v>0.8</v>
      </c>
      <c r="AG61" s="84" t="n">
        <v>0.9</v>
      </c>
      <c r="AH61" s="84" t="n">
        <v>0</v>
      </c>
      <c r="AI61" s="84" t="n">
        <v>0</v>
      </c>
      <c r="AJ61" s="84">
        <f>SUMIFS(AH$8:AH$1039,$O$8:$O$1039,O61,$AB$8:$AB$1039,AB61,$R$8:$R$1039,R61,$AA$8:$AA$1039,"&lt;="&amp;AA61)</f>
        <v/>
      </c>
      <c r="AK61" s="84">
        <f>E13</f>
        <v/>
      </c>
      <c r="AL61" s="84">
        <f>E19</f>
        <v/>
      </c>
      <c r="AM61" s="84">
        <f>MAX(0,AJ61-AK61)</f>
        <v/>
      </c>
      <c r="AN61" s="84">
        <f>IF(AM61=0,AH61,IF(AM61&gt;=AH61,0,AH61-AM61))</f>
        <v/>
      </c>
      <c r="AO61" s="84">
        <f>IF(AM61&gt;=AH61,AI61,AI61*AM61/AH61)</f>
        <v/>
      </c>
      <c r="AP61">
        <f t="array" ref="AP61">INDEX($AU$8:$BB$25,6*(R61-1)+MATCH(AB61,$AS$8:$AS$13,0),MATCH(O61,$AU$7:$BB$7,0))</f>
        <v/>
      </c>
    </row>
    <row r="62" ht="14.55" customHeight="1">
      <c r="B62" s="31" t="inlineStr">
        <is>
          <t>A+</t>
        </is>
      </c>
      <c r="C62" s="45" t="n">
        <v>0</v>
      </c>
      <c r="D62" s="45" t="n">
        <v>0</v>
      </c>
      <c r="E62" s="45" t="n">
        <v>0</v>
      </c>
      <c r="I62" s="64" t="n"/>
      <c r="O62" s="43" t="inlineStr">
        <is>
          <t>Q1’26</t>
        </is>
      </c>
      <c r="P62" s="43" t="n">
        <v>2</v>
      </c>
      <c r="Q62" s="43" t="n">
        <v>8</v>
      </c>
      <c r="R62" s="43" t="n">
        <v>1</v>
      </c>
      <c r="S62" s="45" t="n">
        <v>3429.440000000001</v>
      </c>
      <c r="T62">
        <f>(S62+S63+S64)=N3</f>
        <v/>
      </c>
      <c r="X62" s="84">
        <f>MAX(S59-S62,0)</f>
        <v/>
      </c>
      <c r="Y62" s="83" t="n">
        <v>0</v>
      </c>
      <c r="AA62" s="84" t="n">
        <v>4</v>
      </c>
      <c r="AB62" s="84" t="inlineStr">
        <is>
          <t>B</t>
        </is>
      </c>
      <c r="AC62" s="84" t="inlineStr">
        <is>
          <t>B+</t>
        </is>
      </c>
      <c r="AD62" s="84" t="n">
        <v>22</v>
      </c>
      <c r="AE62" s="84" t="n">
        <v>16</v>
      </c>
      <c r="AF62" s="84" t="n">
        <v>0.76</v>
      </c>
      <c r="AG62" s="84" t="n">
        <v>0.8100000000000001</v>
      </c>
      <c r="AH62" s="84" t="n">
        <v>0</v>
      </c>
      <c r="AI62" s="84" t="n">
        <v>0</v>
      </c>
      <c r="AJ62" s="84">
        <f>SUMIFS(AH$8:AH$1039,$O$8:$O$1039,O62,$AB$8:$AB$1039,AB62,$R$8:$R$1039,R62,$AA$8:$AA$1039,"&lt;="&amp;AA62)</f>
        <v/>
      </c>
      <c r="AK62" s="84">
        <f>C9</f>
        <v/>
      </c>
      <c r="AL62" s="84">
        <f>C15</f>
        <v/>
      </c>
      <c r="AM62" s="84">
        <f>MAX(0,AJ62-AK62)</f>
        <v/>
      </c>
      <c r="AN62" s="84">
        <f>IF(AM62=0,AH62,IF(AM62&gt;=AH62,0,AH62-AM62))</f>
        <v/>
      </c>
      <c r="AO62" s="84">
        <f>IF(AM62&gt;=AH62,AI62,AI62*AM62/AH62)</f>
        <v/>
      </c>
      <c r="AP62">
        <f t="array" ref="AP62">INDEX($AU$8:$BB$25,6*(R62-1)+MATCH(AB62,$AS$8:$AS$13,0),MATCH(O62,$AU$7:$BB$7,0))</f>
        <v/>
      </c>
    </row>
    <row r="63" ht="14.55" customHeight="1">
      <c r="B63" s="31" t="inlineStr">
        <is>
          <t>B+</t>
        </is>
      </c>
      <c r="C63" s="45" t="n">
        <v>8</v>
      </c>
      <c r="D63" s="45" t="n">
        <v>0</v>
      </c>
      <c r="E63" s="45" t="n">
        <v>0</v>
      </c>
      <c r="I63" s="64" t="n"/>
      <c r="O63" s="43" t="inlineStr">
        <is>
          <t>Q1’26</t>
        </is>
      </c>
      <c r="P63" s="43" t="n">
        <v>2</v>
      </c>
      <c r="Q63" s="43" t="n">
        <v>8</v>
      </c>
      <c r="R63" s="43" t="n">
        <v>2</v>
      </c>
      <c r="S63" s="45" t="n">
        <v>1570.559999999999</v>
      </c>
      <c r="T63">
        <f>(S62+S63+S64)=N3</f>
        <v/>
      </c>
      <c r="X63" s="84">
        <f>MAX(S60-S63,0)</f>
        <v/>
      </c>
      <c r="Y63" s="83" t="n">
        <v>0</v>
      </c>
      <c r="AA63" s="84" t="n">
        <v>4</v>
      </c>
      <c r="AB63" s="84" t="inlineStr">
        <is>
          <t>B</t>
        </is>
      </c>
      <c r="AC63" s="84" t="inlineStr">
        <is>
          <t>B+</t>
        </is>
      </c>
      <c r="AD63" s="84" t="n">
        <v>22</v>
      </c>
      <c r="AE63" s="84" t="n">
        <v>16</v>
      </c>
      <c r="AF63" s="84" t="n">
        <v>0.76</v>
      </c>
      <c r="AG63" s="84" t="n">
        <v>0.8100000000000001</v>
      </c>
      <c r="AH63" s="84" t="n">
        <v>0</v>
      </c>
      <c r="AI63" s="84" t="n">
        <v>0</v>
      </c>
      <c r="AJ63" s="84">
        <f>SUMIFS(AH$8:AH$1039,$O$8:$O$1039,O63,$AB$8:$AB$1039,AB63,$R$8:$R$1039,R63,$AA$8:$AA$1039,"&lt;="&amp;AA63)</f>
        <v/>
      </c>
      <c r="AK63" s="84">
        <f>D9</f>
        <v/>
      </c>
      <c r="AL63" s="84">
        <f>D15</f>
        <v/>
      </c>
      <c r="AM63" s="84">
        <f>MAX(0,AJ63-AK63)</f>
        <v/>
      </c>
      <c r="AN63" s="84">
        <f>IF(AM63=0,AH63,IF(AM63&gt;=AH63,0,AH63-AM63))</f>
        <v/>
      </c>
      <c r="AO63" s="84">
        <f>IF(AM63&gt;=AH63,AI63,AI63*AM63/AH63)</f>
        <v/>
      </c>
      <c r="AP63">
        <f t="array" ref="AP63">INDEX($AU$8:$BB$25,6*(R63-1)+MATCH(AB63,$AS$8:$AS$13,0),MATCH(O63,$AU$7:$BB$7,0))</f>
        <v/>
      </c>
    </row>
    <row r="64" ht="14.55" customHeight="1">
      <c r="B64" s="31" t="inlineStr">
        <is>
          <t>C+</t>
        </is>
      </c>
      <c r="C64" s="45" t="n">
        <v>20</v>
      </c>
      <c r="D64" s="45" t="n">
        <v>36</v>
      </c>
      <c r="E64" s="45" t="n">
        <v>1</v>
      </c>
      <c r="I64" s="64" t="n"/>
      <c r="O64" s="43" t="inlineStr">
        <is>
          <t>Q1’26</t>
        </is>
      </c>
      <c r="P64" s="43" t="n">
        <v>2</v>
      </c>
      <c r="Q64" s="43" t="n">
        <v>8</v>
      </c>
      <c r="R64" s="43" t="n">
        <v>3</v>
      </c>
      <c r="S64" s="45" t="n">
        <v>0</v>
      </c>
      <c r="T64">
        <f>(S62+S63+S64)=N3</f>
        <v/>
      </c>
      <c r="X64" s="84">
        <f>MAX(S61-S64,0)</f>
        <v/>
      </c>
      <c r="Y64" s="83" t="n">
        <v>0</v>
      </c>
      <c r="AA64" s="84" t="n">
        <v>4</v>
      </c>
      <c r="AB64" s="84" t="inlineStr">
        <is>
          <t>B</t>
        </is>
      </c>
      <c r="AC64" s="84" t="inlineStr">
        <is>
          <t>B+</t>
        </is>
      </c>
      <c r="AD64" s="84" t="n">
        <v>22</v>
      </c>
      <c r="AE64" s="84" t="n">
        <v>16</v>
      </c>
      <c r="AF64" s="84" t="n">
        <v>0.76</v>
      </c>
      <c r="AG64" s="84" t="n">
        <v>0.8100000000000001</v>
      </c>
      <c r="AH64" s="84" t="n">
        <v>0</v>
      </c>
      <c r="AI64" s="84" t="n">
        <v>0</v>
      </c>
      <c r="AJ64" s="84">
        <f>SUMIFS(AH$8:AH$1039,$O$8:$O$1039,O64,$AB$8:$AB$1039,AB64,$R$8:$R$1039,R64,$AA$8:$AA$1039,"&lt;="&amp;AA64)</f>
        <v/>
      </c>
      <c r="AK64" s="84">
        <f>E9</f>
        <v/>
      </c>
      <c r="AL64" s="84">
        <f>E15</f>
        <v/>
      </c>
      <c r="AM64" s="84">
        <f>MAX(0,AJ64-AK64)</f>
        <v/>
      </c>
      <c r="AN64" s="84">
        <f>IF(AM64=0,AH64,IF(AM64&gt;=AH64,0,AH64-AM64))</f>
        <v/>
      </c>
      <c r="AO64" s="84">
        <f>IF(AM64&gt;=AH64,AI64,AI64*AM64/AH64)</f>
        <v/>
      </c>
      <c r="AP64">
        <f t="array" ref="AP64">INDEX($AU$8:$BB$25,6*(R64-1)+MATCH(AB64,$AS$8:$AS$13,0),MATCH(O64,$AU$7:$BB$7,0))</f>
        <v/>
      </c>
    </row>
    <row r="65" ht="14.55" customHeight="1">
      <c r="B65" s="31" t="inlineStr">
        <is>
          <t>D+</t>
        </is>
      </c>
      <c r="C65" s="45" t="n">
        <v>2</v>
      </c>
      <c r="D65" s="45" t="n">
        <v>0</v>
      </c>
      <c r="E65" s="45" t="n">
        <v>0</v>
      </c>
      <c r="I65" s="64" t="n"/>
      <c r="O65" s="43" t="inlineStr">
        <is>
          <t>Q1’26</t>
        </is>
      </c>
      <c r="P65" s="43" t="n">
        <v>2</v>
      </c>
      <c r="Q65" s="43" t="n">
        <v>9</v>
      </c>
      <c r="R65" s="43" t="n">
        <v>1</v>
      </c>
      <c r="S65" s="45" t="n">
        <v>3429.440000000001</v>
      </c>
      <c r="T65">
        <f>(S65+S66+S67)=N3</f>
        <v/>
      </c>
      <c r="X65" s="84">
        <f>MAX(S62-S65,0)</f>
        <v/>
      </c>
      <c r="Y65" s="83" t="n">
        <v>0</v>
      </c>
      <c r="AA65" s="84" t="n">
        <v>4</v>
      </c>
      <c r="AB65" s="84" t="inlineStr">
        <is>
          <t>E</t>
        </is>
      </c>
      <c r="AC65" s="84" t="inlineStr">
        <is>
          <t>E+</t>
        </is>
      </c>
      <c r="AD65" s="84" t="n">
        <v>7</v>
      </c>
      <c r="AE65" s="84" t="n">
        <v>6</v>
      </c>
      <c r="AF65" s="84" t="n">
        <v>0.76</v>
      </c>
      <c r="AG65" s="84" t="n">
        <v>0.84</v>
      </c>
      <c r="AH65" s="84" t="n">
        <v>0</v>
      </c>
      <c r="AI65" s="84" t="n">
        <v>0</v>
      </c>
      <c r="AJ65" s="84">
        <f>SUMIFS(AH$8:AH$1039,$O$8:$O$1039,O65,$AB$8:$AB$1039,AB65,$R$8:$R$1039,R65,$AA$8:$AA$1039,"&lt;="&amp;AA65)</f>
        <v/>
      </c>
      <c r="AK65" s="84">
        <f>C12</f>
        <v/>
      </c>
      <c r="AL65" s="84">
        <f>C18</f>
        <v/>
      </c>
      <c r="AM65" s="84">
        <f>MAX(0,AJ65-AK65)</f>
        <v/>
      </c>
      <c r="AN65" s="84">
        <f>IF(AM65=0,AH65,IF(AM65&gt;=AH65,0,AH65-AM65))</f>
        <v/>
      </c>
      <c r="AO65" s="84">
        <f>IF(AM65&gt;=AH65,AI65,AI65*AM65/AH65)</f>
        <v/>
      </c>
      <c r="AP65">
        <f t="array" ref="AP65">INDEX($AU$8:$BB$25,6*(R65-1)+MATCH(AB65,$AS$8:$AS$13,0),MATCH(O65,$AU$7:$BB$7,0))</f>
        <v/>
      </c>
    </row>
    <row r="66" ht="14.55" customHeight="1">
      <c r="B66" s="31" t="inlineStr">
        <is>
          <t>E+</t>
        </is>
      </c>
      <c r="C66" s="45" t="n">
        <v>14</v>
      </c>
      <c r="D66" s="45" t="n">
        <v>20</v>
      </c>
      <c r="E66" s="45" t="n">
        <v>12</v>
      </c>
      <c r="I66" s="64" t="n"/>
      <c r="O66" s="43" t="inlineStr">
        <is>
          <t>Q1’26</t>
        </is>
      </c>
      <c r="P66" s="43" t="n">
        <v>2</v>
      </c>
      <c r="Q66" s="43" t="n">
        <v>9</v>
      </c>
      <c r="R66" s="43" t="n">
        <v>2</v>
      </c>
      <c r="S66" s="45" t="n">
        <v>1570.559999999999</v>
      </c>
      <c r="T66">
        <f>(S65+S66+S67)=N3</f>
        <v/>
      </c>
      <c r="X66" s="84">
        <f>MAX(S63-S66,0)</f>
        <v/>
      </c>
      <c r="Y66" s="83" t="n">
        <v>0</v>
      </c>
      <c r="AA66" s="84" t="n">
        <v>4</v>
      </c>
      <c r="AB66" s="84" t="inlineStr">
        <is>
          <t>E</t>
        </is>
      </c>
      <c r="AC66" s="84" t="inlineStr">
        <is>
          <t>E+</t>
        </is>
      </c>
      <c r="AD66" s="84" t="n">
        <v>7</v>
      </c>
      <c r="AE66" s="84" t="n">
        <v>6</v>
      </c>
      <c r="AF66" s="84" t="n">
        <v>0.76</v>
      </c>
      <c r="AG66" s="84" t="n">
        <v>0.84</v>
      </c>
      <c r="AH66" s="84" t="n">
        <v>0</v>
      </c>
      <c r="AI66" s="84" t="n">
        <v>0</v>
      </c>
      <c r="AJ66" s="84">
        <f>SUMIFS(AH$8:AH$1039,$O$8:$O$1039,O66,$AB$8:$AB$1039,AB66,$R$8:$R$1039,R66,$AA$8:$AA$1039,"&lt;="&amp;AA66)</f>
        <v/>
      </c>
      <c r="AK66" s="84">
        <f>D12</f>
        <v/>
      </c>
      <c r="AL66" s="84">
        <f>D18</f>
        <v/>
      </c>
      <c r="AM66" s="84">
        <f>MAX(0,AJ66-AK66)</f>
        <v/>
      </c>
      <c r="AN66" s="84">
        <f>IF(AM66=0,AH66,IF(AM66&gt;=AH66,0,AH66-AM66))</f>
        <v/>
      </c>
      <c r="AO66" s="84">
        <f>IF(AM66&gt;=AH66,AI66,AI66*AM66/AH66)</f>
        <v/>
      </c>
      <c r="AP66">
        <f t="array" ref="AP66">INDEX($AU$8:$BB$25,6*(R66-1)+MATCH(AB66,$AS$8:$AS$13,0),MATCH(O66,$AU$7:$BB$7,0))</f>
        <v/>
      </c>
    </row>
    <row r="67" ht="14.55" customHeight="1">
      <c r="B67" s="31" t="inlineStr">
        <is>
          <t>F+</t>
        </is>
      </c>
      <c r="C67" s="45" t="n">
        <v>0</v>
      </c>
      <c r="D67" s="45" t="n">
        <v>0</v>
      </c>
      <c r="E67" s="45" t="n">
        <v>0</v>
      </c>
      <c r="F67" s="44" t="inlineStr">
        <is>
          <t>Fab 1 space</t>
        </is>
      </c>
      <c r="G67" s="44" t="inlineStr">
        <is>
          <t>Fab 2 space</t>
        </is>
      </c>
      <c r="H67" s="44" t="inlineStr">
        <is>
          <t>Fab 3 space</t>
        </is>
      </c>
      <c r="I67" s="64" t="n"/>
      <c r="O67" s="43" t="inlineStr">
        <is>
          <t>Q1’26</t>
        </is>
      </c>
      <c r="P67" s="43" t="n">
        <v>2</v>
      </c>
      <c r="Q67" s="43" t="n">
        <v>9</v>
      </c>
      <c r="R67" s="43" t="n">
        <v>3</v>
      </c>
      <c r="S67" s="45" t="n">
        <v>-0</v>
      </c>
      <c r="T67">
        <f>(S65+S66+S67)=N3</f>
        <v/>
      </c>
      <c r="X67" s="84">
        <f>MAX(S64-S67,0)</f>
        <v/>
      </c>
      <c r="Y67" s="83" t="n">
        <v>0</v>
      </c>
      <c r="AA67" s="84" t="n">
        <v>4</v>
      </c>
      <c r="AB67" s="84" t="inlineStr">
        <is>
          <t>E</t>
        </is>
      </c>
      <c r="AC67" s="84" t="inlineStr">
        <is>
          <t>E+</t>
        </is>
      </c>
      <c r="AD67" s="84" t="n">
        <v>7</v>
      </c>
      <c r="AE67" s="84" t="n">
        <v>6</v>
      </c>
      <c r="AF67" s="84" t="n">
        <v>0.76</v>
      </c>
      <c r="AG67" s="84" t="n">
        <v>0.84</v>
      </c>
      <c r="AH67" s="84" t="n">
        <v>0</v>
      </c>
      <c r="AI67" s="84" t="n">
        <v>0</v>
      </c>
      <c r="AJ67" s="84">
        <f>SUMIFS(AH$8:AH$1039,$O$8:$O$1039,O67,$AB$8:$AB$1039,AB67,$R$8:$R$1039,R67,$AA$8:$AA$1039,"&lt;="&amp;AA67)</f>
        <v/>
      </c>
      <c r="AK67" s="84">
        <f>E12</f>
        <v/>
      </c>
      <c r="AL67" s="84">
        <f>E18</f>
        <v/>
      </c>
      <c r="AM67" s="84">
        <f>MAX(0,AJ67-AK67)</f>
        <v/>
      </c>
      <c r="AN67" s="84">
        <f>IF(AM67=0,AH67,IF(AM67&gt;=AH67,0,AH67-AM67))</f>
        <v/>
      </c>
      <c r="AO67" s="84">
        <f>IF(AM67&gt;=AH67,AI67,AI67*AM67/AH67)</f>
        <v/>
      </c>
      <c r="AP67">
        <f t="array" ref="AP67">INDEX($AU$8:$BB$25,6*(R67-1)+MATCH(AB67,$AS$8:$AS$13,0),MATCH(O67,$AU$7:$BB$7,0))</f>
        <v/>
      </c>
    </row>
    <row r="68" ht="14.25" customHeight="1">
      <c r="A68" s="85" t="inlineStr">
        <is>
          <t>WS Component for Q2’27</t>
        </is>
      </c>
      <c r="B68" s="31" t="inlineStr">
        <is>
          <t>A</t>
        </is>
      </c>
      <c r="C68" s="45" t="n">
        <v>50</v>
      </c>
      <c r="D68" s="45" t="n">
        <v>35</v>
      </c>
      <c r="E68" s="45" t="n">
        <v>0</v>
      </c>
      <c r="F68">
        <f t="array" ref="F68">SUM(C68:C79*data!$B$3:$B$14)</f>
        <v/>
      </c>
      <c r="G68">
        <f t="array" ref="G68">SUM(D68:D79*data!$B$3:$B$14)</f>
        <v/>
      </c>
      <c r="H68">
        <f t="array" ref="H68">SUM(E68:E79*data!$B$3:$B$14)</f>
        <v/>
      </c>
      <c r="I68" s="64" t="inlineStr">
        <is>
          <t>&lt;- make sure its green</t>
        </is>
      </c>
      <c r="O68" s="43" t="inlineStr">
        <is>
          <t>Q1’26</t>
        </is>
      </c>
      <c r="P68" s="43" t="n">
        <v>2</v>
      </c>
      <c r="Q68" s="43" t="n">
        <v>10</v>
      </c>
      <c r="R68" s="43" t="n">
        <v>1</v>
      </c>
      <c r="S68" s="45" t="n">
        <v>3429.440000000001</v>
      </c>
      <c r="T68">
        <f>(S68+S69+S70)=N3</f>
        <v/>
      </c>
      <c r="X68" s="84">
        <f>MAX(S65-S68,0)</f>
        <v/>
      </c>
      <c r="Y68" s="83" t="n">
        <v>0</v>
      </c>
      <c r="AA68" s="84" t="n">
        <v>6</v>
      </c>
      <c r="AB68" s="84" t="inlineStr">
        <is>
          <t>E</t>
        </is>
      </c>
      <c r="AC68" s="84" t="inlineStr">
        <is>
          <t>E+</t>
        </is>
      </c>
      <c r="AD68" s="84" t="n">
        <v>9</v>
      </c>
      <c r="AE68" s="84" t="n">
        <v>7</v>
      </c>
      <c r="AF68" s="84" t="n">
        <v>0.76</v>
      </c>
      <c r="AG68" s="84" t="n">
        <v>0.84</v>
      </c>
      <c r="AH68" s="84" t="n">
        <v>0</v>
      </c>
      <c r="AI68" s="84" t="n">
        <v>0</v>
      </c>
      <c r="AJ68" s="84">
        <f>SUMIFS(AH$8:AH$1039,$O$8:$O$1039,O68,$AB$8:$AB$1039,AB68,$R$8:$R$1039,R68,$AA$8:$AA$1039,"&lt;="&amp;AA68)</f>
        <v/>
      </c>
      <c r="AK68" s="84">
        <f>C12</f>
        <v/>
      </c>
      <c r="AL68" s="84">
        <f>C18</f>
        <v/>
      </c>
      <c r="AM68" s="84">
        <f>MAX(0,AJ68-AK68)</f>
        <v/>
      </c>
      <c r="AN68" s="84">
        <f>IF(AM68=0,AH68,IF(AM68&gt;=AH68,0,AH68-AM68))</f>
        <v/>
      </c>
      <c r="AO68" s="84">
        <f>IF(AM68&gt;=AH68,AI68,AI68*AM68/AH68)</f>
        <v/>
      </c>
      <c r="AP68">
        <f t="array" ref="AP68">INDEX($AU$8:$BB$25,6*(R68-1)+MATCH(AB68,$AS$8:$AS$13,0),MATCH(O68,$AU$7:$BB$7,0))</f>
        <v/>
      </c>
    </row>
    <row r="69" ht="14.55" customHeight="1">
      <c r="B69" s="31" t="inlineStr">
        <is>
          <t>B</t>
        </is>
      </c>
      <c r="C69" s="45" t="n">
        <v>25</v>
      </c>
      <c r="D69" s="45" t="n">
        <v>30</v>
      </c>
      <c r="E69" s="45" t="n">
        <v>0</v>
      </c>
      <c r="I69" s="64" t="n"/>
      <c r="O69" s="43" t="inlineStr">
        <is>
          <t>Q1’26</t>
        </is>
      </c>
      <c r="P69" s="43" t="n">
        <v>2</v>
      </c>
      <c r="Q69" s="43" t="n">
        <v>10</v>
      </c>
      <c r="R69" s="43" t="n">
        <v>2</v>
      </c>
      <c r="S69" s="45" t="n">
        <v>1570.559999999999</v>
      </c>
      <c r="T69">
        <f>(S68+S69+S70)=N3</f>
        <v/>
      </c>
      <c r="X69" s="84">
        <f>MAX(S66-S69,0)</f>
        <v/>
      </c>
      <c r="Y69" s="83" t="n">
        <v>0</v>
      </c>
      <c r="AA69" s="84" t="n">
        <v>6</v>
      </c>
      <c r="AB69" s="84" t="inlineStr">
        <is>
          <t>E</t>
        </is>
      </c>
      <c r="AC69" s="84" t="inlineStr">
        <is>
          <t>E+</t>
        </is>
      </c>
      <c r="AD69" s="84" t="n">
        <v>9</v>
      </c>
      <c r="AE69" s="84" t="n">
        <v>7</v>
      </c>
      <c r="AF69" s="84" t="n">
        <v>0.76</v>
      </c>
      <c r="AG69" s="84" t="n">
        <v>0.84</v>
      </c>
      <c r="AH69" s="84" t="n">
        <v>0</v>
      </c>
      <c r="AI69" s="84" t="n">
        <v>0</v>
      </c>
      <c r="AJ69" s="84">
        <f>SUMIFS(AH$8:AH$1039,$O$8:$O$1039,O69,$AB$8:$AB$1039,AB69,$R$8:$R$1039,R69,$AA$8:$AA$1039,"&lt;="&amp;AA69)</f>
        <v/>
      </c>
      <c r="AK69" s="84">
        <f>D12</f>
        <v/>
      </c>
      <c r="AL69" s="84">
        <f>D18</f>
        <v/>
      </c>
      <c r="AM69" s="84">
        <f>MAX(0,AJ69-AK69)</f>
        <v/>
      </c>
      <c r="AN69" s="84">
        <f>IF(AM69=0,AH69,IF(AM69&gt;=AH69,0,AH69-AM69))</f>
        <v/>
      </c>
      <c r="AO69" s="84">
        <f>IF(AM69&gt;=AH69,AI69,AI69*AM69/AH69)</f>
        <v/>
      </c>
      <c r="AP69">
        <f t="array" ref="AP69">INDEX($AU$8:$BB$25,6*(R69-1)+MATCH(AB69,$AS$8:$AS$13,0),MATCH(O69,$AU$7:$BB$7,0))</f>
        <v/>
      </c>
    </row>
    <row r="70" ht="14.55" customHeight="1">
      <c r="B70" s="31" t="inlineStr">
        <is>
          <t>C</t>
        </is>
      </c>
      <c r="C70" s="45" t="n">
        <v>0</v>
      </c>
      <c r="D70" s="45" t="n">
        <v>0</v>
      </c>
      <c r="E70" s="45" t="n">
        <v>40</v>
      </c>
      <c r="F70" s="84" t="inlineStr">
        <is>
          <t>New tool purchase cost</t>
        </is>
      </c>
      <c r="I70" s="64" t="n"/>
      <c r="O70" s="43" t="inlineStr">
        <is>
          <t>Q1’26</t>
        </is>
      </c>
      <c r="P70" s="43" t="n">
        <v>2</v>
      </c>
      <c r="Q70" s="43" t="n">
        <v>10</v>
      </c>
      <c r="R70" s="43" t="n">
        <v>3</v>
      </c>
      <c r="S70" s="45" t="n">
        <v>-0</v>
      </c>
      <c r="T70">
        <f>(S68+S69+S70)=N3</f>
        <v/>
      </c>
      <c r="X70" s="84">
        <f>MAX(S67-S70,0)</f>
        <v/>
      </c>
      <c r="Y70" s="83" t="n">
        <v>0</v>
      </c>
      <c r="AA70" s="84" t="n">
        <v>6</v>
      </c>
      <c r="AB70" s="84" t="inlineStr">
        <is>
          <t>E</t>
        </is>
      </c>
      <c r="AC70" s="84" t="inlineStr">
        <is>
          <t>E+</t>
        </is>
      </c>
      <c r="AD70" s="84" t="n">
        <v>9</v>
      </c>
      <c r="AE70" s="84" t="n">
        <v>7</v>
      </c>
      <c r="AF70" s="84" t="n">
        <v>0.76</v>
      </c>
      <c r="AG70" s="84" t="n">
        <v>0.84</v>
      </c>
      <c r="AH70" s="84" t="n">
        <v>0</v>
      </c>
      <c r="AI70" s="84" t="n">
        <v>0</v>
      </c>
      <c r="AJ70" s="84">
        <f>SUMIFS(AH$8:AH$1039,$O$8:$O$1039,O70,$AB$8:$AB$1039,AB70,$R$8:$R$1039,R70,$AA$8:$AA$1039,"&lt;="&amp;AA70)</f>
        <v/>
      </c>
      <c r="AK70" s="84">
        <f>E12</f>
        <v/>
      </c>
      <c r="AL70" s="84">
        <f>E18</f>
        <v/>
      </c>
      <c r="AM70" s="84">
        <f>MAX(0,AJ70-AK70)</f>
        <v/>
      </c>
      <c r="AN70" s="84">
        <f>IF(AM70=0,AH70,IF(AM70&gt;=AH70,0,AH70-AM70))</f>
        <v/>
      </c>
      <c r="AO70" s="84">
        <f>IF(AM70&gt;=AH70,AI70,AI70*AM70/AH70)</f>
        <v/>
      </c>
      <c r="AP70">
        <f t="array" ref="AP70">INDEX($AU$8:$BB$25,6*(R70-1)+MATCH(AB70,$AS$8:$AS$13,0),MATCH(O70,$AU$7:$BB$7,0))</f>
        <v/>
      </c>
    </row>
    <row r="71" ht="14.55" customHeight="1">
      <c r="B71" s="31" t="inlineStr">
        <is>
          <t>D</t>
        </is>
      </c>
      <c r="C71" s="45" t="n">
        <v>50</v>
      </c>
      <c r="D71" s="45" t="n">
        <v>50</v>
      </c>
      <c r="E71" s="45" t="n">
        <v>35</v>
      </c>
      <c r="F71" s="83">
        <f t="array" ref="F71">SUM(
     _xlfn.BYROW(
           IF(C68:E79-C56:E67&gt;0, C68:E79-C56:E67, 0),
           _xleta.SUM)
     *data!$C$3:$C$14
)</f>
        <v/>
      </c>
      <c r="I71" s="64" t="n"/>
      <c r="O71" s="43" t="inlineStr">
        <is>
          <t>Q1’26</t>
        </is>
      </c>
      <c r="P71" s="43" t="n">
        <v>2</v>
      </c>
      <c r="Q71" s="43" t="n">
        <v>11</v>
      </c>
      <c r="R71" s="43" t="n">
        <v>1</v>
      </c>
      <c r="S71" s="45" t="n">
        <v>3429.440000000001</v>
      </c>
      <c r="T71">
        <f>(S71+S72+S73)=N3</f>
        <v/>
      </c>
      <c r="X71" s="84">
        <f>MAX(S68-S71,0)</f>
        <v/>
      </c>
      <c r="Y71" s="83" t="n">
        <v>0</v>
      </c>
      <c r="AA71" s="84" t="n">
        <v>2</v>
      </c>
      <c r="AB71" s="84" t="inlineStr">
        <is>
          <t>E</t>
        </is>
      </c>
      <c r="AC71" s="84" t="inlineStr">
        <is>
          <t>E+</t>
        </is>
      </c>
      <c r="AD71" s="84" t="n">
        <v>20</v>
      </c>
      <c r="AE71" s="84" t="n">
        <v>19</v>
      </c>
      <c r="AF71" s="84" t="n">
        <v>0.76</v>
      </c>
      <c r="AG71" s="84" t="n">
        <v>0.84</v>
      </c>
      <c r="AH71" s="84" t="n">
        <v>0</v>
      </c>
      <c r="AI71" s="84" t="n">
        <v>0</v>
      </c>
      <c r="AJ71" s="84">
        <f>SUMIFS(AH$8:AH$1039,$O$8:$O$1039,O71,$AB$8:$AB$1039,AB71,$R$8:$R$1039,R71,$AA$8:$AA$1039,"&lt;="&amp;AA71)</f>
        <v/>
      </c>
      <c r="AK71" s="84">
        <f>C12</f>
        <v/>
      </c>
      <c r="AL71" s="84">
        <f>C18</f>
        <v/>
      </c>
      <c r="AM71" s="84">
        <f>MAX(0,AJ71-AK71)</f>
        <v/>
      </c>
      <c r="AN71" s="84">
        <f>IF(AM71=0,AH71,IF(AM71&gt;=AH71,0,AH71-AM71))</f>
        <v/>
      </c>
      <c r="AO71" s="84">
        <f>IF(AM71&gt;=AH71,AI71,AI71*AM71/AH71)</f>
        <v/>
      </c>
      <c r="AP71">
        <f t="array" ref="AP71">INDEX($AU$8:$BB$25,6*(R71-1)+MATCH(AB71,$AS$8:$AS$13,0),MATCH(O71,$AU$7:$BB$7,0))</f>
        <v/>
      </c>
    </row>
    <row r="72" ht="14.55" customHeight="1">
      <c r="B72" s="31" t="inlineStr">
        <is>
          <t>E</t>
        </is>
      </c>
      <c r="C72" s="45" t="n">
        <v>40</v>
      </c>
      <c r="D72" s="45" t="n">
        <v>30</v>
      </c>
      <c r="E72" s="45" t="n">
        <v>16</v>
      </c>
      <c r="F72" s="84" t="inlineStr">
        <is>
          <t>Moveout cost</t>
        </is>
      </c>
      <c r="I72" s="64" t="n"/>
      <c r="O72" s="43" t="inlineStr">
        <is>
          <t>Q1’26</t>
        </is>
      </c>
      <c r="P72" s="43" t="n">
        <v>2</v>
      </c>
      <c r="Q72" s="43" t="n">
        <v>11</v>
      </c>
      <c r="R72" s="43" t="n">
        <v>2</v>
      </c>
      <c r="S72" s="45" t="n">
        <v>1570.559999999999</v>
      </c>
      <c r="T72">
        <f>(S71+S72+S73)=N3</f>
        <v/>
      </c>
      <c r="X72" s="84">
        <f>MAX(S69-S72,0)</f>
        <v/>
      </c>
      <c r="Y72" s="83" t="n">
        <v>0</v>
      </c>
      <c r="AA72" s="84" t="n">
        <v>2</v>
      </c>
      <c r="AB72" s="84" t="inlineStr">
        <is>
          <t>E</t>
        </is>
      </c>
      <c r="AC72" s="84" t="inlineStr">
        <is>
          <t>E+</t>
        </is>
      </c>
      <c r="AD72" s="84" t="n">
        <v>20</v>
      </c>
      <c r="AE72" s="84" t="n">
        <v>19</v>
      </c>
      <c r="AF72" s="84" t="n">
        <v>0.76</v>
      </c>
      <c r="AG72" s="84" t="n">
        <v>0.84</v>
      </c>
      <c r="AH72" s="84" t="n">
        <v>0</v>
      </c>
      <c r="AI72" s="84" t="n">
        <v>0</v>
      </c>
      <c r="AJ72" s="84">
        <f>SUMIFS(AH$8:AH$1039,$O$8:$O$1039,O72,$AB$8:$AB$1039,AB72,$R$8:$R$1039,R72,$AA$8:$AA$1039,"&lt;="&amp;AA72)</f>
        <v/>
      </c>
      <c r="AK72" s="84">
        <f>D12</f>
        <v/>
      </c>
      <c r="AL72" s="84">
        <f>D18</f>
        <v/>
      </c>
      <c r="AM72" s="84">
        <f>MAX(0,AJ72-AK72)</f>
        <v/>
      </c>
      <c r="AN72" s="84">
        <f>IF(AM72=0,AH72,IF(AM72&gt;=AH72,0,AH72-AM72))</f>
        <v/>
      </c>
      <c r="AO72" s="84">
        <f>IF(AM72&gt;=AH72,AI72,AI72*AM72/AH72)</f>
        <v/>
      </c>
      <c r="AP72">
        <f t="array" ref="AP72">INDEX($AU$8:$BB$25,6*(R72-1)+MATCH(AB72,$AS$8:$AS$13,0),MATCH(O72,$AU$7:$BB$7,0))</f>
        <v/>
      </c>
    </row>
    <row r="73" ht="14.55" customHeight="1">
      <c r="B73" s="31" t="inlineStr">
        <is>
          <t>F</t>
        </is>
      </c>
      <c r="C73" s="45" t="n">
        <v>90</v>
      </c>
      <c r="D73" s="45" t="n">
        <v>60</v>
      </c>
      <c r="E73" s="45" t="n">
        <v>36</v>
      </c>
      <c r="F73" s="83">
        <f t="array" ref="F73">SUM(
     _xlfn.BYROW(
           IF(C68:E79-C56:E67&lt;0, C68:E79-C56:E67, 0),
           _xleta.SUM)
     * -1000000
)</f>
        <v/>
      </c>
      <c r="I73" s="64" t="n"/>
      <c r="O73" s="43" t="inlineStr">
        <is>
          <t>Q1’26</t>
        </is>
      </c>
      <c r="P73" s="43" t="n">
        <v>2</v>
      </c>
      <c r="Q73" s="43" t="n">
        <v>11</v>
      </c>
      <c r="R73" s="43" t="n">
        <v>3</v>
      </c>
      <c r="S73" s="45" t="n">
        <v>-0</v>
      </c>
      <c r="T73">
        <f>(S71+S72+S73)=N3</f>
        <v/>
      </c>
      <c r="X73" s="84">
        <f>MAX(S70-S73,0)</f>
        <v/>
      </c>
      <c r="Y73" s="83" t="n">
        <v>0</v>
      </c>
      <c r="AA73" s="84" t="n">
        <v>2</v>
      </c>
      <c r="AB73" s="84" t="inlineStr">
        <is>
          <t>E</t>
        </is>
      </c>
      <c r="AC73" s="84" t="inlineStr">
        <is>
          <t>E+</t>
        </is>
      </c>
      <c r="AD73" s="84" t="n">
        <v>20</v>
      </c>
      <c r="AE73" s="84" t="n">
        <v>19</v>
      </c>
      <c r="AF73" s="84" t="n">
        <v>0.76</v>
      </c>
      <c r="AG73" s="84" t="n">
        <v>0.84</v>
      </c>
      <c r="AH73" s="84" t="n">
        <v>0</v>
      </c>
      <c r="AI73" s="84" t="n">
        <v>0</v>
      </c>
      <c r="AJ73" s="84">
        <f>SUMIFS(AH$8:AH$1039,$O$8:$O$1039,O73,$AB$8:$AB$1039,AB73,$R$8:$R$1039,R73,$AA$8:$AA$1039,"&lt;="&amp;AA73)</f>
        <v/>
      </c>
      <c r="AK73" s="84">
        <f>E12</f>
        <v/>
      </c>
      <c r="AL73" s="84">
        <f>E18</f>
        <v/>
      </c>
      <c r="AM73" s="84">
        <f>MAX(0,AJ73-AK73)</f>
        <v/>
      </c>
      <c r="AN73" s="84">
        <f>IF(AM73=0,AH73,IF(AM73&gt;=AH73,0,AH73-AM73))</f>
        <v/>
      </c>
      <c r="AO73" s="84">
        <f>IF(AM73&gt;=AH73,AI73,AI73*AM73/AH73)</f>
        <v/>
      </c>
      <c r="AP73">
        <f t="array" ref="AP73">INDEX($AU$8:$BB$25,6*(R73-1)+MATCH(AB73,$AS$8:$AS$13,0),MATCH(O73,$AU$7:$BB$7,0))</f>
        <v/>
      </c>
    </row>
    <row r="74" ht="14.55" customHeight="1">
      <c r="B74" s="31" t="inlineStr">
        <is>
          <t>A+</t>
        </is>
      </c>
      <c r="C74" s="45" t="n">
        <v>0</v>
      </c>
      <c r="D74" s="45" t="n">
        <v>0</v>
      </c>
      <c r="E74" s="45" t="n">
        <v>0</v>
      </c>
      <c r="I74" s="64" t="n"/>
      <c r="O74" s="43" t="inlineStr">
        <is>
          <t>Q1’26</t>
        </is>
      </c>
      <c r="P74" s="43" t="n">
        <v>2</v>
      </c>
      <c r="Q74" s="43" t="n">
        <v>12</v>
      </c>
      <c r="R74" s="43" t="n">
        <v>1</v>
      </c>
      <c r="S74" s="45" t="n">
        <v>3429.440000000001</v>
      </c>
      <c r="T74">
        <f>(S74+S75+S76)=N3</f>
        <v/>
      </c>
      <c r="X74" s="84">
        <f>MAX(S71-S74,0)</f>
        <v/>
      </c>
      <c r="Y74" s="83" t="n">
        <v>0</v>
      </c>
      <c r="AA74" s="84" t="n">
        <v>7</v>
      </c>
      <c r="AB74" s="84" t="inlineStr">
        <is>
          <t>F</t>
        </is>
      </c>
      <c r="AC74" s="84" t="inlineStr">
        <is>
          <t>F+</t>
        </is>
      </c>
      <c r="AD74" s="84" t="n">
        <v>21</v>
      </c>
      <c r="AE74" s="84" t="n">
        <v>18</v>
      </c>
      <c r="AF74" s="84" t="n">
        <v>0.8</v>
      </c>
      <c r="AG74" s="84" t="n">
        <v>0.9</v>
      </c>
      <c r="AH74" s="84" t="n">
        <v>0</v>
      </c>
      <c r="AI74" s="84" t="n">
        <v>0</v>
      </c>
      <c r="AJ74" s="84">
        <f>SUMIFS(AH$8:AH$1039,$O$8:$O$1039,O74,$AB$8:$AB$1039,AB74,$R$8:$R$1039,R74,$AA$8:$AA$1039,"&lt;="&amp;AA74)</f>
        <v/>
      </c>
      <c r="AK74" s="84">
        <f>C13</f>
        <v/>
      </c>
      <c r="AL74" s="84">
        <f>C19</f>
        <v/>
      </c>
      <c r="AM74" s="84">
        <f>MAX(0,AJ74-AK74)</f>
        <v/>
      </c>
      <c r="AN74" s="84">
        <f>IF(AM74=0,AH74,IF(AM74&gt;=AH74,0,AH74-AM74))</f>
        <v/>
      </c>
      <c r="AO74" s="84">
        <f>IF(AM74&gt;=AH74,AI74,AI74*AM74/AH74)</f>
        <v/>
      </c>
      <c r="AP74">
        <f t="array" ref="AP74">INDEX($AU$8:$BB$25,6*(R74-1)+MATCH(AB74,$AS$8:$AS$13,0),MATCH(O74,$AU$7:$BB$7,0))</f>
        <v/>
      </c>
    </row>
    <row r="75" ht="14.55" customHeight="1">
      <c r="B75" s="31" t="inlineStr">
        <is>
          <t>B+</t>
        </is>
      </c>
      <c r="C75" s="45" t="n">
        <v>8</v>
      </c>
      <c r="D75" s="45" t="n">
        <v>0</v>
      </c>
      <c r="E75" s="45" t="n">
        <v>0</v>
      </c>
      <c r="I75" s="64" t="n"/>
      <c r="O75" s="43" t="inlineStr">
        <is>
          <t>Q1’26</t>
        </is>
      </c>
      <c r="P75" s="43" t="n">
        <v>2</v>
      </c>
      <c r="Q75" s="43" t="n">
        <v>12</v>
      </c>
      <c r="R75" s="43" t="n">
        <v>2</v>
      </c>
      <c r="S75" s="45" t="n">
        <v>1570.559999999999</v>
      </c>
      <c r="T75">
        <f>(S74+S75+S76)=N3</f>
        <v/>
      </c>
      <c r="X75" s="84">
        <f>MAX(S72-S75,0)</f>
        <v/>
      </c>
      <c r="Y75" s="83" t="n">
        <v>0</v>
      </c>
      <c r="AA75" s="84" t="n">
        <v>7</v>
      </c>
      <c r="AB75" s="84" t="inlineStr">
        <is>
          <t>F</t>
        </is>
      </c>
      <c r="AC75" s="84" t="inlineStr">
        <is>
          <t>F+</t>
        </is>
      </c>
      <c r="AD75" s="84" t="n">
        <v>21</v>
      </c>
      <c r="AE75" s="84" t="n">
        <v>18</v>
      </c>
      <c r="AF75" s="84" t="n">
        <v>0.8</v>
      </c>
      <c r="AG75" s="84" t="n">
        <v>0.9</v>
      </c>
      <c r="AH75" s="84" t="n">
        <v>0</v>
      </c>
      <c r="AI75" s="84" t="n">
        <v>0</v>
      </c>
      <c r="AJ75" s="84">
        <f>SUMIFS(AH$8:AH$1039,$O$8:$O$1039,O75,$AB$8:$AB$1039,AB75,$R$8:$R$1039,R75,$AA$8:$AA$1039,"&lt;="&amp;AA75)</f>
        <v/>
      </c>
      <c r="AK75" s="84">
        <f>D13</f>
        <v/>
      </c>
      <c r="AL75" s="84">
        <f>D19</f>
        <v/>
      </c>
      <c r="AM75" s="84">
        <f>MAX(0,AJ75-AK75)</f>
        <v/>
      </c>
      <c r="AN75" s="84">
        <f>IF(AM75=0,AH75,IF(AM75&gt;=AH75,0,AH75-AM75))</f>
        <v/>
      </c>
      <c r="AO75" s="84">
        <f>IF(AM75&gt;=AH75,AI75,AI75*AM75/AH75)</f>
        <v/>
      </c>
      <c r="AP75">
        <f t="array" ref="AP75">INDEX($AU$8:$BB$25,6*(R75-1)+MATCH(AB75,$AS$8:$AS$13,0),MATCH(O75,$AU$7:$BB$7,0))</f>
        <v/>
      </c>
    </row>
    <row r="76" ht="14.55" customHeight="1">
      <c r="B76" s="31" t="inlineStr">
        <is>
          <t>C+</t>
        </is>
      </c>
      <c r="C76" s="45" t="n">
        <v>20</v>
      </c>
      <c r="D76" s="45" t="n">
        <v>36</v>
      </c>
      <c r="E76" s="45" t="n">
        <v>1</v>
      </c>
      <c r="I76" s="64" t="n"/>
      <c r="O76" s="43" t="inlineStr">
        <is>
          <t>Q1’26</t>
        </is>
      </c>
      <c r="P76" s="43" t="n">
        <v>2</v>
      </c>
      <c r="Q76" s="43" t="n">
        <v>12</v>
      </c>
      <c r="R76" s="43" t="n">
        <v>3</v>
      </c>
      <c r="S76" s="45" t="n">
        <v>0</v>
      </c>
      <c r="T76">
        <f>(S74+S75+S76)=N3</f>
        <v/>
      </c>
      <c r="X76" s="84">
        <f>MAX(S73-S76,0)</f>
        <v/>
      </c>
      <c r="Y76" s="83" t="n">
        <v>0</v>
      </c>
      <c r="AA76" s="84" t="n">
        <v>7</v>
      </c>
      <c r="AB76" s="84" t="inlineStr">
        <is>
          <t>F</t>
        </is>
      </c>
      <c r="AC76" s="84" t="inlineStr">
        <is>
          <t>F+</t>
        </is>
      </c>
      <c r="AD76" s="84" t="n">
        <v>21</v>
      </c>
      <c r="AE76" s="84" t="n">
        <v>18</v>
      </c>
      <c r="AF76" s="84" t="n">
        <v>0.8</v>
      </c>
      <c r="AG76" s="84" t="n">
        <v>0.9</v>
      </c>
      <c r="AH76" s="84" t="n">
        <v>0</v>
      </c>
      <c r="AI76" s="84" t="n">
        <v>0</v>
      </c>
      <c r="AJ76" s="84">
        <f>SUMIFS(AH$8:AH$1039,$O$8:$O$1039,O76,$AB$8:$AB$1039,AB76,$R$8:$R$1039,R76,$AA$8:$AA$1039,"&lt;="&amp;AA76)</f>
        <v/>
      </c>
      <c r="AK76" s="84">
        <f>E13</f>
        <v/>
      </c>
      <c r="AL76" s="84">
        <f>E19</f>
        <v/>
      </c>
      <c r="AM76" s="84">
        <f>MAX(0,AJ76-AK76)</f>
        <v/>
      </c>
      <c r="AN76" s="84">
        <f>IF(AM76=0,AH76,IF(AM76&gt;=AH76,0,AH76-AM76))</f>
        <v/>
      </c>
      <c r="AO76" s="84">
        <f>IF(AM76&gt;=AH76,AI76,AI76*AM76/AH76)</f>
        <v/>
      </c>
      <c r="AP76">
        <f t="array" ref="AP76">INDEX($AU$8:$BB$25,6*(R76-1)+MATCH(AB76,$AS$8:$AS$13,0),MATCH(O76,$AU$7:$BB$7,0))</f>
        <v/>
      </c>
    </row>
    <row r="77" ht="14.55" customHeight="1">
      <c r="B77" s="31" t="inlineStr">
        <is>
          <t>D+</t>
        </is>
      </c>
      <c r="C77" s="45" t="n">
        <v>2</v>
      </c>
      <c r="D77" s="45" t="n">
        <v>0</v>
      </c>
      <c r="E77" s="45" t="n">
        <v>0</v>
      </c>
      <c r="I77" s="64" t="n"/>
      <c r="O77" s="43" t="inlineStr">
        <is>
          <t>Q1’26</t>
        </is>
      </c>
      <c r="P77" s="43" t="n">
        <v>2</v>
      </c>
      <c r="Q77" s="43" t="n">
        <v>13</v>
      </c>
      <c r="R77" s="43" t="n">
        <v>1</v>
      </c>
      <c r="S77" s="45" t="n">
        <v>3429.440000000001</v>
      </c>
      <c r="T77">
        <f>(S77+S78+S79)=N3</f>
        <v/>
      </c>
      <c r="X77" s="84">
        <f>MAX(S74-S77,0)</f>
        <v/>
      </c>
      <c r="Y77" s="83" t="n">
        <v>0</v>
      </c>
      <c r="AA77" s="84" t="n">
        <v>8</v>
      </c>
      <c r="AB77" s="84" t="inlineStr">
        <is>
          <t>E</t>
        </is>
      </c>
      <c r="AC77" s="84" t="inlineStr">
        <is>
          <t>E+</t>
        </is>
      </c>
      <c r="AD77" s="84" t="n">
        <v>12</v>
      </c>
      <c r="AE77" s="84" t="n">
        <v>9</v>
      </c>
      <c r="AF77" s="84" t="n">
        <v>0.76</v>
      </c>
      <c r="AG77" s="84" t="n">
        <v>0.84</v>
      </c>
      <c r="AH77" s="84" t="n">
        <v>0</v>
      </c>
      <c r="AI77" s="84" t="n">
        <v>0</v>
      </c>
      <c r="AJ77" s="84">
        <f>SUMIFS(AH$8:AH$1039,$O$8:$O$1039,O77,$AB$8:$AB$1039,AB77,$R$8:$R$1039,R77,$AA$8:$AA$1039,"&lt;="&amp;AA77)</f>
        <v/>
      </c>
      <c r="AK77" s="84">
        <f>C12</f>
        <v/>
      </c>
      <c r="AL77" s="84">
        <f>C18</f>
        <v/>
      </c>
      <c r="AM77" s="84">
        <f>MAX(0,AJ77-AK77)</f>
        <v/>
      </c>
      <c r="AN77" s="84">
        <f>IF(AM77=0,AH77,IF(AM77&gt;=AH77,0,AH77-AM77))</f>
        <v/>
      </c>
      <c r="AO77" s="84">
        <f>IF(AM77&gt;=AH77,AI77,AI77*AM77/AH77)</f>
        <v/>
      </c>
      <c r="AP77">
        <f t="array" ref="AP77">INDEX($AU$8:$BB$25,6*(R77-1)+MATCH(AB77,$AS$8:$AS$13,0),MATCH(O77,$AU$7:$BB$7,0))</f>
        <v/>
      </c>
    </row>
    <row r="78" ht="14.55" customHeight="1">
      <c r="B78" s="31" t="inlineStr">
        <is>
          <t>E+</t>
        </is>
      </c>
      <c r="C78" s="45" t="n">
        <v>14</v>
      </c>
      <c r="D78" s="45" t="n">
        <v>20</v>
      </c>
      <c r="E78" s="45" t="n">
        <v>12</v>
      </c>
      <c r="I78" s="64" t="n"/>
      <c r="O78" s="43" t="inlineStr">
        <is>
          <t>Q1’26</t>
        </is>
      </c>
      <c r="P78" s="43" t="n">
        <v>2</v>
      </c>
      <c r="Q78" s="43" t="n">
        <v>13</v>
      </c>
      <c r="R78" s="43" t="n">
        <v>2</v>
      </c>
      <c r="S78" s="45" t="n">
        <v>1570.559999999999</v>
      </c>
      <c r="T78">
        <f>(S77+S78+S79)=N3</f>
        <v/>
      </c>
      <c r="X78" s="84">
        <f>MAX(S75-S78,0)</f>
        <v/>
      </c>
      <c r="Y78" s="83" t="n">
        <v>0</v>
      </c>
      <c r="AA78" s="84" t="n">
        <v>8</v>
      </c>
      <c r="AB78" s="84" t="inlineStr">
        <is>
          <t>E</t>
        </is>
      </c>
      <c r="AC78" s="84" t="inlineStr">
        <is>
          <t>E+</t>
        </is>
      </c>
      <c r="AD78" s="84" t="n">
        <v>12</v>
      </c>
      <c r="AE78" s="84" t="n">
        <v>9</v>
      </c>
      <c r="AF78" s="84" t="n">
        <v>0.76</v>
      </c>
      <c r="AG78" s="84" t="n">
        <v>0.84</v>
      </c>
      <c r="AH78" s="84" t="n">
        <v>0</v>
      </c>
      <c r="AI78" s="84" t="n">
        <v>0</v>
      </c>
      <c r="AJ78" s="84">
        <f>SUMIFS(AH$8:AH$1039,$O$8:$O$1039,O78,$AB$8:$AB$1039,AB78,$R$8:$R$1039,R78,$AA$8:$AA$1039,"&lt;="&amp;AA78)</f>
        <v/>
      </c>
      <c r="AK78" s="84">
        <f>D12</f>
        <v/>
      </c>
      <c r="AL78" s="84">
        <f>D18</f>
        <v/>
      </c>
      <c r="AM78" s="84">
        <f>MAX(0,AJ78-AK78)</f>
        <v/>
      </c>
      <c r="AN78" s="84">
        <f>IF(AM78=0,AH78,IF(AM78&gt;=AH78,0,AH78-AM78))</f>
        <v/>
      </c>
      <c r="AO78" s="84">
        <f>IF(AM78&gt;=AH78,AI78,AI78*AM78/AH78)</f>
        <v/>
      </c>
      <c r="AP78">
        <f t="array" ref="AP78">INDEX($AU$8:$BB$25,6*(R78-1)+MATCH(AB78,$AS$8:$AS$13,0),MATCH(O78,$AU$7:$BB$7,0))</f>
        <v/>
      </c>
    </row>
    <row r="79" ht="14.55" customHeight="1">
      <c r="B79" s="31" t="inlineStr">
        <is>
          <t>F+</t>
        </is>
      </c>
      <c r="C79" s="45" t="n">
        <v>0</v>
      </c>
      <c r="D79" s="45" t="n">
        <v>0</v>
      </c>
      <c r="E79" s="45" t="n">
        <v>0</v>
      </c>
      <c r="F79" s="44" t="inlineStr">
        <is>
          <t>Fab 1 space</t>
        </is>
      </c>
      <c r="G79" s="44" t="inlineStr">
        <is>
          <t>Fab 2 space</t>
        </is>
      </c>
      <c r="H79" s="44" t="inlineStr">
        <is>
          <t>Fab 3 space</t>
        </is>
      </c>
      <c r="I79" s="64" t="n"/>
      <c r="O79" s="43" t="inlineStr">
        <is>
          <t>Q1’26</t>
        </is>
      </c>
      <c r="P79" s="43" t="n">
        <v>2</v>
      </c>
      <c r="Q79" s="43" t="n">
        <v>13</v>
      </c>
      <c r="R79" s="43" t="n">
        <v>3</v>
      </c>
      <c r="S79" s="45" t="n">
        <v>-0</v>
      </c>
      <c r="T79">
        <f>(S77+S78+S79)=N3</f>
        <v/>
      </c>
      <c r="X79" s="84">
        <f>MAX(S76-S79,0)</f>
        <v/>
      </c>
      <c r="Y79" s="83" t="n">
        <v>0</v>
      </c>
      <c r="AA79" s="84" t="n">
        <v>8</v>
      </c>
      <c r="AB79" s="84" t="inlineStr">
        <is>
          <t>E</t>
        </is>
      </c>
      <c r="AC79" s="84" t="inlineStr">
        <is>
          <t>E+</t>
        </is>
      </c>
      <c r="AD79" s="84" t="n">
        <v>12</v>
      </c>
      <c r="AE79" s="84" t="n">
        <v>9</v>
      </c>
      <c r="AF79" s="84" t="n">
        <v>0.76</v>
      </c>
      <c r="AG79" s="84" t="n">
        <v>0.84</v>
      </c>
      <c r="AH79" s="84" t="n">
        <v>0</v>
      </c>
      <c r="AI79" s="84" t="n">
        <v>0</v>
      </c>
      <c r="AJ79" s="84">
        <f>SUMIFS(AH$8:AH$1039,$O$8:$O$1039,O79,$AB$8:$AB$1039,AB79,$R$8:$R$1039,R79,$AA$8:$AA$1039,"&lt;="&amp;AA79)</f>
        <v/>
      </c>
      <c r="AK79" s="84">
        <f>E12</f>
        <v/>
      </c>
      <c r="AL79" s="84">
        <f>E18</f>
        <v/>
      </c>
      <c r="AM79" s="84">
        <f>MAX(0,AJ79-AK79)</f>
        <v/>
      </c>
      <c r="AN79" s="84">
        <f>IF(AM79=0,AH79,IF(AM79&gt;=AH79,0,AH79-AM79))</f>
        <v/>
      </c>
      <c r="AO79" s="84">
        <f>IF(AM79&gt;=AH79,AI79,AI79*AM79/AH79)</f>
        <v/>
      </c>
      <c r="AP79">
        <f t="array" ref="AP79">INDEX($AU$8:$BB$25,6*(R79-1)+MATCH(AB79,$AS$8:$AS$13,0),MATCH(O79,$AU$7:$BB$7,0))</f>
        <v/>
      </c>
    </row>
    <row r="80" ht="14.25" customHeight="1">
      <c r="A80" s="85" t="inlineStr">
        <is>
          <t>WS Component for Q3’27</t>
        </is>
      </c>
      <c r="B80" s="31" t="inlineStr">
        <is>
          <t>A</t>
        </is>
      </c>
      <c r="C80" s="45" t="n">
        <v>50</v>
      </c>
      <c r="D80" s="45" t="n">
        <v>35</v>
      </c>
      <c r="E80" s="45" t="n">
        <v>0</v>
      </c>
      <c r="F80">
        <f t="array" ref="F80">SUM(C80:C91*data!$B$3:$B$14)</f>
        <v/>
      </c>
      <c r="G80">
        <f t="array" ref="G80">SUM(D80:D91*data!$B$3:$B$14)</f>
        <v/>
      </c>
      <c r="H80">
        <f t="array" ref="H80">SUM(E80:E91*data!$B$3:$B$14)</f>
        <v/>
      </c>
      <c r="I80" s="64" t="inlineStr">
        <is>
          <t>&lt;- make sure its green</t>
        </is>
      </c>
      <c r="O80" s="43" t="inlineStr">
        <is>
          <t>Q1’26</t>
        </is>
      </c>
      <c r="P80" s="43" t="n">
        <v>2</v>
      </c>
      <c r="Q80" s="43" t="n">
        <v>14</v>
      </c>
      <c r="R80" s="43" t="n">
        <v>1</v>
      </c>
      <c r="S80" s="45" t="n">
        <v>3429.440000000001</v>
      </c>
      <c r="T80">
        <f>(S80+S81+S82)=N3</f>
        <v/>
      </c>
      <c r="X80" s="84">
        <f>MAX(S77-S80,0)</f>
        <v/>
      </c>
      <c r="Y80" s="83" t="n">
        <v>0</v>
      </c>
      <c r="AA80" s="84" t="n">
        <v>5</v>
      </c>
      <c r="AB80" s="84" t="inlineStr">
        <is>
          <t>E</t>
        </is>
      </c>
      <c r="AC80" s="84" t="inlineStr">
        <is>
          <t>E+</t>
        </is>
      </c>
      <c r="AD80" s="84" t="n">
        <v>15</v>
      </c>
      <c r="AE80" s="84" t="n">
        <v>12</v>
      </c>
      <c r="AF80" s="84" t="n">
        <v>0.76</v>
      </c>
      <c r="AG80" s="84" t="n">
        <v>0.84</v>
      </c>
      <c r="AH80" s="84" t="n">
        <v>0</v>
      </c>
      <c r="AI80" s="84" t="n">
        <v>0</v>
      </c>
      <c r="AJ80" s="84">
        <f>SUMIFS(AH$8:AH$1039,$O$8:$O$1039,O80,$AB$8:$AB$1039,AB80,$R$8:$R$1039,R80,$AA$8:$AA$1039,"&lt;="&amp;AA80)</f>
        <v/>
      </c>
      <c r="AK80" s="84">
        <f>C12</f>
        <v/>
      </c>
      <c r="AL80" s="84">
        <f>C18</f>
        <v/>
      </c>
      <c r="AM80" s="84">
        <f>MAX(0,AJ80-AK80)</f>
        <v/>
      </c>
      <c r="AN80" s="84">
        <f>IF(AM80=0,AH80,IF(AM80&gt;=AH80,0,AH80-AM80))</f>
        <v/>
      </c>
      <c r="AO80" s="84">
        <f>IF(AM80&gt;=AH80,AI80,AI80*AM80/AH80)</f>
        <v/>
      </c>
      <c r="AP80">
        <f t="array" ref="AP80">INDEX($AU$8:$BB$25,6*(R80-1)+MATCH(AB80,$AS$8:$AS$13,0),MATCH(O80,$AU$7:$BB$7,0))</f>
        <v/>
      </c>
    </row>
    <row r="81" ht="14.55" customHeight="1">
      <c r="B81" s="31" t="inlineStr">
        <is>
          <t>B</t>
        </is>
      </c>
      <c r="C81" s="45" t="n">
        <v>25</v>
      </c>
      <c r="D81" s="45" t="n">
        <v>30</v>
      </c>
      <c r="E81" s="45" t="n">
        <v>0</v>
      </c>
      <c r="I81" s="64" t="n"/>
      <c r="O81" s="43" t="inlineStr">
        <is>
          <t>Q1’26</t>
        </is>
      </c>
      <c r="P81" s="43" t="n">
        <v>2</v>
      </c>
      <c r="Q81" s="43" t="n">
        <v>14</v>
      </c>
      <c r="R81" s="43" t="n">
        <v>2</v>
      </c>
      <c r="S81" s="45" t="n">
        <v>1570.559999999999</v>
      </c>
      <c r="T81">
        <f>(S80+S81+S82)=N3</f>
        <v/>
      </c>
      <c r="X81" s="84">
        <f>MAX(S78-S81,0)</f>
        <v/>
      </c>
      <c r="Y81" s="83" t="n">
        <v>0</v>
      </c>
      <c r="AA81" s="84" t="n">
        <v>5</v>
      </c>
      <c r="AB81" s="84" t="inlineStr">
        <is>
          <t>E</t>
        </is>
      </c>
      <c r="AC81" s="84" t="inlineStr">
        <is>
          <t>E+</t>
        </is>
      </c>
      <c r="AD81" s="84" t="n">
        <v>15</v>
      </c>
      <c r="AE81" s="84" t="n">
        <v>12</v>
      </c>
      <c r="AF81" s="84" t="n">
        <v>0.76</v>
      </c>
      <c r="AG81" s="84" t="n">
        <v>0.84</v>
      </c>
      <c r="AH81" s="84" t="n">
        <v>0</v>
      </c>
      <c r="AI81" s="84" t="n">
        <v>0</v>
      </c>
      <c r="AJ81" s="84">
        <f>SUMIFS(AH$8:AH$1039,$O$8:$O$1039,O81,$AB$8:$AB$1039,AB81,$R$8:$R$1039,R81,$AA$8:$AA$1039,"&lt;="&amp;AA81)</f>
        <v/>
      </c>
      <c r="AK81" s="84">
        <f>D12</f>
        <v/>
      </c>
      <c r="AL81" s="84">
        <f>D18</f>
        <v/>
      </c>
      <c r="AM81" s="84">
        <f>MAX(0,AJ81-AK81)</f>
        <v/>
      </c>
      <c r="AN81" s="84">
        <f>IF(AM81=0,AH81,IF(AM81&gt;=AH81,0,AH81-AM81))</f>
        <v/>
      </c>
      <c r="AO81" s="84">
        <f>IF(AM81&gt;=AH81,AI81,AI81*AM81/AH81)</f>
        <v/>
      </c>
      <c r="AP81">
        <f t="array" ref="AP81">INDEX($AU$8:$BB$25,6*(R81-1)+MATCH(AB81,$AS$8:$AS$13,0),MATCH(O81,$AU$7:$BB$7,0))</f>
        <v/>
      </c>
    </row>
    <row r="82" ht="14.55" customHeight="1">
      <c r="B82" s="31" t="inlineStr">
        <is>
          <t>C</t>
        </is>
      </c>
      <c r="C82" s="45" t="n">
        <v>0</v>
      </c>
      <c r="D82" s="45" t="n">
        <v>0</v>
      </c>
      <c r="E82" s="45" t="n">
        <v>40</v>
      </c>
      <c r="F82" s="84" t="inlineStr">
        <is>
          <t>New tool purchase cost</t>
        </is>
      </c>
      <c r="I82" s="64" t="n"/>
      <c r="O82" s="43" t="inlineStr">
        <is>
          <t>Q1’26</t>
        </is>
      </c>
      <c r="P82" s="43" t="n">
        <v>2</v>
      </c>
      <c r="Q82" s="43" t="n">
        <v>14</v>
      </c>
      <c r="R82" s="43" t="n">
        <v>3</v>
      </c>
      <c r="S82" s="45" t="n">
        <v>-0</v>
      </c>
      <c r="T82">
        <f>(S80+S81+S82)=N3</f>
        <v/>
      </c>
      <c r="X82" s="84">
        <f>MAX(S79-S82,0)</f>
        <v/>
      </c>
      <c r="Y82" s="83" t="n">
        <v>0</v>
      </c>
      <c r="AA82" s="84" t="n">
        <v>5</v>
      </c>
      <c r="AB82" s="84" t="inlineStr">
        <is>
          <t>E</t>
        </is>
      </c>
      <c r="AC82" s="84" t="inlineStr">
        <is>
          <t>E+</t>
        </is>
      </c>
      <c r="AD82" s="84" t="n">
        <v>15</v>
      </c>
      <c r="AE82" s="84" t="n">
        <v>12</v>
      </c>
      <c r="AF82" s="84" t="n">
        <v>0.76</v>
      </c>
      <c r="AG82" s="84" t="n">
        <v>0.84</v>
      </c>
      <c r="AH82" s="84" t="n">
        <v>0</v>
      </c>
      <c r="AI82" s="84" t="n">
        <v>0</v>
      </c>
      <c r="AJ82" s="84">
        <f>SUMIFS(AH$8:AH$1039,$O$8:$O$1039,O82,$AB$8:$AB$1039,AB82,$R$8:$R$1039,R82,$AA$8:$AA$1039,"&lt;="&amp;AA82)</f>
        <v/>
      </c>
      <c r="AK82" s="84">
        <f>E12</f>
        <v/>
      </c>
      <c r="AL82" s="84">
        <f>E18</f>
        <v/>
      </c>
      <c r="AM82" s="84">
        <f>MAX(0,AJ82-AK82)</f>
        <v/>
      </c>
      <c r="AN82" s="84">
        <f>IF(AM82=0,AH82,IF(AM82&gt;=AH82,0,AH82-AM82))</f>
        <v/>
      </c>
      <c r="AO82" s="84">
        <f>IF(AM82&gt;=AH82,AI82,AI82*AM82/AH82)</f>
        <v/>
      </c>
      <c r="AP82">
        <f t="array" ref="AP82">INDEX($AU$8:$BB$25,6*(R82-1)+MATCH(AB82,$AS$8:$AS$13,0),MATCH(O82,$AU$7:$BB$7,0))</f>
        <v/>
      </c>
    </row>
    <row r="83" ht="14.55" customHeight="1">
      <c r="B83" s="31" t="inlineStr">
        <is>
          <t>D</t>
        </is>
      </c>
      <c r="C83" s="45" t="n">
        <v>50</v>
      </c>
      <c r="D83" s="45" t="n">
        <v>50</v>
      </c>
      <c r="E83" s="45" t="n">
        <v>35</v>
      </c>
      <c r="F83" s="83">
        <f t="array" ref="F83">SUM(
     _xlfn.BYROW(
           IF(C80:E91-C68:E79&gt;0, C80:E91-C68:E79, 0),
           _xleta.SUM)
     *data!$C$3:$C$14
)</f>
        <v/>
      </c>
      <c r="I83" s="64" t="n"/>
      <c r="O83" s="43" t="inlineStr">
        <is>
          <t>Q1’26</t>
        </is>
      </c>
      <c r="P83" s="43" t="n">
        <v>2</v>
      </c>
      <c r="Q83" s="43" t="n">
        <v>15</v>
      </c>
      <c r="R83" s="43" t="n">
        <v>1</v>
      </c>
      <c r="S83" s="45" t="n">
        <v>3429.440000000001</v>
      </c>
      <c r="T83">
        <f>(S83+S84+S85)=N3</f>
        <v/>
      </c>
      <c r="X83" s="84">
        <f>MAX(S80-S83,0)</f>
        <v/>
      </c>
      <c r="Y83" s="83" t="n">
        <v>0</v>
      </c>
      <c r="AA83" s="84" t="n">
        <v>7</v>
      </c>
      <c r="AB83" s="84" t="inlineStr">
        <is>
          <t>E</t>
        </is>
      </c>
      <c r="AC83" s="84" t="inlineStr">
        <is>
          <t>E+</t>
        </is>
      </c>
      <c r="AD83" s="84" t="n">
        <v>13</v>
      </c>
      <c r="AE83" s="84" t="n">
        <v>10</v>
      </c>
      <c r="AF83" s="84" t="n">
        <v>0.76</v>
      </c>
      <c r="AG83" s="84" t="n">
        <v>0.84</v>
      </c>
      <c r="AH83" s="84" t="n">
        <v>0</v>
      </c>
      <c r="AI83" s="84" t="n">
        <v>0</v>
      </c>
      <c r="AJ83" s="84">
        <f>SUMIFS(AH$8:AH$1039,$O$8:$O$1039,O83,$AB$8:$AB$1039,AB83,$R$8:$R$1039,R83,$AA$8:$AA$1039,"&lt;="&amp;AA83)</f>
        <v/>
      </c>
      <c r="AK83" s="84">
        <f>C12</f>
        <v/>
      </c>
      <c r="AL83" s="84">
        <f>C18</f>
        <v/>
      </c>
      <c r="AM83" s="84">
        <f>MAX(0,AJ83-AK83)</f>
        <v/>
      </c>
      <c r="AN83" s="84">
        <f>IF(AM83=0,AH83,IF(AM83&gt;=AH83,0,AH83-AM83))</f>
        <v/>
      </c>
      <c r="AO83" s="84">
        <f>IF(AM83&gt;=AH83,AI83,AI83*AM83/AH83)</f>
        <v/>
      </c>
      <c r="AP83">
        <f t="array" ref="AP83">INDEX($AU$8:$BB$25,6*(R83-1)+MATCH(AB83,$AS$8:$AS$13,0),MATCH(O83,$AU$7:$BB$7,0))</f>
        <v/>
      </c>
    </row>
    <row r="84" ht="14.55" customHeight="1">
      <c r="B84" s="31" t="inlineStr">
        <is>
          <t>E</t>
        </is>
      </c>
      <c r="C84" s="45" t="n">
        <v>40</v>
      </c>
      <c r="D84" s="45" t="n">
        <v>30</v>
      </c>
      <c r="E84" s="45" t="n">
        <v>16</v>
      </c>
      <c r="F84" s="84" t="inlineStr">
        <is>
          <t>Moveout cost</t>
        </is>
      </c>
      <c r="I84" s="64" t="n"/>
      <c r="O84" s="43" t="inlineStr">
        <is>
          <t>Q1’26</t>
        </is>
      </c>
      <c r="P84" s="43" t="n">
        <v>2</v>
      </c>
      <c r="Q84" s="43" t="n">
        <v>15</v>
      </c>
      <c r="R84" s="43" t="n">
        <v>2</v>
      </c>
      <c r="S84" s="45" t="n">
        <v>1570.559999999999</v>
      </c>
      <c r="T84">
        <f>(S83+S84+S85)=N3</f>
        <v/>
      </c>
      <c r="X84" s="84">
        <f>MAX(S81-S84,0)</f>
        <v/>
      </c>
      <c r="Y84" s="83" t="n">
        <v>0</v>
      </c>
      <c r="AA84" s="84" t="n">
        <v>7</v>
      </c>
      <c r="AB84" s="84" t="inlineStr">
        <is>
          <t>E</t>
        </is>
      </c>
      <c r="AC84" s="84" t="inlineStr">
        <is>
          <t>E+</t>
        </is>
      </c>
      <c r="AD84" s="84" t="n">
        <v>13</v>
      </c>
      <c r="AE84" s="84" t="n">
        <v>10</v>
      </c>
      <c r="AF84" s="84" t="n">
        <v>0.76</v>
      </c>
      <c r="AG84" s="84" t="n">
        <v>0.84</v>
      </c>
      <c r="AH84" s="84" t="n">
        <v>0</v>
      </c>
      <c r="AI84" s="84" t="n">
        <v>0</v>
      </c>
      <c r="AJ84" s="84">
        <f>SUMIFS(AH$8:AH$1039,$O$8:$O$1039,O84,$AB$8:$AB$1039,AB84,$R$8:$R$1039,R84,$AA$8:$AA$1039,"&lt;="&amp;AA84)</f>
        <v/>
      </c>
      <c r="AK84" s="84">
        <f>D12</f>
        <v/>
      </c>
      <c r="AL84" s="84">
        <f>D18</f>
        <v/>
      </c>
      <c r="AM84" s="84">
        <f>MAX(0,AJ84-AK84)</f>
        <v/>
      </c>
      <c r="AN84" s="84">
        <f>IF(AM84=0,AH84,IF(AM84&gt;=AH84,0,AH84-AM84))</f>
        <v/>
      </c>
      <c r="AO84" s="84">
        <f>IF(AM84&gt;=AH84,AI84,AI84*AM84/AH84)</f>
        <v/>
      </c>
      <c r="AP84">
        <f t="array" ref="AP84">INDEX($AU$8:$BB$25,6*(R84-1)+MATCH(AB84,$AS$8:$AS$13,0),MATCH(O84,$AU$7:$BB$7,0))</f>
        <v/>
      </c>
    </row>
    <row r="85" ht="14.55" customHeight="1">
      <c r="B85" s="31" t="inlineStr">
        <is>
          <t>F</t>
        </is>
      </c>
      <c r="C85" s="45" t="n">
        <v>90</v>
      </c>
      <c r="D85" s="45" t="n">
        <v>60</v>
      </c>
      <c r="E85" s="45" t="n">
        <v>36</v>
      </c>
      <c r="F85" s="83">
        <f t="array" ref="F85">SUM(
     _xlfn.BYROW(
           IF(C80:E91-C68:E79&lt;0, C80:E91-C68:E79, 0),
           _xleta.SUM)
     * -1000000
)</f>
        <v/>
      </c>
      <c r="I85" s="64" t="n"/>
      <c r="O85" s="43" t="inlineStr">
        <is>
          <t>Q1’26</t>
        </is>
      </c>
      <c r="P85" s="43" t="n">
        <v>2</v>
      </c>
      <c r="Q85" s="43" t="n">
        <v>15</v>
      </c>
      <c r="R85" s="43" t="n">
        <v>3</v>
      </c>
      <c r="S85" s="45" t="n">
        <v>-0</v>
      </c>
      <c r="T85">
        <f>(S83+S84+S85)=N3</f>
        <v/>
      </c>
      <c r="X85" s="84">
        <f>MAX(S82-S85,0)</f>
        <v/>
      </c>
      <c r="Y85" s="83" t="n">
        <v>0</v>
      </c>
      <c r="AA85" s="84" t="n">
        <v>7</v>
      </c>
      <c r="AB85" s="84" t="inlineStr">
        <is>
          <t>E</t>
        </is>
      </c>
      <c r="AC85" s="84" t="inlineStr">
        <is>
          <t>E+</t>
        </is>
      </c>
      <c r="AD85" s="84" t="n">
        <v>13</v>
      </c>
      <c r="AE85" s="84" t="n">
        <v>10</v>
      </c>
      <c r="AF85" s="84" t="n">
        <v>0.76</v>
      </c>
      <c r="AG85" s="84" t="n">
        <v>0.84</v>
      </c>
      <c r="AH85" s="84" t="n">
        <v>0</v>
      </c>
      <c r="AI85" s="84" t="n">
        <v>0</v>
      </c>
      <c r="AJ85" s="84">
        <f>SUMIFS(AH$8:AH$1039,$O$8:$O$1039,O85,$AB$8:$AB$1039,AB85,$R$8:$R$1039,R85,$AA$8:$AA$1039,"&lt;="&amp;AA85)</f>
        <v/>
      </c>
      <c r="AK85" s="84">
        <f>E12</f>
        <v/>
      </c>
      <c r="AL85" s="84">
        <f>E18</f>
        <v/>
      </c>
      <c r="AM85" s="84">
        <f>MAX(0,AJ85-AK85)</f>
        <v/>
      </c>
      <c r="AN85" s="84">
        <f>IF(AM85=0,AH85,IF(AM85&gt;=AH85,0,AH85-AM85))</f>
        <v/>
      </c>
      <c r="AO85" s="84">
        <f>IF(AM85&gt;=AH85,AI85,AI85*AM85/AH85)</f>
        <v/>
      </c>
      <c r="AP85">
        <f t="array" ref="AP85">INDEX($AU$8:$BB$25,6*(R85-1)+MATCH(AB85,$AS$8:$AS$13,0),MATCH(O85,$AU$7:$BB$7,0))</f>
        <v/>
      </c>
    </row>
    <row r="86" ht="14.55" customHeight="1">
      <c r="B86" s="31" t="inlineStr">
        <is>
          <t>A+</t>
        </is>
      </c>
      <c r="C86" s="45" t="n">
        <v>0</v>
      </c>
      <c r="D86" s="45" t="n">
        <v>0</v>
      </c>
      <c r="E86" s="45" t="n">
        <v>0</v>
      </c>
      <c r="I86" s="64" t="n"/>
      <c r="O86" s="43" t="inlineStr">
        <is>
          <t>Q1’26</t>
        </is>
      </c>
      <c r="P86" s="43" t="n">
        <v>3</v>
      </c>
      <c r="Q86" s="43" t="n">
        <v>1</v>
      </c>
      <c r="R86" s="43" t="n">
        <v>1</v>
      </c>
      <c r="S86" s="45" t="n">
        <v>0</v>
      </c>
      <c r="T86">
        <f>(S86+S87+S88)=N4</f>
        <v/>
      </c>
      <c r="X86" s="84" t="n">
        <v>0</v>
      </c>
      <c r="Y86" s="83" t="n">
        <v>0</v>
      </c>
      <c r="AA86" s="84" t="n">
        <v>1</v>
      </c>
      <c r="AB86" s="84" t="inlineStr">
        <is>
          <t>C</t>
        </is>
      </c>
      <c r="AC86" s="84" t="inlineStr">
        <is>
          <t>C+</t>
        </is>
      </c>
      <c r="AD86" s="84" t="n">
        <v>21</v>
      </c>
      <c r="AE86" s="84" t="n">
        <v>20</v>
      </c>
      <c r="AF86" s="84" t="n">
        <v>0.8</v>
      </c>
      <c r="AG86" s="84" t="n">
        <v>0.86</v>
      </c>
      <c r="AH86" s="84" t="n">
        <v>0</v>
      </c>
      <c r="AI86" s="84" t="n">
        <v>0</v>
      </c>
      <c r="AJ86" s="84">
        <f>SUMIFS(AH$8:AH$1039,$O$8:$O$1039,O86,$AB$8:$AB$1039,AB86,$R$8:$R$1039,R86,$AA$8:$AA$1039,"&lt;="&amp;AA86)</f>
        <v/>
      </c>
      <c r="AK86" s="84">
        <f>C10</f>
        <v/>
      </c>
      <c r="AL86" s="84">
        <f>C16</f>
        <v/>
      </c>
      <c r="AM86" s="84">
        <f>MAX(0,AJ86-AK86)</f>
        <v/>
      </c>
      <c r="AN86" s="84">
        <f>IF(AM86=0,AH86,IF(AM86&gt;=AH86,0,AH86-AM86))</f>
        <v/>
      </c>
      <c r="AO86" s="84">
        <f>IF(AM86&gt;=AH86,AI86,AI86*AM86/AH86)</f>
        <v/>
      </c>
      <c r="AP86">
        <f t="array" ref="AP86">INDEX($AU$8:$BB$25,6*(R86-1)+MATCH(AB86,$AS$8:$AS$13,0),MATCH(O86,$AU$7:$BB$7,0))</f>
        <v/>
      </c>
    </row>
    <row r="87" ht="14.55" customHeight="1">
      <c r="B87" s="31" t="inlineStr">
        <is>
          <t>B+</t>
        </is>
      </c>
      <c r="C87" s="45" t="n">
        <v>8</v>
      </c>
      <c r="D87" s="45" t="n">
        <v>0</v>
      </c>
      <c r="E87" s="45" t="n">
        <v>0</v>
      </c>
      <c r="I87" s="64" t="n"/>
      <c r="O87" s="43" t="inlineStr">
        <is>
          <t>Q1’26</t>
        </is>
      </c>
      <c r="P87" s="43" t="n">
        <v>3</v>
      </c>
      <c r="Q87" s="43" t="n">
        <v>1</v>
      </c>
      <c r="R87" s="43" t="n">
        <v>2</v>
      </c>
      <c r="S87" s="45" t="n">
        <v>0</v>
      </c>
      <c r="T87">
        <f>(S86+S87+S88)=N4</f>
        <v/>
      </c>
      <c r="X87" s="84" t="n">
        <v>0</v>
      </c>
      <c r="Y87" s="83" t="n">
        <v>0</v>
      </c>
      <c r="AA87" s="84" t="n">
        <v>1</v>
      </c>
      <c r="AB87" s="84" t="inlineStr">
        <is>
          <t>C</t>
        </is>
      </c>
      <c r="AC87" s="84" t="inlineStr">
        <is>
          <t>C+</t>
        </is>
      </c>
      <c r="AD87" s="84" t="n">
        <v>21</v>
      </c>
      <c r="AE87" s="84" t="n">
        <v>20</v>
      </c>
      <c r="AF87" s="84" t="n">
        <v>0.8</v>
      </c>
      <c r="AG87" s="84" t="n">
        <v>0.86</v>
      </c>
      <c r="AH87" s="84" t="n">
        <v>0</v>
      </c>
      <c r="AI87" s="84" t="n">
        <v>0</v>
      </c>
      <c r="AJ87" s="84">
        <f>SUMIFS(AH$8:AH$1039,$O$8:$O$1039,O87,$AB$8:$AB$1039,AB87,$R$8:$R$1039,R87,$AA$8:$AA$1039,"&lt;="&amp;AA87)</f>
        <v/>
      </c>
      <c r="AK87" s="84">
        <f>D10</f>
        <v/>
      </c>
      <c r="AL87" s="84">
        <f>D16</f>
        <v/>
      </c>
      <c r="AM87" s="84">
        <f>MAX(0,AJ87-AK87)</f>
        <v/>
      </c>
      <c r="AN87" s="84">
        <f>IF(AM87=0,AH87,IF(AM87&gt;=AH87,0,AH87-AM87))</f>
        <v/>
      </c>
      <c r="AO87" s="84">
        <f>IF(AM87&gt;=AH87,AI87,AI87*AM87/AH87)</f>
        <v/>
      </c>
      <c r="AP87">
        <f t="array" ref="AP87">INDEX($AU$8:$BB$25,6*(R87-1)+MATCH(AB87,$AS$8:$AS$13,0),MATCH(O87,$AU$7:$BB$7,0))</f>
        <v/>
      </c>
    </row>
    <row r="88" ht="14.55" customHeight="1">
      <c r="B88" s="31" t="inlineStr">
        <is>
          <t>C+</t>
        </is>
      </c>
      <c r="C88" s="45" t="n">
        <v>20</v>
      </c>
      <c r="D88" s="45" t="n">
        <v>36</v>
      </c>
      <c r="E88" s="45" t="n">
        <v>1</v>
      </c>
      <c r="I88" s="64" t="n"/>
      <c r="O88" s="43" t="inlineStr">
        <is>
          <t>Q1’26</t>
        </is>
      </c>
      <c r="P88" s="43" t="n">
        <v>3</v>
      </c>
      <c r="Q88" s="43" t="n">
        <v>1</v>
      </c>
      <c r="R88" s="43" t="n">
        <v>3</v>
      </c>
      <c r="S88" s="45" t="n">
        <v>3000</v>
      </c>
      <c r="T88">
        <f>(S86+S87+S88)=N4</f>
        <v/>
      </c>
      <c r="X88" s="84" t="n">
        <v>0</v>
      </c>
      <c r="Y88" s="83" t="n">
        <v>0</v>
      </c>
      <c r="AA88" s="84" t="n">
        <v>1</v>
      </c>
      <c r="AB88" s="84" t="inlineStr">
        <is>
          <t>C</t>
        </is>
      </c>
      <c r="AC88" s="84" t="inlineStr">
        <is>
          <t>C+</t>
        </is>
      </c>
      <c r="AD88" s="84" t="n">
        <v>21</v>
      </c>
      <c r="AE88" s="84" t="n">
        <v>20</v>
      </c>
      <c r="AF88" s="84" t="n">
        <v>0.8</v>
      </c>
      <c r="AG88" s="84" t="n">
        <v>0.86</v>
      </c>
      <c r="AH88" s="84" t="n">
        <v>0</v>
      </c>
      <c r="AI88" s="84" t="n">
        <v>0</v>
      </c>
      <c r="AJ88" s="84">
        <f>SUMIFS(AH$8:AH$1039,$O$8:$O$1039,O88,$AB$8:$AB$1039,AB88,$R$8:$R$1039,R88,$AA$8:$AA$1039,"&lt;="&amp;AA88)</f>
        <v/>
      </c>
      <c r="AK88" s="84">
        <f>E10</f>
        <v/>
      </c>
      <c r="AL88" s="84">
        <f>E16</f>
        <v/>
      </c>
      <c r="AM88" s="84">
        <f>MAX(0,AJ88-AK88)</f>
        <v/>
      </c>
      <c r="AN88" s="84">
        <f>IF(AM88=0,AH88,IF(AM88&gt;=AH88,0,AH88-AM88))</f>
        <v/>
      </c>
      <c r="AO88" s="84">
        <f>IF(AM88&gt;=AH88,AI88,AI88*AM88/AH88)</f>
        <v/>
      </c>
      <c r="AP88">
        <f t="array" ref="AP88">INDEX($AU$8:$BB$25,6*(R88-1)+MATCH(AB88,$AS$8:$AS$13,0),MATCH(O88,$AU$7:$BB$7,0))</f>
        <v/>
      </c>
    </row>
    <row r="89" ht="14.55" customHeight="1">
      <c r="B89" s="31" t="inlineStr">
        <is>
          <t>D+</t>
        </is>
      </c>
      <c r="C89" s="45" t="n">
        <v>2</v>
      </c>
      <c r="D89" s="45" t="n">
        <v>0</v>
      </c>
      <c r="E89" s="45" t="n">
        <v>0</v>
      </c>
      <c r="I89" s="64" t="n"/>
      <c r="O89" s="43" t="inlineStr">
        <is>
          <t>Q1’26</t>
        </is>
      </c>
      <c r="P89" s="43" t="n">
        <v>3</v>
      </c>
      <c r="Q89" s="43" t="n">
        <v>2</v>
      </c>
      <c r="R89" s="43" t="n">
        <v>1</v>
      </c>
      <c r="S89" s="45" t="n">
        <v>0</v>
      </c>
      <c r="T89">
        <f>(S89+S90+S91)=N4</f>
        <v/>
      </c>
      <c r="X89" s="84">
        <f>MAX(S86-S89,0)</f>
        <v/>
      </c>
      <c r="Y89" s="83" t="n">
        <v>0</v>
      </c>
      <c r="AA89" s="84" t="n">
        <v>8</v>
      </c>
      <c r="AB89" s="84" t="inlineStr">
        <is>
          <t>D</t>
        </is>
      </c>
      <c r="AC89" s="84" t="inlineStr">
        <is>
          <t>D+</t>
        </is>
      </c>
      <c r="AD89" s="84" t="n">
        <v>9</v>
      </c>
      <c r="AE89" s="84" t="n">
        <v>7</v>
      </c>
      <c r="AF89" s="84" t="n">
        <v>0.8</v>
      </c>
      <c r="AG89" s="84" t="n">
        <v>0.88</v>
      </c>
      <c r="AH89" s="84" t="n">
        <v>0</v>
      </c>
      <c r="AI89" s="84" t="n">
        <v>0</v>
      </c>
      <c r="AJ89" s="84">
        <f>SUMIFS(AH$8:AH$1039,$O$8:$O$1039,O89,$AB$8:$AB$1039,AB89,$R$8:$R$1039,R89,$AA$8:$AA$1039,"&lt;="&amp;AA89)</f>
        <v/>
      </c>
      <c r="AK89" s="84">
        <f>C11</f>
        <v/>
      </c>
      <c r="AL89" s="84">
        <f>C17</f>
        <v/>
      </c>
      <c r="AM89" s="84">
        <f>MAX(0,AJ89-AK89)</f>
        <v/>
      </c>
      <c r="AN89" s="84">
        <f>IF(AM89=0,AH89,IF(AM89&gt;=AH89,0,AH89-AM89))</f>
        <v/>
      </c>
      <c r="AO89" s="84">
        <f>IF(AM89&gt;=AH89,AI89,AI89*AM89/AH89)</f>
        <v/>
      </c>
      <c r="AP89">
        <f t="array" ref="AP89">INDEX($AU$8:$BB$25,6*(R89-1)+MATCH(AB89,$AS$8:$AS$13,0),MATCH(O89,$AU$7:$BB$7,0))</f>
        <v/>
      </c>
    </row>
    <row r="90" ht="14.55" customHeight="1">
      <c r="B90" s="31" t="inlineStr">
        <is>
          <t>E+</t>
        </is>
      </c>
      <c r="C90" s="45" t="n">
        <v>14</v>
      </c>
      <c r="D90" s="45" t="n">
        <v>20</v>
      </c>
      <c r="E90" s="45" t="n">
        <v>12</v>
      </c>
      <c r="I90" s="64" t="n"/>
      <c r="O90" s="43" t="inlineStr">
        <is>
          <t>Q1’26</t>
        </is>
      </c>
      <c r="P90" s="43" t="n">
        <v>3</v>
      </c>
      <c r="Q90" s="43" t="n">
        <v>2</v>
      </c>
      <c r="R90" s="43" t="n">
        <v>2</v>
      </c>
      <c r="S90" s="45" t="n">
        <v>-0</v>
      </c>
      <c r="T90">
        <f>(S89+S90+S91)=N4</f>
        <v/>
      </c>
      <c r="X90" s="84">
        <f>MAX(S87-S90,0)</f>
        <v/>
      </c>
      <c r="Y90" s="83" t="n">
        <v>0</v>
      </c>
      <c r="AA90" s="84" t="n">
        <v>8</v>
      </c>
      <c r="AB90" s="84" t="inlineStr">
        <is>
          <t>D</t>
        </is>
      </c>
      <c r="AC90" s="84" t="inlineStr">
        <is>
          <t>D+</t>
        </is>
      </c>
      <c r="AD90" s="84" t="n">
        <v>9</v>
      </c>
      <c r="AE90" s="84" t="n">
        <v>7</v>
      </c>
      <c r="AF90" s="84" t="n">
        <v>0.8</v>
      </c>
      <c r="AG90" s="84" t="n">
        <v>0.88</v>
      </c>
      <c r="AH90" s="84" t="n">
        <v>0</v>
      </c>
      <c r="AI90" s="84" t="n">
        <v>0</v>
      </c>
      <c r="AJ90" s="84">
        <f>SUMIFS(AH$8:AH$1039,$O$8:$O$1039,O90,$AB$8:$AB$1039,AB90,$R$8:$R$1039,R90,$AA$8:$AA$1039,"&lt;="&amp;AA90)</f>
        <v/>
      </c>
      <c r="AK90" s="84">
        <f>D11</f>
        <v/>
      </c>
      <c r="AL90" s="84">
        <f>D17</f>
        <v/>
      </c>
      <c r="AM90" s="84">
        <f>MAX(0,AJ90-AK90)</f>
        <v/>
      </c>
      <c r="AN90" s="84">
        <f>IF(AM90=0,AH90,IF(AM90&gt;=AH90,0,AH90-AM90))</f>
        <v/>
      </c>
      <c r="AO90" s="84">
        <f>IF(AM90&gt;=AH90,AI90,AI90*AM90/AH90)</f>
        <v/>
      </c>
      <c r="AP90">
        <f t="array" ref="AP90">INDEX($AU$8:$BB$25,6*(R90-1)+MATCH(AB90,$AS$8:$AS$13,0),MATCH(O90,$AU$7:$BB$7,0))</f>
        <v/>
      </c>
    </row>
    <row r="91" ht="14.55" customHeight="1">
      <c r="B91" s="31" t="inlineStr">
        <is>
          <t>F+</t>
        </is>
      </c>
      <c r="C91" s="45" t="n">
        <v>0</v>
      </c>
      <c r="D91" s="45" t="n">
        <v>0</v>
      </c>
      <c r="E91" s="45" t="n">
        <v>0</v>
      </c>
      <c r="F91" s="44" t="inlineStr">
        <is>
          <t>Fab 1 space</t>
        </is>
      </c>
      <c r="G91" s="44" t="inlineStr">
        <is>
          <t>Fab 2 space</t>
        </is>
      </c>
      <c r="H91" s="44" t="inlineStr">
        <is>
          <t>Fab 3 space</t>
        </is>
      </c>
      <c r="I91" s="64" t="n"/>
      <c r="O91" s="43" t="inlineStr">
        <is>
          <t>Q1’26</t>
        </is>
      </c>
      <c r="P91" s="43" t="n">
        <v>3</v>
      </c>
      <c r="Q91" s="43" t="n">
        <v>2</v>
      </c>
      <c r="R91" s="43" t="n">
        <v>3</v>
      </c>
      <c r="S91" s="45" t="n">
        <v>3000</v>
      </c>
      <c r="T91">
        <f>(S89+S90+S91)=N4</f>
        <v/>
      </c>
      <c r="X91" s="84">
        <f>MAX(S88-S91,0)</f>
        <v/>
      </c>
      <c r="Y91" s="83" t="n">
        <v>0</v>
      </c>
      <c r="AA91" s="84" t="n">
        <v>8</v>
      </c>
      <c r="AB91" s="84" t="inlineStr">
        <is>
          <t>D</t>
        </is>
      </c>
      <c r="AC91" s="84" t="inlineStr">
        <is>
          <t>D+</t>
        </is>
      </c>
      <c r="AD91" s="84" t="n">
        <v>9</v>
      </c>
      <c r="AE91" s="84" t="n">
        <v>7</v>
      </c>
      <c r="AF91" s="84" t="n">
        <v>0.8</v>
      </c>
      <c r="AG91" s="84" t="n">
        <v>0.88</v>
      </c>
      <c r="AH91" s="84" t="n">
        <v>0</v>
      </c>
      <c r="AI91" s="84" t="n">
        <v>0</v>
      </c>
      <c r="AJ91" s="84">
        <f>SUMIFS(AH$8:AH$1039,$O$8:$O$1039,O91,$AB$8:$AB$1039,AB91,$R$8:$R$1039,R91,$AA$8:$AA$1039,"&lt;="&amp;AA91)</f>
        <v/>
      </c>
      <c r="AK91" s="84">
        <f>E11</f>
        <v/>
      </c>
      <c r="AL91" s="84">
        <f>E17</f>
        <v/>
      </c>
      <c r="AM91" s="84">
        <f>MAX(0,AJ91-AK91)</f>
        <v/>
      </c>
      <c r="AN91" s="84">
        <f>IF(AM91=0,AH91,IF(AM91&gt;=AH91,0,AH91-AM91))</f>
        <v/>
      </c>
      <c r="AO91" s="84">
        <f>IF(AM91&gt;=AH91,AI91,AI91*AM91/AH91)</f>
        <v/>
      </c>
      <c r="AP91">
        <f t="array" ref="AP91">INDEX($AU$8:$BB$25,6*(R91-1)+MATCH(AB91,$AS$8:$AS$13,0),MATCH(O91,$AU$7:$BB$7,0))</f>
        <v/>
      </c>
    </row>
    <row r="92" ht="14.25" customHeight="1">
      <c r="A92" s="85" t="inlineStr">
        <is>
          <t>WS Component for Q4’27</t>
        </is>
      </c>
      <c r="B92" s="31" t="inlineStr">
        <is>
          <t>A</t>
        </is>
      </c>
      <c r="C92" s="45" t="n">
        <v>50</v>
      </c>
      <c r="D92" s="45" t="n">
        <v>35</v>
      </c>
      <c r="E92" s="45" t="n">
        <v>0</v>
      </c>
      <c r="F92">
        <f t="array" ref="F92">SUM(C92:C103*data!$B$3:$B$14)</f>
        <v/>
      </c>
      <c r="G92">
        <f t="array" ref="G92">SUM(D92:D103*data!$B$3:$B$14)</f>
        <v/>
      </c>
      <c r="H92">
        <f t="array" ref="H92">SUM(E92:E103*data!$B$3:$B$14)</f>
        <v/>
      </c>
      <c r="I92" s="64" t="inlineStr">
        <is>
          <t>&lt;- make sure its green</t>
        </is>
      </c>
      <c r="O92" s="43" t="inlineStr">
        <is>
          <t>Q1’26</t>
        </is>
      </c>
      <c r="P92" s="43" t="n">
        <v>3</v>
      </c>
      <c r="Q92" s="43" t="n">
        <v>3</v>
      </c>
      <c r="R92" s="43" t="n">
        <v>1</v>
      </c>
      <c r="S92" s="45" t="n">
        <v>0</v>
      </c>
      <c r="T92">
        <f>(S92+S93+S94)=N4</f>
        <v/>
      </c>
      <c r="X92" s="84">
        <f>MAX(S89-S92,0)</f>
        <v/>
      </c>
      <c r="Y92" s="83" t="n">
        <v>0</v>
      </c>
      <c r="AA92" s="84" t="n">
        <v>1</v>
      </c>
      <c r="AB92" s="84" t="inlineStr">
        <is>
          <t>E</t>
        </is>
      </c>
      <c r="AC92" s="84" t="inlineStr">
        <is>
          <t>E+</t>
        </is>
      </c>
      <c r="AD92" s="84" t="n">
        <v>24</v>
      </c>
      <c r="AE92" s="84" t="n">
        <v>23</v>
      </c>
      <c r="AF92" s="84" t="n">
        <v>0.76</v>
      </c>
      <c r="AG92" s="84" t="n">
        <v>0.84</v>
      </c>
      <c r="AH92" s="84" t="n">
        <v>0</v>
      </c>
      <c r="AI92" s="84" t="n">
        <v>0</v>
      </c>
      <c r="AJ92" s="84">
        <f>SUMIFS(AH$8:AH$1039,$O$8:$O$1039,O92,$AB$8:$AB$1039,AB92,$R$8:$R$1039,R92,$AA$8:$AA$1039,"&lt;="&amp;AA92)</f>
        <v/>
      </c>
      <c r="AK92" s="84">
        <f>C12</f>
        <v/>
      </c>
      <c r="AL92" s="84">
        <f>C18</f>
        <v/>
      </c>
      <c r="AM92" s="84">
        <f>MAX(0,AJ92-AK92)</f>
        <v/>
      </c>
      <c r="AN92" s="84">
        <f>IF(AM92=0,AH92,IF(AM92&gt;=AH92,0,AH92-AM92))</f>
        <v/>
      </c>
      <c r="AO92" s="84">
        <f>IF(AM92&gt;=AH92,AI92,AI92*AM92/AH92)</f>
        <v/>
      </c>
      <c r="AP92">
        <f t="array" ref="AP92">INDEX($AU$8:$BB$25,6*(R92-1)+MATCH(AB92,$AS$8:$AS$13,0),MATCH(O92,$AU$7:$BB$7,0))</f>
        <v/>
      </c>
    </row>
    <row r="93" ht="14.55" customHeight="1">
      <c r="B93" s="31" t="inlineStr">
        <is>
          <t>B</t>
        </is>
      </c>
      <c r="C93" s="45" t="n">
        <v>25</v>
      </c>
      <c r="D93" s="45" t="n">
        <v>30</v>
      </c>
      <c r="E93" s="45" t="n">
        <v>0</v>
      </c>
      <c r="I93" s="64" t="n"/>
      <c r="O93" s="43" t="inlineStr">
        <is>
          <t>Q1’26</t>
        </is>
      </c>
      <c r="P93" s="43" t="n">
        <v>3</v>
      </c>
      <c r="Q93" s="43" t="n">
        <v>3</v>
      </c>
      <c r="R93" s="43" t="n">
        <v>2</v>
      </c>
      <c r="S93" s="45" t="n">
        <v>-0</v>
      </c>
      <c r="T93">
        <f>(S92+S93+S94)=N4</f>
        <v/>
      </c>
      <c r="X93" s="84">
        <f>MAX(S90-S93,0)</f>
        <v/>
      </c>
      <c r="Y93" s="83" t="n">
        <v>0</v>
      </c>
      <c r="AA93" s="84" t="n">
        <v>1</v>
      </c>
      <c r="AB93" s="84" t="inlineStr">
        <is>
          <t>E</t>
        </is>
      </c>
      <c r="AC93" s="84" t="inlineStr">
        <is>
          <t>E+</t>
        </is>
      </c>
      <c r="AD93" s="84" t="n">
        <v>24</v>
      </c>
      <c r="AE93" s="84" t="n">
        <v>23</v>
      </c>
      <c r="AF93" s="84" t="n">
        <v>0.76</v>
      </c>
      <c r="AG93" s="84" t="n">
        <v>0.84</v>
      </c>
      <c r="AH93" s="84" t="n">
        <v>0</v>
      </c>
      <c r="AI93" s="84" t="n">
        <v>0</v>
      </c>
      <c r="AJ93" s="84">
        <f>SUMIFS(AH$8:AH$1039,$O$8:$O$1039,O93,$AB$8:$AB$1039,AB93,$R$8:$R$1039,R93,$AA$8:$AA$1039,"&lt;="&amp;AA93)</f>
        <v/>
      </c>
      <c r="AK93" s="84">
        <f>D12</f>
        <v/>
      </c>
      <c r="AL93" s="84">
        <f>D18</f>
        <v/>
      </c>
      <c r="AM93" s="84">
        <f>MAX(0,AJ93-AK93)</f>
        <v/>
      </c>
      <c r="AN93" s="84">
        <f>IF(AM93=0,AH93,IF(AM93&gt;=AH93,0,AH93-AM93))</f>
        <v/>
      </c>
      <c r="AO93" s="84">
        <f>IF(AM93&gt;=AH93,AI93,AI93*AM93/AH93)</f>
        <v/>
      </c>
      <c r="AP93">
        <f t="array" ref="AP93">INDEX($AU$8:$BB$25,6*(R93-1)+MATCH(AB93,$AS$8:$AS$13,0),MATCH(O93,$AU$7:$BB$7,0))</f>
        <v/>
      </c>
    </row>
    <row r="94" ht="14.55" customHeight="1">
      <c r="B94" s="31" t="inlineStr">
        <is>
          <t>C</t>
        </is>
      </c>
      <c r="C94" s="45" t="n">
        <v>0</v>
      </c>
      <c r="D94" s="45" t="n">
        <v>0</v>
      </c>
      <c r="E94" s="45" t="n">
        <v>40</v>
      </c>
      <c r="F94" s="84" t="inlineStr">
        <is>
          <t>New tool purchase cost</t>
        </is>
      </c>
      <c r="I94" s="64" t="n"/>
      <c r="O94" s="43" t="inlineStr">
        <is>
          <t>Q1’26</t>
        </is>
      </c>
      <c r="P94" s="43" t="n">
        <v>3</v>
      </c>
      <c r="Q94" s="43" t="n">
        <v>3</v>
      </c>
      <c r="R94" s="43" t="n">
        <v>3</v>
      </c>
      <c r="S94" s="45" t="n">
        <v>3000</v>
      </c>
      <c r="T94">
        <f>(S92+S93+S94)=N4</f>
        <v/>
      </c>
      <c r="X94" s="84">
        <f>MAX(S91-S94,0)</f>
        <v/>
      </c>
      <c r="Y94" s="83" t="n">
        <v>0</v>
      </c>
      <c r="AA94" s="84" t="n">
        <v>1</v>
      </c>
      <c r="AB94" s="84" t="inlineStr">
        <is>
          <t>E</t>
        </is>
      </c>
      <c r="AC94" s="84" t="inlineStr">
        <is>
          <t>E+</t>
        </is>
      </c>
      <c r="AD94" s="84" t="n">
        <v>24</v>
      </c>
      <c r="AE94" s="84" t="n">
        <v>23</v>
      </c>
      <c r="AF94" s="84" t="n">
        <v>0.76</v>
      </c>
      <c r="AG94" s="84" t="n">
        <v>0.84</v>
      </c>
      <c r="AH94" s="84" t="n">
        <v>0</v>
      </c>
      <c r="AI94" s="84" t="n">
        <v>0</v>
      </c>
      <c r="AJ94" s="84">
        <f>SUMIFS(AH$8:AH$1039,$O$8:$O$1039,O94,$AB$8:$AB$1039,AB94,$R$8:$R$1039,R94,$AA$8:$AA$1039,"&lt;="&amp;AA94)</f>
        <v/>
      </c>
      <c r="AK94" s="84">
        <f>E12</f>
        <v/>
      </c>
      <c r="AL94" s="84">
        <f>E18</f>
        <v/>
      </c>
      <c r="AM94" s="84">
        <f>MAX(0,AJ94-AK94)</f>
        <v/>
      </c>
      <c r="AN94" s="84">
        <f>IF(AM94=0,AH94,IF(AM94&gt;=AH94,0,AH94-AM94))</f>
        <v/>
      </c>
      <c r="AO94" s="84">
        <f>IF(AM94&gt;=AH94,AI94,AI94*AM94/AH94)</f>
        <v/>
      </c>
      <c r="AP94">
        <f t="array" ref="AP94">INDEX($AU$8:$BB$25,6*(R94-1)+MATCH(AB94,$AS$8:$AS$13,0),MATCH(O94,$AU$7:$BB$7,0))</f>
        <v/>
      </c>
    </row>
    <row r="95" ht="14.55" customHeight="1">
      <c r="B95" s="31" t="inlineStr">
        <is>
          <t>D</t>
        </is>
      </c>
      <c r="C95" s="45" t="n">
        <v>50</v>
      </c>
      <c r="D95" s="45" t="n">
        <v>50</v>
      </c>
      <c r="E95" s="45" t="n">
        <v>35</v>
      </c>
      <c r="F95" s="83">
        <f t="array" ref="F95">SUM(
     _xlfn.BYROW(
           IF(C92:E103-C80:E91&gt;0, C92:E103-C80:E91, 0),
           _xleta.SUM)
     *data!$C$3:$C$14
)</f>
        <v/>
      </c>
      <c r="I95" s="64" t="n"/>
      <c r="O95" s="43" t="inlineStr">
        <is>
          <t>Q1’26</t>
        </is>
      </c>
      <c r="P95" s="43" t="n">
        <v>3</v>
      </c>
      <c r="Q95" s="43" t="n">
        <v>4</v>
      </c>
      <c r="R95" s="43" t="n">
        <v>1</v>
      </c>
      <c r="S95" s="45" t="n">
        <v>0</v>
      </c>
      <c r="T95">
        <f>(S95+S96+S97)=N4</f>
        <v/>
      </c>
      <c r="X95" s="84">
        <f>MAX(S92-S95,0)</f>
        <v/>
      </c>
      <c r="Y95" s="83" t="n">
        <v>0</v>
      </c>
      <c r="AA95" s="84" t="n">
        <v>9</v>
      </c>
      <c r="AB95" s="84" t="inlineStr">
        <is>
          <t>E</t>
        </is>
      </c>
      <c r="AC95" s="84" t="inlineStr">
        <is>
          <t>E+</t>
        </is>
      </c>
      <c r="AD95" s="84" t="n">
        <v>15</v>
      </c>
      <c r="AE95" s="84" t="n">
        <v>11</v>
      </c>
      <c r="AF95" s="84" t="n">
        <v>0.76</v>
      </c>
      <c r="AG95" s="84" t="n">
        <v>0.84</v>
      </c>
      <c r="AH95" s="84" t="n">
        <v>0</v>
      </c>
      <c r="AI95" s="84" t="n">
        <v>0</v>
      </c>
      <c r="AJ95" s="84">
        <f>SUMIFS(AH$8:AH$1039,$O$8:$O$1039,O95,$AB$8:$AB$1039,AB95,$R$8:$R$1039,R95,$AA$8:$AA$1039,"&lt;="&amp;AA95)</f>
        <v/>
      </c>
      <c r="AK95" s="84">
        <f>C12</f>
        <v/>
      </c>
      <c r="AL95" s="84">
        <f>C18</f>
        <v/>
      </c>
      <c r="AM95" s="84">
        <f>MAX(0,AJ95-AK95)</f>
        <v/>
      </c>
      <c r="AN95" s="84">
        <f>IF(AM95=0,AH95,IF(AM95&gt;=AH95,0,AH95-AM95))</f>
        <v/>
      </c>
      <c r="AO95" s="84">
        <f>IF(AM95&gt;=AH95,AI95,AI95*AM95/AH95)</f>
        <v/>
      </c>
      <c r="AP95">
        <f t="array" ref="AP95">INDEX($AU$8:$BB$25,6*(R95-1)+MATCH(AB95,$AS$8:$AS$13,0),MATCH(O95,$AU$7:$BB$7,0))</f>
        <v/>
      </c>
    </row>
    <row r="96" ht="14.55" customHeight="1">
      <c r="B96" s="31" t="inlineStr">
        <is>
          <t>E</t>
        </is>
      </c>
      <c r="C96" s="45" t="n">
        <v>40</v>
      </c>
      <c r="D96" s="45" t="n">
        <v>30</v>
      </c>
      <c r="E96" s="45" t="n">
        <v>16</v>
      </c>
      <c r="F96" s="84" t="inlineStr">
        <is>
          <t>Moveout cost</t>
        </is>
      </c>
      <c r="I96" s="64" t="n"/>
      <c r="O96" s="43" t="inlineStr">
        <is>
          <t>Q1’26</t>
        </is>
      </c>
      <c r="P96" s="43" t="n">
        <v>3</v>
      </c>
      <c r="Q96" s="43" t="n">
        <v>4</v>
      </c>
      <c r="R96" s="43" t="n">
        <v>2</v>
      </c>
      <c r="S96" s="45" t="n">
        <v>-0</v>
      </c>
      <c r="T96">
        <f>(S95+S96+S97)=N4</f>
        <v/>
      </c>
      <c r="X96" s="84">
        <f>MAX(S93-S96,0)</f>
        <v/>
      </c>
      <c r="Y96" s="83" t="n">
        <v>0</v>
      </c>
      <c r="AA96" s="84" t="n">
        <v>9</v>
      </c>
      <c r="AB96" s="84" t="inlineStr">
        <is>
          <t>E</t>
        </is>
      </c>
      <c r="AC96" s="84" t="inlineStr">
        <is>
          <t>E+</t>
        </is>
      </c>
      <c r="AD96" s="84" t="n">
        <v>15</v>
      </c>
      <c r="AE96" s="84" t="n">
        <v>11</v>
      </c>
      <c r="AF96" s="84" t="n">
        <v>0.76</v>
      </c>
      <c r="AG96" s="84" t="n">
        <v>0.84</v>
      </c>
      <c r="AH96" s="84" t="n">
        <v>0</v>
      </c>
      <c r="AI96" s="84" t="n">
        <v>0</v>
      </c>
      <c r="AJ96" s="84">
        <f>SUMIFS(AH$8:AH$1039,$O$8:$O$1039,O96,$AB$8:$AB$1039,AB96,$R$8:$R$1039,R96,$AA$8:$AA$1039,"&lt;="&amp;AA96)</f>
        <v/>
      </c>
      <c r="AK96" s="84">
        <f>D12</f>
        <v/>
      </c>
      <c r="AL96" s="84">
        <f>D18</f>
        <v/>
      </c>
      <c r="AM96" s="84">
        <f>MAX(0,AJ96-AK96)</f>
        <v/>
      </c>
      <c r="AN96" s="84">
        <f>IF(AM96=0,AH96,IF(AM96&gt;=AH96,0,AH96-AM96))</f>
        <v/>
      </c>
      <c r="AO96" s="84">
        <f>IF(AM96&gt;=AH96,AI96,AI96*AM96/AH96)</f>
        <v/>
      </c>
      <c r="AP96">
        <f t="array" ref="AP96">INDEX($AU$8:$BB$25,6*(R96-1)+MATCH(AB96,$AS$8:$AS$13,0),MATCH(O96,$AU$7:$BB$7,0))</f>
        <v/>
      </c>
    </row>
    <row r="97" ht="14.55" customHeight="1">
      <c r="B97" s="31" t="inlineStr">
        <is>
          <t>F</t>
        </is>
      </c>
      <c r="C97" s="45" t="n">
        <v>90</v>
      </c>
      <c r="D97" s="45" t="n">
        <v>60</v>
      </c>
      <c r="E97" s="45" t="n">
        <v>36</v>
      </c>
      <c r="F97" s="83">
        <f t="array" ref="F97">SUM(
     _xlfn.BYROW(
           IF(C92:E103-C80:E91&lt;0, C92:E103-C80:E91, 0),
           _xleta.SUM)
     * -1000000
)</f>
        <v/>
      </c>
      <c r="I97" s="64" t="n"/>
      <c r="O97" s="43" t="inlineStr">
        <is>
          <t>Q1’26</t>
        </is>
      </c>
      <c r="P97" s="43" t="n">
        <v>3</v>
      </c>
      <c r="Q97" s="43" t="n">
        <v>4</v>
      </c>
      <c r="R97" s="43" t="n">
        <v>3</v>
      </c>
      <c r="S97" s="45" t="n">
        <v>3000</v>
      </c>
      <c r="T97">
        <f>(S95+S96+S97)=N4</f>
        <v/>
      </c>
      <c r="X97" s="84">
        <f>MAX(S94-S97,0)</f>
        <v/>
      </c>
      <c r="Y97" s="83" t="n">
        <v>0</v>
      </c>
      <c r="AA97" s="84" t="n">
        <v>9</v>
      </c>
      <c r="AB97" s="84" t="inlineStr">
        <is>
          <t>E</t>
        </is>
      </c>
      <c r="AC97" s="84" t="inlineStr">
        <is>
          <t>E+</t>
        </is>
      </c>
      <c r="AD97" s="84" t="n">
        <v>15</v>
      </c>
      <c r="AE97" s="84" t="n">
        <v>11</v>
      </c>
      <c r="AF97" s="84" t="n">
        <v>0.76</v>
      </c>
      <c r="AG97" s="84" t="n">
        <v>0.84</v>
      </c>
      <c r="AH97" s="84" t="n">
        <v>0</v>
      </c>
      <c r="AI97" s="84" t="n">
        <v>0</v>
      </c>
      <c r="AJ97" s="84">
        <f>SUMIFS(AH$8:AH$1039,$O$8:$O$1039,O97,$AB$8:$AB$1039,AB97,$R$8:$R$1039,R97,$AA$8:$AA$1039,"&lt;="&amp;AA97)</f>
        <v/>
      </c>
      <c r="AK97" s="84">
        <f>E12</f>
        <v/>
      </c>
      <c r="AL97" s="84">
        <f>E18</f>
        <v/>
      </c>
      <c r="AM97" s="84">
        <f>MAX(0,AJ97-AK97)</f>
        <v/>
      </c>
      <c r="AN97" s="84">
        <f>IF(AM97=0,AH97,IF(AM97&gt;=AH97,0,AH97-AM97))</f>
        <v/>
      </c>
      <c r="AO97" s="84">
        <f>IF(AM97&gt;=AH97,AI97,AI97*AM97/AH97)</f>
        <v/>
      </c>
      <c r="AP97">
        <f t="array" ref="AP97">INDEX($AU$8:$BB$25,6*(R97-1)+MATCH(AB97,$AS$8:$AS$13,0),MATCH(O97,$AU$7:$BB$7,0))</f>
        <v/>
      </c>
    </row>
    <row r="98" ht="14.55" customHeight="1">
      <c r="B98" s="31" t="inlineStr">
        <is>
          <t>A+</t>
        </is>
      </c>
      <c r="C98" s="45" t="n">
        <v>0</v>
      </c>
      <c r="D98" s="45" t="n">
        <v>0</v>
      </c>
      <c r="E98" s="45" t="n">
        <v>0</v>
      </c>
      <c r="I98" s="64" t="n"/>
      <c r="O98" s="43" t="inlineStr">
        <is>
          <t>Q1’26</t>
        </is>
      </c>
      <c r="P98" s="43" t="n">
        <v>3</v>
      </c>
      <c r="Q98" s="43" t="n">
        <v>5</v>
      </c>
      <c r="R98" s="43" t="n">
        <v>1</v>
      </c>
      <c r="S98" s="45" t="n">
        <v>0</v>
      </c>
      <c r="T98">
        <f>(S98+S99+S100)=N4</f>
        <v/>
      </c>
      <c r="X98" s="84">
        <f>MAX(S95-S98,0)</f>
        <v/>
      </c>
      <c r="Y98" s="83" t="n">
        <v>0</v>
      </c>
      <c r="AA98" s="84" t="n">
        <v>6</v>
      </c>
      <c r="AB98" s="84" t="inlineStr">
        <is>
          <t>F</t>
        </is>
      </c>
      <c r="AC98" s="84" t="inlineStr">
        <is>
          <t>F+</t>
        </is>
      </c>
      <c r="AD98" s="84" t="n">
        <v>16</v>
      </c>
      <c r="AE98" s="84" t="n">
        <v>14</v>
      </c>
      <c r="AF98" s="84" t="n">
        <v>0.8</v>
      </c>
      <c r="AG98" s="84" t="n">
        <v>0.9</v>
      </c>
      <c r="AH98" s="84" t="n">
        <v>0</v>
      </c>
      <c r="AI98" s="84" t="n">
        <v>0</v>
      </c>
      <c r="AJ98" s="84">
        <f>SUMIFS(AH$8:AH$1039,$O$8:$O$1039,O98,$AB$8:$AB$1039,AB98,$R$8:$R$1039,R98,$AA$8:$AA$1039,"&lt;="&amp;AA98)</f>
        <v/>
      </c>
      <c r="AK98" s="84">
        <f>C13</f>
        <v/>
      </c>
      <c r="AL98" s="84">
        <f>C19</f>
        <v/>
      </c>
      <c r="AM98" s="84">
        <f>MAX(0,AJ98-AK98)</f>
        <v/>
      </c>
      <c r="AN98" s="84">
        <f>IF(AM98=0,AH98,IF(AM98&gt;=AH98,0,AH98-AM98))</f>
        <v/>
      </c>
      <c r="AO98" s="84">
        <f>IF(AM98&gt;=AH98,AI98,AI98*AM98/AH98)</f>
        <v/>
      </c>
      <c r="AP98">
        <f t="array" ref="AP98">INDEX($AU$8:$BB$25,6*(R98-1)+MATCH(AB98,$AS$8:$AS$13,0),MATCH(O98,$AU$7:$BB$7,0))</f>
        <v/>
      </c>
    </row>
    <row r="99" ht="14.55" customHeight="1">
      <c r="B99" s="31" t="inlineStr">
        <is>
          <t>B+</t>
        </is>
      </c>
      <c r="C99" s="45" t="n">
        <v>8</v>
      </c>
      <c r="D99" s="45" t="n">
        <v>0</v>
      </c>
      <c r="E99" s="45" t="n">
        <v>0</v>
      </c>
      <c r="I99" s="64" t="n"/>
      <c r="O99" s="43" t="inlineStr">
        <is>
          <t>Q1’26</t>
        </is>
      </c>
      <c r="P99" s="43" t="n">
        <v>3</v>
      </c>
      <c r="Q99" s="43" t="n">
        <v>5</v>
      </c>
      <c r="R99" s="43" t="n">
        <v>2</v>
      </c>
      <c r="S99" s="45" t="n">
        <v>-0</v>
      </c>
      <c r="T99">
        <f>(S98+S99+S100)=N4</f>
        <v/>
      </c>
      <c r="X99" s="84">
        <f>MAX(S96-S99,0)</f>
        <v/>
      </c>
      <c r="Y99" s="83" t="n">
        <v>0</v>
      </c>
      <c r="AA99" s="84" t="n">
        <v>6</v>
      </c>
      <c r="AB99" s="84" t="inlineStr">
        <is>
          <t>F</t>
        </is>
      </c>
      <c r="AC99" s="84" t="inlineStr">
        <is>
          <t>F+</t>
        </is>
      </c>
      <c r="AD99" s="84" t="n">
        <v>16</v>
      </c>
      <c r="AE99" s="84" t="n">
        <v>14</v>
      </c>
      <c r="AF99" s="84" t="n">
        <v>0.8</v>
      </c>
      <c r="AG99" s="84" t="n">
        <v>0.9</v>
      </c>
      <c r="AH99" s="84" t="n">
        <v>0</v>
      </c>
      <c r="AI99" s="84" t="n">
        <v>0</v>
      </c>
      <c r="AJ99" s="84">
        <f>SUMIFS(AH$8:AH$1039,$O$8:$O$1039,O99,$AB$8:$AB$1039,AB99,$R$8:$R$1039,R99,$AA$8:$AA$1039,"&lt;="&amp;AA99)</f>
        <v/>
      </c>
      <c r="AK99" s="84">
        <f>D13</f>
        <v/>
      </c>
      <c r="AL99" s="84">
        <f>D19</f>
        <v/>
      </c>
      <c r="AM99" s="84">
        <f>MAX(0,AJ99-AK99)</f>
        <v/>
      </c>
      <c r="AN99" s="84">
        <f>IF(AM99=0,AH99,IF(AM99&gt;=AH99,0,AH99-AM99))</f>
        <v/>
      </c>
      <c r="AO99" s="84">
        <f>IF(AM99&gt;=AH99,AI99,AI99*AM99/AH99)</f>
        <v/>
      </c>
      <c r="AP99">
        <f t="array" ref="AP99">INDEX($AU$8:$BB$25,6*(R99-1)+MATCH(AB99,$AS$8:$AS$13,0),MATCH(O99,$AU$7:$BB$7,0))</f>
        <v/>
      </c>
    </row>
    <row r="100" ht="14.55" customHeight="1">
      <c r="B100" s="31" t="inlineStr">
        <is>
          <t>C+</t>
        </is>
      </c>
      <c r="C100" s="45" t="n">
        <v>27</v>
      </c>
      <c r="D100" s="45" t="n">
        <v>36</v>
      </c>
      <c r="E100" s="45" t="n">
        <v>1</v>
      </c>
      <c r="I100" s="64" t="n"/>
      <c r="O100" s="43" t="inlineStr">
        <is>
          <t>Q1’26</t>
        </is>
      </c>
      <c r="P100" s="43" t="n">
        <v>3</v>
      </c>
      <c r="Q100" s="43" t="n">
        <v>5</v>
      </c>
      <c r="R100" s="43" t="n">
        <v>3</v>
      </c>
      <c r="S100" s="45" t="n">
        <v>3000</v>
      </c>
      <c r="T100">
        <f>(S98+S99+S100)=N4</f>
        <v/>
      </c>
      <c r="X100" s="84">
        <f>MAX(S97-S100,0)</f>
        <v/>
      </c>
      <c r="Y100" s="83" t="n">
        <v>0</v>
      </c>
      <c r="AA100" s="84" t="n">
        <v>6</v>
      </c>
      <c r="AB100" s="84" t="inlineStr">
        <is>
          <t>F</t>
        </is>
      </c>
      <c r="AC100" s="84" t="inlineStr">
        <is>
          <t>F+</t>
        </is>
      </c>
      <c r="AD100" s="84" t="n">
        <v>16</v>
      </c>
      <c r="AE100" s="84" t="n">
        <v>14</v>
      </c>
      <c r="AF100" s="84" t="n">
        <v>0.8</v>
      </c>
      <c r="AG100" s="84" t="n">
        <v>0.9</v>
      </c>
      <c r="AH100" s="84" t="n">
        <v>0</v>
      </c>
      <c r="AI100" s="84" t="n">
        <v>0</v>
      </c>
      <c r="AJ100" s="84">
        <f>SUMIFS(AH$8:AH$1039,$O$8:$O$1039,O100,$AB$8:$AB$1039,AB100,$R$8:$R$1039,R100,$AA$8:$AA$1039,"&lt;="&amp;AA100)</f>
        <v/>
      </c>
      <c r="AK100" s="84">
        <f>E13</f>
        <v/>
      </c>
      <c r="AL100" s="84">
        <f>E19</f>
        <v/>
      </c>
      <c r="AM100" s="84">
        <f>MAX(0,AJ100-AK100)</f>
        <v/>
      </c>
      <c r="AN100" s="84">
        <f>IF(AM100=0,AH100,IF(AM100&gt;=AH100,0,AH100-AM100))</f>
        <v/>
      </c>
      <c r="AO100" s="84">
        <f>IF(AM100&gt;=AH100,AI100,AI100*AM100/AH100)</f>
        <v/>
      </c>
      <c r="AP100">
        <f t="array" ref="AP100">INDEX($AU$8:$BB$25,6*(R100-1)+MATCH(AB100,$AS$8:$AS$13,0),MATCH(O100,$AU$7:$BB$7,0))</f>
        <v/>
      </c>
    </row>
    <row r="101" ht="14.55" customHeight="1">
      <c r="B101" s="31" t="inlineStr">
        <is>
          <t>D+</t>
        </is>
      </c>
      <c r="C101" s="45" t="n">
        <v>2</v>
      </c>
      <c r="D101" s="45" t="n">
        <v>0</v>
      </c>
      <c r="E101" s="45" t="n">
        <v>0</v>
      </c>
      <c r="I101" s="64" t="n"/>
      <c r="O101" s="43" t="inlineStr">
        <is>
          <t>Q1’26</t>
        </is>
      </c>
      <c r="P101" s="43" t="n">
        <v>3</v>
      </c>
      <c r="Q101" s="43" t="n">
        <v>6</v>
      </c>
      <c r="R101" s="43" t="n">
        <v>1</v>
      </c>
      <c r="S101" s="45" t="n">
        <v>0</v>
      </c>
      <c r="T101">
        <f>(S101+S102+S103)=N4</f>
        <v/>
      </c>
      <c r="X101" s="84">
        <f>MAX(S98-S101,0)</f>
        <v/>
      </c>
      <c r="Y101" s="83" t="n">
        <v>0</v>
      </c>
      <c r="AA101" s="84" t="n">
        <v>1</v>
      </c>
      <c r="AB101" s="84" t="inlineStr">
        <is>
          <t>D</t>
        </is>
      </c>
      <c r="AC101" s="84" t="inlineStr">
        <is>
          <t>D+</t>
        </is>
      </c>
      <c r="AD101" s="84" t="n">
        <v>12</v>
      </c>
      <c r="AE101" s="84" t="n">
        <v>11</v>
      </c>
      <c r="AF101" s="84" t="n">
        <v>0.8</v>
      </c>
      <c r="AG101" s="84" t="n">
        <v>0.88</v>
      </c>
      <c r="AH101" s="84" t="n">
        <v>0</v>
      </c>
      <c r="AI101" s="84" t="n">
        <v>0</v>
      </c>
      <c r="AJ101" s="84">
        <f>SUMIFS(AH$8:AH$1039,$O$8:$O$1039,O101,$AB$8:$AB$1039,AB101,$R$8:$R$1039,R101,$AA$8:$AA$1039,"&lt;="&amp;AA101)</f>
        <v/>
      </c>
      <c r="AK101" s="84">
        <f>C11</f>
        <v/>
      </c>
      <c r="AL101" s="84">
        <f>C17</f>
        <v/>
      </c>
      <c r="AM101" s="84">
        <f>MAX(0,AJ101-AK101)</f>
        <v/>
      </c>
      <c r="AN101" s="84">
        <f>IF(AM101=0,AH101,IF(AM101&gt;=AH101,0,AH101-AM101))</f>
        <v/>
      </c>
      <c r="AO101" s="84">
        <f>IF(AM101&gt;=AH101,AI101,AI101*AM101/AH101)</f>
        <v/>
      </c>
      <c r="AP101">
        <f t="array" ref="AP101">INDEX($AU$8:$BB$25,6*(R101-1)+MATCH(AB101,$AS$8:$AS$13,0),MATCH(O101,$AU$7:$BB$7,0))</f>
        <v/>
      </c>
    </row>
    <row r="102" ht="14.55" customHeight="1">
      <c r="B102" s="31" t="inlineStr">
        <is>
          <t>E+</t>
        </is>
      </c>
      <c r="C102" s="45" t="n">
        <v>14</v>
      </c>
      <c r="D102" s="45" t="n">
        <v>20</v>
      </c>
      <c r="E102" s="45" t="n">
        <v>12</v>
      </c>
      <c r="I102" s="64" t="n"/>
      <c r="O102" s="43" t="inlineStr">
        <is>
          <t>Q1’26</t>
        </is>
      </c>
      <c r="P102" s="43" t="n">
        <v>3</v>
      </c>
      <c r="Q102" s="43" t="n">
        <v>6</v>
      </c>
      <c r="R102" s="43" t="n">
        <v>2</v>
      </c>
      <c r="S102" s="45" t="n">
        <v>-0</v>
      </c>
      <c r="T102">
        <f>(S101+S102+S103)=N4</f>
        <v/>
      </c>
      <c r="X102" s="84">
        <f>MAX(S99-S102,0)</f>
        <v/>
      </c>
      <c r="Y102" s="83" t="n">
        <v>0</v>
      </c>
      <c r="AA102" s="84" t="n">
        <v>1</v>
      </c>
      <c r="AB102" s="84" t="inlineStr">
        <is>
          <t>D</t>
        </is>
      </c>
      <c r="AC102" s="84" t="inlineStr">
        <is>
          <t>D+</t>
        </is>
      </c>
      <c r="AD102" s="84" t="n">
        <v>12</v>
      </c>
      <c r="AE102" s="84" t="n">
        <v>11</v>
      </c>
      <c r="AF102" s="84" t="n">
        <v>0.8</v>
      </c>
      <c r="AG102" s="84" t="n">
        <v>0.88</v>
      </c>
      <c r="AH102" s="84" t="n">
        <v>0</v>
      </c>
      <c r="AI102" s="84" t="n">
        <v>0</v>
      </c>
      <c r="AJ102" s="84">
        <f>SUMIFS(AH$8:AH$1039,$O$8:$O$1039,O102,$AB$8:$AB$1039,AB102,$R$8:$R$1039,R102,$AA$8:$AA$1039,"&lt;="&amp;AA102)</f>
        <v/>
      </c>
      <c r="AK102" s="84">
        <f>D11</f>
        <v/>
      </c>
      <c r="AL102" s="84">
        <f>D17</f>
        <v/>
      </c>
      <c r="AM102" s="84">
        <f>MAX(0,AJ102-AK102)</f>
        <v/>
      </c>
      <c r="AN102" s="84">
        <f>IF(AM102=0,AH102,IF(AM102&gt;=AH102,0,AH102-AM102))</f>
        <v/>
      </c>
      <c r="AO102" s="84">
        <f>IF(AM102&gt;=AH102,AI102,AI102*AM102/AH102)</f>
        <v/>
      </c>
      <c r="AP102">
        <f t="array" ref="AP102">INDEX($AU$8:$BB$25,6*(R102-1)+MATCH(AB102,$AS$8:$AS$13,0),MATCH(O102,$AU$7:$BB$7,0))</f>
        <v/>
      </c>
    </row>
    <row r="103" ht="14.55" customHeight="1">
      <c r="B103" s="31" t="inlineStr">
        <is>
          <t>F+</t>
        </is>
      </c>
      <c r="C103" s="45" t="n">
        <v>0</v>
      </c>
      <c r="D103" s="45" t="n">
        <v>0</v>
      </c>
      <c r="E103" s="45" t="n">
        <v>0</v>
      </c>
      <c r="I103" s="64" t="n"/>
      <c r="O103" s="43" t="inlineStr">
        <is>
          <t>Q1’26</t>
        </is>
      </c>
      <c r="P103" s="43" t="n">
        <v>3</v>
      </c>
      <c r="Q103" s="43" t="n">
        <v>6</v>
      </c>
      <c r="R103" s="43" t="n">
        <v>3</v>
      </c>
      <c r="S103" s="45" t="n">
        <v>3000</v>
      </c>
      <c r="T103">
        <f>(S101+S102+S103)=N4</f>
        <v/>
      </c>
      <c r="X103" s="84">
        <f>MAX(S100-S103,0)</f>
        <v/>
      </c>
      <c r="Y103" s="83" t="n">
        <v>0</v>
      </c>
      <c r="AA103" s="84" t="n">
        <v>1</v>
      </c>
      <c r="AB103" s="84" t="inlineStr">
        <is>
          <t>D</t>
        </is>
      </c>
      <c r="AC103" s="84" t="inlineStr">
        <is>
          <t>D+</t>
        </is>
      </c>
      <c r="AD103" s="84" t="n">
        <v>12</v>
      </c>
      <c r="AE103" s="84" t="n">
        <v>11</v>
      </c>
      <c r="AF103" s="84" t="n">
        <v>0.8</v>
      </c>
      <c r="AG103" s="84" t="n">
        <v>0.88</v>
      </c>
      <c r="AH103" s="84" t="n">
        <v>0</v>
      </c>
      <c r="AI103" s="84" t="n">
        <v>0</v>
      </c>
      <c r="AJ103" s="84">
        <f>SUMIFS(AH$8:AH$1039,$O$8:$O$1039,O103,$AB$8:$AB$1039,AB103,$R$8:$R$1039,R103,$AA$8:$AA$1039,"&lt;="&amp;AA103)</f>
        <v/>
      </c>
      <c r="AK103" s="84">
        <f>E11</f>
        <v/>
      </c>
      <c r="AL103" s="84">
        <f>E17</f>
        <v/>
      </c>
      <c r="AM103" s="84">
        <f>MAX(0,AJ103-AK103)</f>
        <v/>
      </c>
      <c r="AN103" s="84">
        <f>IF(AM103=0,AH103,IF(AM103&gt;=AH103,0,AH103-AM103))</f>
        <v/>
      </c>
      <c r="AO103" s="84">
        <f>IF(AM103&gt;=AH103,AI103,AI103*AM103/AH103)</f>
        <v/>
      </c>
      <c r="AP103">
        <f t="array" ref="AP103">INDEX($AU$8:$BB$25,6*(R103-1)+MATCH(AB103,$AS$8:$AS$13,0),MATCH(O103,$AU$7:$BB$7,0))</f>
        <v/>
      </c>
    </row>
    <row r="104" ht="14.25" customHeight="1">
      <c r="O104" s="43" t="inlineStr">
        <is>
          <t>Q1’26</t>
        </is>
      </c>
      <c r="P104" s="43" t="n">
        <v>3</v>
      </c>
      <c r="Q104" s="43" t="n">
        <v>7</v>
      </c>
      <c r="R104" s="43" t="n">
        <v>1</v>
      </c>
      <c r="S104" s="45" t="n">
        <v>-0</v>
      </c>
      <c r="T104">
        <f>(S104+S105+S106)=N4</f>
        <v/>
      </c>
      <c r="X104" s="84">
        <f>MAX(S101-S104,0)</f>
        <v/>
      </c>
      <c r="Y104" s="83" t="n">
        <v>0</v>
      </c>
      <c r="AA104" s="84" t="n">
        <v>3</v>
      </c>
      <c r="AB104" s="84" t="inlineStr">
        <is>
          <t>C</t>
        </is>
      </c>
      <c r="AC104" s="84" t="inlineStr">
        <is>
          <t>C+</t>
        </is>
      </c>
      <c r="AD104" s="84" t="n">
        <v>24</v>
      </c>
      <c r="AE104" s="84" t="n">
        <v>21</v>
      </c>
      <c r="AF104" s="84" t="n">
        <v>0.8</v>
      </c>
      <c r="AG104" s="84" t="n">
        <v>0.86</v>
      </c>
      <c r="AH104" s="84" t="n">
        <v>0</v>
      </c>
      <c r="AI104" s="84" t="n">
        <v>0</v>
      </c>
      <c r="AJ104" s="84">
        <f>SUMIFS(AH$8:AH$1039,$O$8:$O$1039,O104,$AB$8:$AB$1039,AB104,$R$8:$R$1039,R104,$AA$8:$AA$1039,"&lt;="&amp;AA104)</f>
        <v/>
      </c>
      <c r="AK104" s="84">
        <f>C10</f>
        <v/>
      </c>
      <c r="AL104" s="84">
        <f>C16</f>
        <v/>
      </c>
      <c r="AM104" s="84">
        <f>MAX(0,AJ104-AK104)</f>
        <v/>
      </c>
      <c r="AN104" s="84">
        <f>IF(AM104=0,AH104,IF(AM104&gt;=AH104,0,AH104-AM104))</f>
        <v/>
      </c>
      <c r="AO104" s="84">
        <f>IF(AM104&gt;=AH104,AI104,AI104*AM104/AH104)</f>
        <v/>
      </c>
      <c r="AP104">
        <f t="array" ref="AP104">INDEX($AU$8:$BB$25,6*(R104-1)+MATCH(AB104,$AS$8:$AS$13,0),MATCH(O104,$AU$7:$BB$7,0))</f>
        <v/>
      </c>
    </row>
    <row r="105" ht="14.25" customHeight="1">
      <c r="O105" s="43" t="inlineStr">
        <is>
          <t>Q1’26</t>
        </is>
      </c>
      <c r="P105" s="43" t="n">
        <v>3</v>
      </c>
      <c r="Q105" s="43" t="n">
        <v>7</v>
      </c>
      <c r="R105" s="43" t="n">
        <v>2</v>
      </c>
      <c r="S105" s="45" t="n">
        <v>-0</v>
      </c>
      <c r="T105">
        <f>(S104+S105+S106)=N4</f>
        <v/>
      </c>
      <c r="X105" s="84">
        <f>MAX(S102-S105,0)</f>
        <v/>
      </c>
      <c r="Y105" s="83" t="n">
        <v>0</v>
      </c>
      <c r="AA105" s="84" t="n">
        <v>3</v>
      </c>
      <c r="AB105" s="84" t="inlineStr">
        <is>
          <t>C</t>
        </is>
      </c>
      <c r="AC105" s="84" t="inlineStr">
        <is>
          <t>C+</t>
        </is>
      </c>
      <c r="AD105" s="84" t="n">
        <v>24</v>
      </c>
      <c r="AE105" s="84" t="n">
        <v>21</v>
      </c>
      <c r="AF105" s="84" t="n">
        <v>0.8</v>
      </c>
      <c r="AG105" s="84" t="n">
        <v>0.86</v>
      </c>
      <c r="AH105" s="84" t="n">
        <v>0</v>
      </c>
      <c r="AI105" s="84" t="n">
        <v>0</v>
      </c>
      <c r="AJ105" s="84">
        <f>SUMIFS(AH$8:AH$1039,$O$8:$O$1039,O105,$AB$8:$AB$1039,AB105,$R$8:$R$1039,R105,$AA$8:$AA$1039,"&lt;="&amp;AA105)</f>
        <v/>
      </c>
      <c r="AK105" s="84">
        <f>D10</f>
        <v/>
      </c>
      <c r="AL105" s="84">
        <f>D16</f>
        <v/>
      </c>
      <c r="AM105" s="84">
        <f>MAX(0,AJ105-AK105)</f>
        <v/>
      </c>
      <c r="AN105" s="84">
        <f>IF(AM105=0,AH105,IF(AM105&gt;=AH105,0,AH105-AM105))</f>
        <v/>
      </c>
      <c r="AO105" s="84">
        <f>IF(AM105&gt;=AH105,AI105,AI105*AM105/AH105)</f>
        <v/>
      </c>
      <c r="AP105">
        <f t="array" ref="AP105">INDEX($AU$8:$BB$25,6*(R105-1)+MATCH(AB105,$AS$8:$AS$13,0),MATCH(O105,$AU$7:$BB$7,0))</f>
        <v/>
      </c>
    </row>
    <row r="106" ht="14.25" customHeight="1">
      <c r="O106" s="43" t="inlineStr">
        <is>
          <t>Q1’26</t>
        </is>
      </c>
      <c r="P106" s="43" t="n">
        <v>3</v>
      </c>
      <c r="Q106" s="43" t="n">
        <v>7</v>
      </c>
      <c r="R106" s="43" t="n">
        <v>3</v>
      </c>
      <c r="S106" s="45" t="n">
        <v>3000</v>
      </c>
      <c r="T106">
        <f>(S104+S105+S106)=N4</f>
        <v/>
      </c>
      <c r="X106" s="84">
        <f>MAX(S103-S106,0)</f>
        <v/>
      </c>
      <c r="Y106" s="83" t="n">
        <v>0</v>
      </c>
      <c r="AA106" s="84" t="n">
        <v>3</v>
      </c>
      <c r="AB106" s="84" t="inlineStr">
        <is>
          <t>C</t>
        </is>
      </c>
      <c r="AC106" s="84" t="inlineStr">
        <is>
          <t>C+</t>
        </is>
      </c>
      <c r="AD106" s="84" t="n">
        <v>24</v>
      </c>
      <c r="AE106" s="84" t="n">
        <v>21</v>
      </c>
      <c r="AF106" s="84" t="n">
        <v>0.8</v>
      </c>
      <c r="AG106" s="84" t="n">
        <v>0.86</v>
      </c>
      <c r="AH106" s="84" t="n">
        <v>0</v>
      </c>
      <c r="AI106" s="84" t="n">
        <v>0</v>
      </c>
      <c r="AJ106" s="84">
        <f>SUMIFS(AH$8:AH$1039,$O$8:$O$1039,O106,$AB$8:$AB$1039,AB106,$R$8:$R$1039,R106,$AA$8:$AA$1039,"&lt;="&amp;AA106)</f>
        <v/>
      </c>
      <c r="AK106" s="84">
        <f>E10</f>
        <v/>
      </c>
      <c r="AL106" s="84">
        <f>E16</f>
        <v/>
      </c>
      <c r="AM106" s="84">
        <f>MAX(0,AJ106-AK106)</f>
        <v/>
      </c>
      <c r="AN106" s="84">
        <f>IF(AM106=0,AH106,IF(AM106&gt;=AH106,0,AH106-AM106))</f>
        <v/>
      </c>
      <c r="AO106" s="84">
        <f>IF(AM106&gt;=AH106,AI106,AI106*AM106/AH106)</f>
        <v/>
      </c>
      <c r="AP106">
        <f t="array" ref="AP106">INDEX($AU$8:$BB$25,6*(R106-1)+MATCH(AB106,$AS$8:$AS$13,0),MATCH(O106,$AU$7:$BB$7,0))</f>
        <v/>
      </c>
    </row>
    <row r="107" ht="14.25" customHeight="1">
      <c r="O107" s="43" t="inlineStr">
        <is>
          <t>Q1’26</t>
        </is>
      </c>
      <c r="P107" s="43" t="n">
        <v>3</v>
      </c>
      <c r="Q107" s="43" t="n">
        <v>8</v>
      </c>
      <c r="R107" s="43" t="n">
        <v>1</v>
      </c>
      <c r="S107" s="45" t="n">
        <v>-0</v>
      </c>
      <c r="T107">
        <f>(S107+S108+S109)=N4</f>
        <v/>
      </c>
      <c r="X107" s="84">
        <f>MAX(S104-S107,0)</f>
        <v/>
      </c>
      <c r="Y107" s="83" t="n">
        <v>0</v>
      </c>
      <c r="AA107" s="84" t="n">
        <v>5</v>
      </c>
      <c r="AB107" s="84" t="inlineStr">
        <is>
          <t>C</t>
        </is>
      </c>
      <c r="AC107" s="84" t="inlineStr">
        <is>
          <t>C+</t>
        </is>
      </c>
      <c r="AD107" s="84" t="n">
        <v>19</v>
      </c>
      <c r="AE107" s="84" t="n">
        <v>13</v>
      </c>
      <c r="AF107" s="84" t="n">
        <v>0.8</v>
      </c>
      <c r="AG107" s="84" t="n">
        <v>0.86</v>
      </c>
      <c r="AH107" s="84" t="n">
        <v>0</v>
      </c>
      <c r="AI107" s="84" t="n">
        <v>0</v>
      </c>
      <c r="AJ107" s="84">
        <f>SUMIFS(AH$8:AH$1039,$O$8:$O$1039,O107,$AB$8:$AB$1039,AB107,$R$8:$R$1039,R107,$AA$8:$AA$1039,"&lt;="&amp;AA107)</f>
        <v/>
      </c>
      <c r="AK107" s="84">
        <f>C10</f>
        <v/>
      </c>
      <c r="AL107" s="84">
        <f>C16</f>
        <v/>
      </c>
      <c r="AM107" s="84">
        <f>MAX(0,AJ107-AK107)</f>
        <v/>
      </c>
      <c r="AN107" s="84">
        <f>IF(AM107=0,AH107,IF(AM107&gt;=AH107,0,AH107-AM107))</f>
        <v/>
      </c>
      <c r="AO107" s="84">
        <f>IF(AM107&gt;=AH107,AI107,AI107*AM107/AH107)</f>
        <v/>
      </c>
      <c r="AP107">
        <f t="array" ref="AP107">INDEX($AU$8:$BB$25,6*(R107-1)+MATCH(AB107,$AS$8:$AS$13,0),MATCH(O107,$AU$7:$BB$7,0))</f>
        <v/>
      </c>
    </row>
    <row r="108" ht="14.25" customHeight="1">
      <c r="O108" s="43" t="inlineStr">
        <is>
          <t>Q1’26</t>
        </is>
      </c>
      <c r="P108" s="43" t="n">
        <v>3</v>
      </c>
      <c r="Q108" s="43" t="n">
        <v>8</v>
      </c>
      <c r="R108" s="43" t="n">
        <v>2</v>
      </c>
      <c r="S108" s="45" t="n">
        <v>-0</v>
      </c>
      <c r="T108">
        <f>(S107+S108+S109)=N4</f>
        <v/>
      </c>
      <c r="X108" s="84">
        <f>MAX(S105-S108,0)</f>
        <v/>
      </c>
      <c r="Y108" s="83" t="n">
        <v>0</v>
      </c>
      <c r="AA108" s="84" t="n">
        <v>5</v>
      </c>
      <c r="AB108" s="84" t="inlineStr">
        <is>
          <t>C</t>
        </is>
      </c>
      <c r="AC108" s="84" t="inlineStr">
        <is>
          <t>C+</t>
        </is>
      </c>
      <c r="AD108" s="84" t="n">
        <v>19</v>
      </c>
      <c r="AE108" s="84" t="n">
        <v>13</v>
      </c>
      <c r="AF108" s="84" t="n">
        <v>0.8</v>
      </c>
      <c r="AG108" s="84" t="n">
        <v>0.86</v>
      </c>
      <c r="AH108" s="84" t="n">
        <v>0</v>
      </c>
      <c r="AI108" s="84" t="n">
        <v>0</v>
      </c>
      <c r="AJ108" s="84">
        <f>SUMIFS(AH$8:AH$1039,$O$8:$O$1039,O108,$AB$8:$AB$1039,AB108,$R$8:$R$1039,R108,$AA$8:$AA$1039,"&lt;="&amp;AA108)</f>
        <v/>
      </c>
      <c r="AK108" s="84">
        <f>D10</f>
        <v/>
      </c>
      <c r="AL108" s="84">
        <f>D16</f>
        <v/>
      </c>
      <c r="AM108" s="84">
        <f>MAX(0,AJ108-AK108)</f>
        <v/>
      </c>
      <c r="AN108" s="84">
        <f>IF(AM108=0,AH108,IF(AM108&gt;=AH108,0,AH108-AM108))</f>
        <v/>
      </c>
      <c r="AO108" s="84">
        <f>IF(AM108&gt;=AH108,AI108,AI108*AM108/AH108)</f>
        <v/>
      </c>
      <c r="AP108">
        <f t="array" ref="AP108">INDEX($AU$8:$BB$25,6*(R108-1)+MATCH(AB108,$AS$8:$AS$13,0),MATCH(O108,$AU$7:$BB$7,0))</f>
        <v/>
      </c>
    </row>
    <row r="109" ht="14.25" customHeight="1">
      <c r="O109" s="43" t="inlineStr">
        <is>
          <t>Q1’26</t>
        </is>
      </c>
      <c r="P109" s="43" t="n">
        <v>3</v>
      </c>
      <c r="Q109" s="43" t="n">
        <v>8</v>
      </c>
      <c r="R109" s="43" t="n">
        <v>3</v>
      </c>
      <c r="S109" s="45" t="n">
        <v>3000</v>
      </c>
      <c r="T109">
        <f>(S107+S108+S109)=N4</f>
        <v/>
      </c>
      <c r="X109" s="84">
        <f>MAX(S106-S109,0)</f>
        <v/>
      </c>
      <c r="Y109" s="83" t="n">
        <v>0</v>
      </c>
      <c r="AA109" s="84" t="n">
        <v>5</v>
      </c>
      <c r="AB109" s="84" t="inlineStr">
        <is>
          <t>C</t>
        </is>
      </c>
      <c r="AC109" s="84" t="inlineStr">
        <is>
          <t>C+</t>
        </is>
      </c>
      <c r="AD109" s="84" t="n">
        <v>19</v>
      </c>
      <c r="AE109" s="84" t="n">
        <v>13</v>
      </c>
      <c r="AF109" s="84" t="n">
        <v>0.8</v>
      </c>
      <c r="AG109" s="84" t="n">
        <v>0.86</v>
      </c>
      <c r="AH109" s="84" t="n">
        <v>0</v>
      </c>
      <c r="AI109" s="84" t="n">
        <v>0</v>
      </c>
      <c r="AJ109" s="84">
        <f>SUMIFS(AH$8:AH$1039,$O$8:$O$1039,O109,$AB$8:$AB$1039,AB109,$R$8:$R$1039,R109,$AA$8:$AA$1039,"&lt;="&amp;AA109)</f>
        <v/>
      </c>
      <c r="AK109" s="84">
        <f>E10</f>
        <v/>
      </c>
      <c r="AL109" s="84">
        <f>E16</f>
        <v/>
      </c>
      <c r="AM109" s="84">
        <f>MAX(0,AJ109-AK109)</f>
        <v/>
      </c>
      <c r="AN109" s="84">
        <f>IF(AM109=0,AH109,IF(AM109&gt;=AH109,0,AH109-AM109))</f>
        <v/>
      </c>
      <c r="AO109" s="84">
        <f>IF(AM109&gt;=AH109,AI109,AI109*AM109/AH109)</f>
        <v/>
      </c>
      <c r="AP109">
        <f t="array" ref="AP109">INDEX($AU$8:$BB$25,6*(R109-1)+MATCH(AB109,$AS$8:$AS$13,0),MATCH(O109,$AU$7:$BB$7,0))</f>
        <v/>
      </c>
    </row>
    <row r="110" ht="14.25" customHeight="1">
      <c r="O110" s="43" t="inlineStr">
        <is>
          <t>Q1’26</t>
        </is>
      </c>
      <c r="P110" s="43" t="n">
        <v>3</v>
      </c>
      <c r="Q110" s="43" t="n">
        <v>9</v>
      </c>
      <c r="R110" s="43" t="n">
        <v>1</v>
      </c>
      <c r="S110" s="45" t="n">
        <v>0</v>
      </c>
      <c r="T110">
        <f>(S110+S111+S112)=N4</f>
        <v/>
      </c>
      <c r="X110" s="84">
        <f>MAX(S107-S110,0)</f>
        <v/>
      </c>
      <c r="Y110" s="83" t="n">
        <v>0</v>
      </c>
      <c r="AA110" s="84" t="n">
        <v>3</v>
      </c>
      <c r="AB110" s="84" t="inlineStr">
        <is>
          <t>D</t>
        </is>
      </c>
      <c r="AC110" s="84" t="inlineStr">
        <is>
          <t>D+</t>
        </is>
      </c>
      <c r="AD110" s="84" t="n">
        <v>15</v>
      </c>
      <c r="AE110" s="84" t="n">
        <v>13</v>
      </c>
      <c r="AF110" s="84" t="n">
        <v>0.8</v>
      </c>
      <c r="AG110" s="84" t="n">
        <v>0.88</v>
      </c>
      <c r="AH110" s="84" t="n">
        <v>0</v>
      </c>
      <c r="AI110" s="84" t="n">
        <v>0</v>
      </c>
      <c r="AJ110" s="84">
        <f>SUMIFS(AH$8:AH$1039,$O$8:$O$1039,O110,$AB$8:$AB$1039,AB110,$R$8:$R$1039,R110,$AA$8:$AA$1039,"&lt;="&amp;AA110)</f>
        <v/>
      </c>
      <c r="AK110" s="84">
        <f>C11</f>
        <v/>
      </c>
      <c r="AL110" s="84">
        <f>C17</f>
        <v/>
      </c>
      <c r="AM110" s="84">
        <f>MAX(0,AJ110-AK110)</f>
        <v/>
      </c>
      <c r="AN110" s="84">
        <f>IF(AM110=0,AH110,IF(AM110&gt;=AH110,0,AH110-AM110))</f>
        <v/>
      </c>
      <c r="AO110" s="84">
        <f>IF(AM110&gt;=AH110,AI110,AI110*AM110/AH110)</f>
        <v/>
      </c>
      <c r="AP110">
        <f t="array" ref="AP110">INDEX($AU$8:$BB$25,6*(R110-1)+MATCH(AB110,$AS$8:$AS$13,0),MATCH(O110,$AU$7:$BB$7,0))</f>
        <v/>
      </c>
    </row>
    <row r="111" ht="14.25" customHeight="1">
      <c r="O111" s="43" t="inlineStr">
        <is>
          <t>Q1’26</t>
        </is>
      </c>
      <c r="P111" s="43" t="n">
        <v>3</v>
      </c>
      <c r="Q111" s="43" t="n">
        <v>9</v>
      </c>
      <c r="R111" s="43" t="n">
        <v>2</v>
      </c>
      <c r="S111" s="45" t="n">
        <v>0</v>
      </c>
      <c r="T111">
        <f>(S110+S111+S112)=N4</f>
        <v/>
      </c>
      <c r="X111" s="84">
        <f>MAX(S108-S111,0)</f>
        <v/>
      </c>
      <c r="Y111" s="83" t="n">
        <v>0</v>
      </c>
      <c r="AA111" s="84" t="n">
        <v>3</v>
      </c>
      <c r="AB111" s="84" t="inlineStr">
        <is>
          <t>D</t>
        </is>
      </c>
      <c r="AC111" s="84" t="inlineStr">
        <is>
          <t>D+</t>
        </is>
      </c>
      <c r="AD111" s="84" t="n">
        <v>15</v>
      </c>
      <c r="AE111" s="84" t="n">
        <v>13</v>
      </c>
      <c r="AF111" s="84" t="n">
        <v>0.8</v>
      </c>
      <c r="AG111" s="84" t="n">
        <v>0.88</v>
      </c>
      <c r="AH111" s="84" t="n">
        <v>0</v>
      </c>
      <c r="AI111" s="84" t="n">
        <v>0</v>
      </c>
      <c r="AJ111" s="84">
        <f>SUMIFS(AH$8:AH$1039,$O$8:$O$1039,O111,$AB$8:$AB$1039,AB111,$R$8:$R$1039,R111,$AA$8:$AA$1039,"&lt;="&amp;AA111)</f>
        <v/>
      </c>
      <c r="AK111" s="84">
        <f>D11</f>
        <v/>
      </c>
      <c r="AL111" s="84">
        <f>D17</f>
        <v/>
      </c>
      <c r="AM111" s="84">
        <f>MAX(0,AJ111-AK111)</f>
        <v/>
      </c>
      <c r="AN111" s="84">
        <f>IF(AM111=0,AH111,IF(AM111&gt;=AH111,0,AH111-AM111))</f>
        <v/>
      </c>
      <c r="AO111" s="84">
        <f>IF(AM111&gt;=AH111,AI111,AI111*AM111/AH111)</f>
        <v/>
      </c>
      <c r="AP111">
        <f t="array" ref="AP111">INDEX($AU$8:$BB$25,6*(R111-1)+MATCH(AB111,$AS$8:$AS$13,0),MATCH(O111,$AU$7:$BB$7,0))</f>
        <v/>
      </c>
    </row>
    <row r="112" ht="14.25" customHeight="1">
      <c r="O112" s="43" t="inlineStr">
        <is>
          <t>Q1’26</t>
        </is>
      </c>
      <c r="P112" s="43" t="n">
        <v>3</v>
      </c>
      <c r="Q112" s="43" t="n">
        <v>9</v>
      </c>
      <c r="R112" s="43" t="n">
        <v>3</v>
      </c>
      <c r="S112" s="45" t="n">
        <v>3000</v>
      </c>
      <c r="T112">
        <f>(S110+S111+S112)=N4</f>
        <v/>
      </c>
      <c r="X112" s="84">
        <f>MAX(S109-S112,0)</f>
        <v/>
      </c>
      <c r="Y112" s="83" t="n">
        <v>0</v>
      </c>
      <c r="AA112" s="84" t="n">
        <v>3</v>
      </c>
      <c r="AB112" s="84" t="inlineStr">
        <is>
          <t>D</t>
        </is>
      </c>
      <c r="AC112" s="84" t="inlineStr">
        <is>
          <t>D+</t>
        </is>
      </c>
      <c r="AD112" s="84" t="n">
        <v>15</v>
      </c>
      <c r="AE112" s="84" t="n">
        <v>13</v>
      </c>
      <c r="AF112" s="84" t="n">
        <v>0.8</v>
      </c>
      <c r="AG112" s="84" t="n">
        <v>0.88</v>
      </c>
      <c r="AH112" s="84" t="n">
        <v>0</v>
      </c>
      <c r="AI112" s="84" t="n">
        <v>0</v>
      </c>
      <c r="AJ112" s="84">
        <f>SUMIFS(AH$8:AH$1039,$O$8:$O$1039,O112,$AB$8:$AB$1039,AB112,$R$8:$R$1039,R112,$AA$8:$AA$1039,"&lt;="&amp;AA112)</f>
        <v/>
      </c>
      <c r="AK112" s="84">
        <f>E11</f>
        <v/>
      </c>
      <c r="AL112" s="84">
        <f>E17</f>
        <v/>
      </c>
      <c r="AM112" s="84">
        <f>MAX(0,AJ112-AK112)</f>
        <v/>
      </c>
      <c r="AN112" s="84">
        <f>IF(AM112=0,AH112,IF(AM112&gt;=AH112,0,AH112-AM112))</f>
        <v/>
      </c>
      <c r="AO112" s="84">
        <f>IF(AM112&gt;=AH112,AI112,AI112*AM112/AH112)</f>
        <v/>
      </c>
      <c r="AP112">
        <f t="array" ref="AP112">INDEX($AU$8:$BB$25,6*(R112-1)+MATCH(AB112,$AS$8:$AS$13,0),MATCH(O112,$AU$7:$BB$7,0))</f>
        <v/>
      </c>
    </row>
    <row r="113" ht="14.25" customHeight="1">
      <c r="O113" s="43" t="inlineStr">
        <is>
          <t>Q1’26</t>
        </is>
      </c>
      <c r="P113" s="43" t="n">
        <v>3</v>
      </c>
      <c r="Q113" s="43" t="n">
        <v>10</v>
      </c>
      <c r="R113" s="43" t="n">
        <v>1</v>
      </c>
      <c r="S113" s="45" t="n">
        <v>0</v>
      </c>
      <c r="T113">
        <f>(S113+S114+S115)=N4</f>
        <v/>
      </c>
      <c r="X113" s="84">
        <f>MAX(S110-S113,0)</f>
        <v/>
      </c>
      <c r="Y113" s="83" t="n">
        <v>0</v>
      </c>
      <c r="AA113" s="84" t="n">
        <v>5</v>
      </c>
      <c r="AB113" s="84" t="inlineStr">
        <is>
          <t>D</t>
        </is>
      </c>
      <c r="AC113" s="84" t="inlineStr">
        <is>
          <t>D+</t>
        </is>
      </c>
      <c r="AD113" s="84" t="n">
        <v>24</v>
      </c>
      <c r="AE113" s="84" t="n">
        <v>20</v>
      </c>
      <c r="AF113" s="84" t="n">
        <v>0.8</v>
      </c>
      <c r="AG113" s="84" t="n">
        <v>0.88</v>
      </c>
      <c r="AH113" s="84" t="n">
        <v>0</v>
      </c>
      <c r="AI113" s="84" t="n">
        <v>0</v>
      </c>
      <c r="AJ113" s="84">
        <f>SUMIFS(AH$8:AH$1039,$O$8:$O$1039,O113,$AB$8:$AB$1039,AB113,$R$8:$R$1039,R113,$AA$8:$AA$1039,"&lt;="&amp;AA113)</f>
        <v/>
      </c>
      <c r="AK113" s="84">
        <f>C11</f>
        <v/>
      </c>
      <c r="AL113" s="84">
        <f>C17</f>
        <v/>
      </c>
      <c r="AM113" s="84">
        <f>MAX(0,AJ113-AK113)</f>
        <v/>
      </c>
      <c r="AN113" s="84">
        <f>IF(AM113=0,AH113,IF(AM113&gt;=AH113,0,AH113-AM113))</f>
        <v/>
      </c>
      <c r="AO113" s="84">
        <f>IF(AM113&gt;=AH113,AI113,AI113*AM113/AH113)</f>
        <v/>
      </c>
      <c r="AP113">
        <f t="array" ref="AP113">INDEX($AU$8:$BB$25,6*(R113-1)+MATCH(AB113,$AS$8:$AS$13,0),MATCH(O113,$AU$7:$BB$7,0))</f>
        <v/>
      </c>
    </row>
    <row r="114" ht="14.25" customHeight="1">
      <c r="O114" s="43" t="inlineStr">
        <is>
          <t>Q1’26</t>
        </is>
      </c>
      <c r="P114" s="43" t="n">
        <v>3</v>
      </c>
      <c r="Q114" s="43" t="n">
        <v>10</v>
      </c>
      <c r="R114" s="43" t="n">
        <v>2</v>
      </c>
      <c r="S114" s="45" t="n">
        <v>-0</v>
      </c>
      <c r="T114">
        <f>(S113+S114+S115)=N4</f>
        <v/>
      </c>
      <c r="X114" s="84">
        <f>MAX(S111-S114,0)</f>
        <v/>
      </c>
      <c r="Y114" s="83" t="n">
        <v>0</v>
      </c>
      <c r="AA114" s="84" t="n">
        <v>5</v>
      </c>
      <c r="AB114" s="84" t="inlineStr">
        <is>
          <t>D</t>
        </is>
      </c>
      <c r="AC114" s="84" t="inlineStr">
        <is>
          <t>D+</t>
        </is>
      </c>
      <c r="AD114" s="84" t="n">
        <v>24</v>
      </c>
      <c r="AE114" s="84" t="n">
        <v>20</v>
      </c>
      <c r="AF114" s="84" t="n">
        <v>0.8</v>
      </c>
      <c r="AG114" s="84" t="n">
        <v>0.88</v>
      </c>
      <c r="AH114" s="84" t="n">
        <v>0</v>
      </c>
      <c r="AI114" s="84" t="n">
        <v>0</v>
      </c>
      <c r="AJ114" s="84">
        <f>SUMIFS(AH$8:AH$1039,$O$8:$O$1039,O114,$AB$8:$AB$1039,AB114,$R$8:$R$1039,R114,$AA$8:$AA$1039,"&lt;="&amp;AA114)</f>
        <v/>
      </c>
      <c r="AK114" s="84">
        <f>D11</f>
        <v/>
      </c>
      <c r="AL114" s="84">
        <f>D17</f>
        <v/>
      </c>
      <c r="AM114" s="84">
        <f>MAX(0,AJ114-AK114)</f>
        <v/>
      </c>
      <c r="AN114" s="84">
        <f>IF(AM114=0,AH114,IF(AM114&gt;=AH114,0,AH114-AM114))</f>
        <v/>
      </c>
      <c r="AO114" s="84">
        <f>IF(AM114&gt;=AH114,AI114,AI114*AM114/AH114)</f>
        <v/>
      </c>
      <c r="AP114">
        <f t="array" ref="AP114">INDEX($AU$8:$BB$25,6*(R114-1)+MATCH(AB114,$AS$8:$AS$13,0),MATCH(O114,$AU$7:$BB$7,0))</f>
        <v/>
      </c>
    </row>
    <row r="115" ht="14.25" customHeight="1">
      <c r="O115" s="43" t="inlineStr">
        <is>
          <t>Q1’26</t>
        </is>
      </c>
      <c r="P115" s="43" t="n">
        <v>3</v>
      </c>
      <c r="Q115" s="43" t="n">
        <v>10</v>
      </c>
      <c r="R115" s="43" t="n">
        <v>3</v>
      </c>
      <c r="S115" s="45" t="n">
        <v>3000</v>
      </c>
      <c r="T115">
        <f>(S113+S114+S115)=N4</f>
        <v/>
      </c>
      <c r="X115" s="84">
        <f>MAX(S112-S115,0)</f>
        <v/>
      </c>
      <c r="Y115" s="83" t="n">
        <v>0</v>
      </c>
      <c r="AA115" s="84" t="n">
        <v>5</v>
      </c>
      <c r="AB115" s="84" t="inlineStr">
        <is>
          <t>D</t>
        </is>
      </c>
      <c r="AC115" s="84" t="inlineStr">
        <is>
          <t>D+</t>
        </is>
      </c>
      <c r="AD115" s="84" t="n">
        <v>24</v>
      </c>
      <c r="AE115" s="84" t="n">
        <v>20</v>
      </c>
      <c r="AF115" s="84" t="n">
        <v>0.8</v>
      </c>
      <c r="AG115" s="84" t="n">
        <v>0.88</v>
      </c>
      <c r="AH115" s="84" t="n">
        <v>0</v>
      </c>
      <c r="AI115" s="84" t="n">
        <v>0</v>
      </c>
      <c r="AJ115" s="84">
        <f>SUMIFS(AH$8:AH$1039,$O$8:$O$1039,O115,$AB$8:$AB$1039,AB115,$R$8:$R$1039,R115,$AA$8:$AA$1039,"&lt;="&amp;AA115)</f>
        <v/>
      </c>
      <c r="AK115" s="84">
        <f>E11</f>
        <v/>
      </c>
      <c r="AL115" s="84">
        <f>E17</f>
        <v/>
      </c>
      <c r="AM115" s="84">
        <f>MAX(0,AJ115-AK115)</f>
        <v/>
      </c>
      <c r="AN115" s="84">
        <f>IF(AM115=0,AH115,IF(AM115&gt;=AH115,0,AH115-AM115))</f>
        <v/>
      </c>
      <c r="AO115" s="84">
        <f>IF(AM115&gt;=AH115,AI115,AI115*AM115/AH115)</f>
        <v/>
      </c>
      <c r="AP115">
        <f t="array" ref="AP115">INDEX($AU$8:$BB$25,6*(R115-1)+MATCH(AB115,$AS$8:$AS$13,0),MATCH(O115,$AU$7:$BB$7,0))</f>
        <v/>
      </c>
    </row>
    <row r="116" ht="14.25" customHeight="1">
      <c r="O116" s="43" t="inlineStr">
        <is>
          <t>Q1’26</t>
        </is>
      </c>
      <c r="P116" s="43" t="n">
        <v>3</v>
      </c>
      <c r="Q116" s="43" t="n">
        <v>11</v>
      </c>
      <c r="R116" s="43" t="n">
        <v>1</v>
      </c>
      <c r="S116" s="45" t="n">
        <v>0</v>
      </c>
      <c r="T116">
        <f>(S116+S117+S118)=N4</f>
        <v/>
      </c>
      <c r="X116" s="84">
        <f>MAX(S113-S116,0)</f>
        <v/>
      </c>
      <c r="Y116" s="83" t="n">
        <v>0</v>
      </c>
      <c r="AA116" s="84" t="n">
        <v>3</v>
      </c>
      <c r="AB116" s="84" t="inlineStr">
        <is>
          <t>E</t>
        </is>
      </c>
      <c r="AC116" s="84" t="inlineStr">
        <is>
          <t>E+</t>
        </is>
      </c>
      <c r="AD116" s="84" t="n">
        <v>17</v>
      </c>
      <c r="AE116" s="84" t="n">
        <v>15</v>
      </c>
      <c r="AF116" s="84" t="n">
        <v>0.76</v>
      </c>
      <c r="AG116" s="84" t="n">
        <v>0.84</v>
      </c>
      <c r="AH116" s="84" t="n">
        <v>0</v>
      </c>
      <c r="AI116" s="84" t="n">
        <v>0</v>
      </c>
      <c r="AJ116" s="84">
        <f>SUMIFS(AH$8:AH$1039,$O$8:$O$1039,O116,$AB$8:$AB$1039,AB116,$R$8:$R$1039,R116,$AA$8:$AA$1039,"&lt;="&amp;AA116)</f>
        <v/>
      </c>
      <c r="AK116" s="84">
        <f>C12</f>
        <v/>
      </c>
      <c r="AL116" s="84">
        <f>C18</f>
        <v/>
      </c>
      <c r="AM116" s="84">
        <f>MAX(0,AJ116-AK116)</f>
        <v/>
      </c>
      <c r="AN116" s="84">
        <f>IF(AM116=0,AH116,IF(AM116&gt;=AH116,0,AH116-AM116))</f>
        <v/>
      </c>
      <c r="AO116" s="84">
        <f>IF(AM116&gt;=AH116,AI116,AI116*AM116/AH116)</f>
        <v/>
      </c>
      <c r="AP116">
        <f t="array" ref="AP116">INDEX($AU$8:$BB$25,6*(R116-1)+MATCH(AB116,$AS$8:$AS$13,0),MATCH(O116,$AU$7:$BB$7,0))</f>
        <v/>
      </c>
    </row>
    <row r="117" ht="14.25" customHeight="1">
      <c r="O117" s="43" t="inlineStr">
        <is>
          <t>Q1’26</t>
        </is>
      </c>
      <c r="P117" s="43" t="n">
        <v>3</v>
      </c>
      <c r="Q117" s="43" t="n">
        <v>11</v>
      </c>
      <c r="R117" s="43" t="n">
        <v>2</v>
      </c>
      <c r="S117" s="45" t="n">
        <v>-0</v>
      </c>
      <c r="T117">
        <f>(S116+S117+S118)=N4</f>
        <v/>
      </c>
      <c r="X117" s="84">
        <f>MAX(S114-S117,0)</f>
        <v/>
      </c>
      <c r="Y117" s="83" t="n">
        <v>0</v>
      </c>
      <c r="AA117" s="84" t="n">
        <v>3</v>
      </c>
      <c r="AB117" s="84" t="inlineStr">
        <is>
          <t>E</t>
        </is>
      </c>
      <c r="AC117" s="84" t="inlineStr">
        <is>
          <t>E+</t>
        </is>
      </c>
      <c r="AD117" s="84" t="n">
        <v>17</v>
      </c>
      <c r="AE117" s="84" t="n">
        <v>15</v>
      </c>
      <c r="AF117" s="84" t="n">
        <v>0.76</v>
      </c>
      <c r="AG117" s="84" t="n">
        <v>0.84</v>
      </c>
      <c r="AH117" s="84" t="n">
        <v>0</v>
      </c>
      <c r="AI117" s="84" t="n">
        <v>0</v>
      </c>
      <c r="AJ117" s="84">
        <f>SUMIFS(AH$8:AH$1039,$O$8:$O$1039,O117,$AB$8:$AB$1039,AB117,$R$8:$R$1039,R117,$AA$8:$AA$1039,"&lt;="&amp;AA117)</f>
        <v/>
      </c>
      <c r="AK117" s="84">
        <f>D12</f>
        <v/>
      </c>
      <c r="AL117" s="84">
        <f>D18</f>
        <v/>
      </c>
      <c r="AM117" s="84">
        <f>MAX(0,AJ117-AK117)</f>
        <v/>
      </c>
      <c r="AN117" s="84">
        <f>IF(AM117=0,AH117,IF(AM117&gt;=AH117,0,AH117-AM117))</f>
        <v/>
      </c>
      <c r="AO117" s="84">
        <f>IF(AM117&gt;=AH117,AI117,AI117*AM117/AH117)</f>
        <v/>
      </c>
      <c r="AP117">
        <f t="array" ref="AP117">INDEX($AU$8:$BB$25,6*(R117-1)+MATCH(AB117,$AS$8:$AS$13,0),MATCH(O117,$AU$7:$BB$7,0))</f>
        <v/>
      </c>
    </row>
    <row r="118" ht="14.25" customHeight="1">
      <c r="O118" s="43" t="inlineStr">
        <is>
          <t>Q1’26</t>
        </is>
      </c>
      <c r="P118" s="43" t="n">
        <v>3</v>
      </c>
      <c r="Q118" s="43" t="n">
        <v>11</v>
      </c>
      <c r="R118" s="43" t="n">
        <v>3</v>
      </c>
      <c r="S118" s="45" t="n">
        <v>3000</v>
      </c>
      <c r="T118">
        <f>(S116+S117+S118)=N4</f>
        <v/>
      </c>
      <c r="X118" s="84">
        <f>MAX(S115-S118,0)</f>
        <v/>
      </c>
      <c r="Y118" s="83" t="n">
        <v>0</v>
      </c>
      <c r="AA118" s="84" t="n">
        <v>3</v>
      </c>
      <c r="AB118" s="84" t="inlineStr">
        <is>
          <t>E</t>
        </is>
      </c>
      <c r="AC118" s="84" t="inlineStr">
        <is>
          <t>E+</t>
        </is>
      </c>
      <c r="AD118" s="84" t="n">
        <v>17</v>
      </c>
      <c r="AE118" s="84" t="n">
        <v>15</v>
      </c>
      <c r="AF118" s="84" t="n">
        <v>0.76</v>
      </c>
      <c r="AG118" s="84" t="n">
        <v>0.84</v>
      </c>
      <c r="AH118" s="84" t="n">
        <v>0</v>
      </c>
      <c r="AI118" s="84" t="n">
        <v>0</v>
      </c>
      <c r="AJ118" s="84">
        <f>SUMIFS(AH$8:AH$1039,$O$8:$O$1039,O118,$AB$8:$AB$1039,AB118,$R$8:$R$1039,R118,$AA$8:$AA$1039,"&lt;="&amp;AA118)</f>
        <v/>
      </c>
      <c r="AK118" s="84">
        <f>E12</f>
        <v/>
      </c>
      <c r="AL118" s="84">
        <f>E18</f>
        <v/>
      </c>
      <c r="AM118" s="84">
        <f>MAX(0,AJ118-AK118)</f>
        <v/>
      </c>
      <c r="AN118" s="84">
        <f>IF(AM118=0,AH118,IF(AM118&gt;=AH118,0,AH118-AM118))</f>
        <v/>
      </c>
      <c r="AO118" s="84">
        <f>IF(AM118&gt;=AH118,AI118,AI118*AM118/AH118)</f>
        <v/>
      </c>
      <c r="AP118">
        <f t="array" ref="AP118">INDEX($AU$8:$BB$25,6*(R118-1)+MATCH(AB118,$AS$8:$AS$13,0),MATCH(O118,$AU$7:$BB$7,0))</f>
        <v/>
      </c>
    </row>
    <row r="119" ht="14.25" customHeight="1">
      <c r="O119" s="43" t="inlineStr">
        <is>
          <t>Q1’26</t>
        </is>
      </c>
      <c r="P119" s="43" t="n">
        <v>3</v>
      </c>
      <c r="Q119" s="43" t="n">
        <v>12</v>
      </c>
      <c r="R119" s="43" t="n">
        <v>1</v>
      </c>
      <c r="S119" s="45" t="n">
        <v>0</v>
      </c>
      <c r="T119">
        <f>(S119+S120+S121)=N4</f>
        <v/>
      </c>
      <c r="X119" s="84">
        <f>MAX(S116-S119,0)</f>
        <v/>
      </c>
      <c r="Y119" s="83" t="n">
        <v>0</v>
      </c>
      <c r="AA119" s="84" t="n">
        <v>10</v>
      </c>
      <c r="AB119" s="84" t="inlineStr">
        <is>
          <t>E</t>
        </is>
      </c>
      <c r="AC119" s="84" t="inlineStr">
        <is>
          <t>E+</t>
        </is>
      </c>
      <c r="AD119" s="84" t="n">
        <v>18</v>
      </c>
      <c r="AE119" s="84" t="n">
        <v>13</v>
      </c>
      <c r="AF119" s="84" t="n">
        <v>0.76</v>
      </c>
      <c r="AG119" s="84" t="n">
        <v>0.84</v>
      </c>
      <c r="AH119" s="84" t="n">
        <v>0</v>
      </c>
      <c r="AI119" s="84" t="n">
        <v>0</v>
      </c>
      <c r="AJ119" s="84">
        <f>SUMIFS(AH$8:AH$1039,$O$8:$O$1039,O119,$AB$8:$AB$1039,AB119,$R$8:$R$1039,R119,$AA$8:$AA$1039,"&lt;="&amp;AA119)</f>
        <v/>
      </c>
      <c r="AK119" s="84">
        <f>C12</f>
        <v/>
      </c>
      <c r="AL119" s="84">
        <f>C18</f>
        <v/>
      </c>
      <c r="AM119" s="84">
        <f>MAX(0,AJ119-AK119)</f>
        <v/>
      </c>
      <c r="AN119" s="84">
        <f>IF(AM119=0,AH119,IF(AM119&gt;=AH119,0,AH119-AM119))</f>
        <v/>
      </c>
      <c r="AO119" s="84">
        <f>IF(AM119&gt;=AH119,AI119,AI119*AM119/AH119)</f>
        <v/>
      </c>
      <c r="AP119">
        <f t="array" ref="AP119">INDEX($AU$8:$BB$25,6*(R119-1)+MATCH(AB119,$AS$8:$AS$13,0),MATCH(O119,$AU$7:$BB$7,0))</f>
        <v/>
      </c>
    </row>
    <row r="120" ht="14.25" customHeight="1">
      <c r="O120" s="43" t="inlineStr">
        <is>
          <t>Q1’26</t>
        </is>
      </c>
      <c r="P120" s="43" t="n">
        <v>3</v>
      </c>
      <c r="Q120" s="43" t="n">
        <v>12</v>
      </c>
      <c r="R120" s="43" t="n">
        <v>2</v>
      </c>
      <c r="S120" s="45" t="n">
        <v>-0</v>
      </c>
      <c r="T120">
        <f>(S119+S120+S121)=N4</f>
        <v/>
      </c>
      <c r="X120" s="84">
        <f>MAX(S117-S120,0)</f>
        <v/>
      </c>
      <c r="Y120" s="83" t="n">
        <v>0</v>
      </c>
      <c r="AA120" s="84" t="n">
        <v>10</v>
      </c>
      <c r="AB120" s="84" t="inlineStr">
        <is>
          <t>E</t>
        </is>
      </c>
      <c r="AC120" s="84" t="inlineStr">
        <is>
          <t>E+</t>
        </is>
      </c>
      <c r="AD120" s="84" t="n">
        <v>18</v>
      </c>
      <c r="AE120" s="84" t="n">
        <v>13</v>
      </c>
      <c r="AF120" s="84" t="n">
        <v>0.76</v>
      </c>
      <c r="AG120" s="84" t="n">
        <v>0.84</v>
      </c>
      <c r="AH120" s="84" t="n">
        <v>0</v>
      </c>
      <c r="AI120" s="84" t="n">
        <v>0</v>
      </c>
      <c r="AJ120" s="84">
        <f>SUMIFS(AH$8:AH$1039,$O$8:$O$1039,O120,$AB$8:$AB$1039,AB120,$R$8:$R$1039,R120,$AA$8:$AA$1039,"&lt;="&amp;AA120)</f>
        <v/>
      </c>
      <c r="AK120" s="84">
        <f>D12</f>
        <v/>
      </c>
      <c r="AL120" s="84">
        <f>D18</f>
        <v/>
      </c>
      <c r="AM120" s="84">
        <f>MAX(0,AJ120-AK120)</f>
        <v/>
      </c>
      <c r="AN120" s="84">
        <f>IF(AM120=0,AH120,IF(AM120&gt;=AH120,0,AH120-AM120))</f>
        <v/>
      </c>
      <c r="AO120" s="84">
        <f>IF(AM120&gt;=AH120,AI120,AI120*AM120/AH120)</f>
        <v/>
      </c>
      <c r="AP120">
        <f t="array" ref="AP120">INDEX($AU$8:$BB$25,6*(R120-1)+MATCH(AB120,$AS$8:$AS$13,0),MATCH(O120,$AU$7:$BB$7,0))</f>
        <v/>
      </c>
    </row>
    <row r="121" ht="14.25" customHeight="1">
      <c r="O121" s="43" t="inlineStr">
        <is>
          <t>Q1’26</t>
        </is>
      </c>
      <c r="P121" s="43" t="n">
        <v>3</v>
      </c>
      <c r="Q121" s="43" t="n">
        <v>12</v>
      </c>
      <c r="R121" s="43" t="n">
        <v>3</v>
      </c>
      <c r="S121" s="45" t="n">
        <v>3000</v>
      </c>
      <c r="T121">
        <f>(S119+S120+S121)=N4</f>
        <v/>
      </c>
      <c r="X121" s="84">
        <f>MAX(S118-S121,0)</f>
        <v/>
      </c>
      <c r="Y121" s="83" t="n">
        <v>0</v>
      </c>
      <c r="AA121" s="84" t="n">
        <v>10</v>
      </c>
      <c r="AB121" s="84" t="inlineStr">
        <is>
          <t>E</t>
        </is>
      </c>
      <c r="AC121" s="84" t="inlineStr">
        <is>
          <t>E+</t>
        </is>
      </c>
      <c r="AD121" s="84" t="n">
        <v>18</v>
      </c>
      <c r="AE121" s="84" t="n">
        <v>13</v>
      </c>
      <c r="AF121" s="84" t="n">
        <v>0.76</v>
      </c>
      <c r="AG121" s="84" t="n">
        <v>0.84</v>
      </c>
      <c r="AH121" s="84" t="n">
        <v>0</v>
      </c>
      <c r="AI121" s="84" t="n">
        <v>0</v>
      </c>
      <c r="AJ121" s="84">
        <f>SUMIFS(AH$8:AH$1039,$O$8:$O$1039,O121,$AB$8:$AB$1039,AB121,$R$8:$R$1039,R121,$AA$8:$AA$1039,"&lt;="&amp;AA121)</f>
        <v/>
      </c>
      <c r="AK121" s="84">
        <f>E12</f>
        <v/>
      </c>
      <c r="AL121" s="84">
        <f>E18</f>
        <v/>
      </c>
      <c r="AM121" s="84">
        <f>MAX(0,AJ121-AK121)</f>
        <v/>
      </c>
      <c r="AN121" s="84">
        <f>IF(AM121=0,AH121,IF(AM121&gt;=AH121,0,AH121-AM121))</f>
        <v/>
      </c>
      <c r="AO121" s="84">
        <f>IF(AM121&gt;=AH121,AI121,AI121*AM121/AH121)</f>
        <v/>
      </c>
      <c r="AP121">
        <f t="array" ref="AP121">INDEX($AU$8:$BB$25,6*(R121-1)+MATCH(AB121,$AS$8:$AS$13,0),MATCH(O121,$AU$7:$BB$7,0))</f>
        <v/>
      </c>
    </row>
    <row r="122" ht="14.25" customHeight="1">
      <c r="O122" s="43" t="inlineStr">
        <is>
          <t>Q1’26</t>
        </is>
      </c>
      <c r="P122" s="43" t="n">
        <v>3</v>
      </c>
      <c r="Q122" s="43" t="n">
        <v>13</v>
      </c>
      <c r="R122" s="43" t="n">
        <v>1</v>
      </c>
      <c r="S122" s="45" t="n">
        <v>0</v>
      </c>
      <c r="T122">
        <f>(S122+S123+S124)=N4</f>
        <v/>
      </c>
      <c r="X122" s="84">
        <f>MAX(S119-S122,0)</f>
        <v/>
      </c>
      <c r="Y122" s="83" t="n">
        <v>0</v>
      </c>
      <c r="AA122" s="84" t="n">
        <v>2</v>
      </c>
      <c r="AB122" s="84" t="inlineStr">
        <is>
          <t>F</t>
        </is>
      </c>
      <c r="AC122" s="84" t="inlineStr">
        <is>
          <t>F+</t>
        </is>
      </c>
      <c r="AD122" s="84" t="n">
        <v>20</v>
      </c>
      <c r="AE122" s="84" t="n">
        <v>18</v>
      </c>
      <c r="AF122" s="84" t="n">
        <v>0.8</v>
      </c>
      <c r="AG122" s="84" t="n">
        <v>0.9</v>
      </c>
      <c r="AH122" s="84" t="n">
        <v>0</v>
      </c>
      <c r="AI122" s="84" t="n">
        <v>0</v>
      </c>
      <c r="AJ122" s="84">
        <f>SUMIFS(AH$8:AH$1039,$O$8:$O$1039,O122,$AB$8:$AB$1039,AB122,$R$8:$R$1039,R122,$AA$8:$AA$1039,"&lt;="&amp;AA122)</f>
        <v/>
      </c>
      <c r="AK122" s="84">
        <f>C13</f>
        <v/>
      </c>
      <c r="AL122" s="84">
        <f>C19</f>
        <v/>
      </c>
      <c r="AM122" s="84">
        <f>MAX(0,AJ122-AK122)</f>
        <v/>
      </c>
      <c r="AN122" s="84">
        <f>IF(AM122=0,AH122,IF(AM122&gt;=AH122,0,AH122-AM122))</f>
        <v/>
      </c>
      <c r="AO122" s="84">
        <f>IF(AM122&gt;=AH122,AI122,AI122*AM122/AH122)</f>
        <v/>
      </c>
      <c r="AP122">
        <f t="array" ref="AP122">INDEX($AU$8:$BB$25,6*(R122-1)+MATCH(AB122,$AS$8:$AS$13,0),MATCH(O122,$AU$7:$BB$7,0))</f>
        <v/>
      </c>
    </row>
    <row r="123" ht="14.25" customHeight="1">
      <c r="O123" s="43" t="inlineStr">
        <is>
          <t>Q1’26</t>
        </is>
      </c>
      <c r="P123" s="43" t="n">
        <v>3</v>
      </c>
      <c r="Q123" s="43" t="n">
        <v>13</v>
      </c>
      <c r="R123" s="43" t="n">
        <v>2</v>
      </c>
      <c r="S123" s="45" t="n">
        <v>-0</v>
      </c>
      <c r="T123">
        <f>(S122+S123+S124)=N4</f>
        <v/>
      </c>
      <c r="X123" s="84">
        <f>MAX(S120-S123,0)</f>
        <v/>
      </c>
      <c r="Y123" s="83" t="n">
        <v>0</v>
      </c>
      <c r="AA123" s="84" t="n">
        <v>2</v>
      </c>
      <c r="AB123" s="84" t="inlineStr">
        <is>
          <t>F</t>
        </is>
      </c>
      <c r="AC123" s="84" t="inlineStr">
        <is>
          <t>F+</t>
        </is>
      </c>
      <c r="AD123" s="84" t="n">
        <v>20</v>
      </c>
      <c r="AE123" s="84" t="n">
        <v>18</v>
      </c>
      <c r="AF123" s="84" t="n">
        <v>0.8</v>
      </c>
      <c r="AG123" s="84" t="n">
        <v>0.9</v>
      </c>
      <c r="AH123" s="84" t="n">
        <v>0</v>
      </c>
      <c r="AI123" s="84" t="n">
        <v>0</v>
      </c>
      <c r="AJ123" s="84">
        <f>SUMIFS(AH$8:AH$1039,$O$8:$O$1039,O123,$AB$8:$AB$1039,AB123,$R$8:$R$1039,R123,$AA$8:$AA$1039,"&lt;="&amp;AA123)</f>
        <v/>
      </c>
      <c r="AK123" s="84">
        <f>D13</f>
        <v/>
      </c>
      <c r="AL123" s="84">
        <f>D19</f>
        <v/>
      </c>
      <c r="AM123" s="84">
        <f>MAX(0,AJ123-AK123)</f>
        <v/>
      </c>
      <c r="AN123" s="84">
        <f>IF(AM123=0,AH123,IF(AM123&gt;=AH123,0,AH123-AM123))</f>
        <v/>
      </c>
      <c r="AO123" s="84">
        <f>IF(AM123&gt;=AH123,AI123,AI123*AM123/AH123)</f>
        <v/>
      </c>
      <c r="AP123">
        <f t="array" ref="AP123">INDEX($AU$8:$BB$25,6*(R123-1)+MATCH(AB123,$AS$8:$AS$13,0),MATCH(O123,$AU$7:$BB$7,0))</f>
        <v/>
      </c>
    </row>
    <row r="124" ht="14.25" customHeight="1">
      <c r="O124" s="43" t="inlineStr">
        <is>
          <t>Q1’26</t>
        </is>
      </c>
      <c r="P124" s="43" t="n">
        <v>3</v>
      </c>
      <c r="Q124" s="43" t="n">
        <v>13</v>
      </c>
      <c r="R124" s="43" t="n">
        <v>3</v>
      </c>
      <c r="S124" s="45" t="n">
        <v>3000</v>
      </c>
      <c r="T124">
        <f>(S122+S123+S124)=N4</f>
        <v/>
      </c>
      <c r="X124" s="84">
        <f>MAX(S121-S124,0)</f>
        <v/>
      </c>
      <c r="Y124" s="83" t="n">
        <v>0</v>
      </c>
      <c r="AA124" s="84" t="n">
        <v>2</v>
      </c>
      <c r="AB124" s="84" t="inlineStr">
        <is>
          <t>F</t>
        </is>
      </c>
      <c r="AC124" s="84" t="inlineStr">
        <is>
          <t>F+</t>
        </is>
      </c>
      <c r="AD124" s="84" t="n">
        <v>20</v>
      </c>
      <c r="AE124" s="84" t="n">
        <v>18</v>
      </c>
      <c r="AF124" s="84" t="n">
        <v>0.8</v>
      </c>
      <c r="AG124" s="84" t="n">
        <v>0.9</v>
      </c>
      <c r="AH124" s="84" t="n">
        <v>0</v>
      </c>
      <c r="AI124" s="84" t="n">
        <v>0</v>
      </c>
      <c r="AJ124" s="84">
        <f>SUMIFS(AH$8:AH$1039,$O$8:$O$1039,O124,$AB$8:$AB$1039,AB124,$R$8:$R$1039,R124,$AA$8:$AA$1039,"&lt;="&amp;AA124)</f>
        <v/>
      </c>
      <c r="AK124" s="84">
        <f>E13</f>
        <v/>
      </c>
      <c r="AL124" s="84">
        <f>E19</f>
        <v/>
      </c>
      <c r="AM124" s="84">
        <f>MAX(0,AJ124-AK124)</f>
        <v/>
      </c>
      <c r="AN124" s="84">
        <f>IF(AM124=0,AH124,IF(AM124&gt;=AH124,0,AH124-AM124))</f>
        <v/>
      </c>
      <c r="AO124" s="84">
        <f>IF(AM124&gt;=AH124,AI124,AI124*AM124/AH124)</f>
        <v/>
      </c>
      <c r="AP124">
        <f t="array" ref="AP124">INDEX($AU$8:$BB$25,6*(R124-1)+MATCH(AB124,$AS$8:$AS$13,0),MATCH(O124,$AU$7:$BB$7,0))</f>
        <v/>
      </c>
    </row>
    <row r="125" ht="14.25" customHeight="1">
      <c r="O125" s="43" t="inlineStr">
        <is>
          <t>Q1’26</t>
        </is>
      </c>
      <c r="P125" s="43" t="n">
        <v>3</v>
      </c>
      <c r="Q125" s="43" t="n">
        <v>14</v>
      </c>
      <c r="R125" s="43" t="n">
        <v>1</v>
      </c>
      <c r="S125" s="45" t="n">
        <v>0</v>
      </c>
      <c r="T125">
        <f>(S125+S126+S127)=N4</f>
        <v/>
      </c>
      <c r="X125" s="84">
        <f>MAX(S122-S125,0)</f>
        <v/>
      </c>
      <c r="Y125" s="83" t="n">
        <v>0</v>
      </c>
      <c r="AA125" s="84" t="n">
        <v>2</v>
      </c>
      <c r="AB125" s="84" t="inlineStr">
        <is>
          <t>C</t>
        </is>
      </c>
      <c r="AC125" s="84" t="inlineStr">
        <is>
          <t>C+</t>
        </is>
      </c>
      <c r="AD125" s="84" t="n">
        <v>12</v>
      </c>
      <c r="AE125" s="84" t="n">
        <v>11</v>
      </c>
      <c r="AF125" s="84" t="n">
        <v>0.8</v>
      </c>
      <c r="AG125" s="84" t="n">
        <v>0.86</v>
      </c>
      <c r="AH125" s="84" t="n">
        <v>0</v>
      </c>
      <c r="AI125" s="84" t="n">
        <v>0</v>
      </c>
      <c r="AJ125" s="84">
        <f>SUMIFS(AH$8:AH$1039,$O$8:$O$1039,O125,$AB$8:$AB$1039,AB125,$R$8:$R$1039,R125,$AA$8:$AA$1039,"&lt;="&amp;AA125)</f>
        <v/>
      </c>
      <c r="AK125" s="84">
        <f>C10</f>
        <v/>
      </c>
      <c r="AL125" s="84">
        <f>C16</f>
        <v/>
      </c>
      <c r="AM125" s="84">
        <f>MAX(0,AJ125-AK125)</f>
        <v/>
      </c>
      <c r="AN125" s="84">
        <f>IF(AM125=0,AH125,IF(AM125&gt;=AH125,0,AH125-AM125))</f>
        <v/>
      </c>
      <c r="AO125" s="84">
        <f>IF(AM125&gt;=AH125,AI125,AI125*AM125/AH125)</f>
        <v/>
      </c>
      <c r="AP125">
        <f t="array" ref="AP125">INDEX($AU$8:$BB$25,6*(R125-1)+MATCH(AB125,$AS$8:$AS$13,0),MATCH(O125,$AU$7:$BB$7,0))</f>
        <v/>
      </c>
    </row>
    <row r="126" ht="14.25" customHeight="1">
      <c r="O126" s="43" t="inlineStr">
        <is>
          <t>Q1’26</t>
        </is>
      </c>
      <c r="P126" s="43" t="n">
        <v>3</v>
      </c>
      <c r="Q126" s="43" t="n">
        <v>14</v>
      </c>
      <c r="R126" s="43" t="n">
        <v>2</v>
      </c>
      <c r="S126" s="45" t="n">
        <v>-0</v>
      </c>
      <c r="T126">
        <f>(S125+S126+S127)=N4</f>
        <v/>
      </c>
      <c r="X126" s="84">
        <f>MAX(S123-S126,0)</f>
        <v/>
      </c>
      <c r="Y126" s="83" t="n">
        <v>0</v>
      </c>
      <c r="AA126" s="84" t="n">
        <v>2</v>
      </c>
      <c r="AB126" s="84" t="inlineStr">
        <is>
          <t>C</t>
        </is>
      </c>
      <c r="AC126" s="84" t="inlineStr">
        <is>
          <t>C+</t>
        </is>
      </c>
      <c r="AD126" s="84" t="n">
        <v>12</v>
      </c>
      <c r="AE126" s="84" t="n">
        <v>11</v>
      </c>
      <c r="AF126" s="84" t="n">
        <v>0.8</v>
      </c>
      <c r="AG126" s="84" t="n">
        <v>0.86</v>
      </c>
      <c r="AH126" s="84" t="n">
        <v>0</v>
      </c>
      <c r="AI126" s="84" t="n">
        <v>0</v>
      </c>
      <c r="AJ126" s="84">
        <f>SUMIFS(AH$8:AH$1039,$O$8:$O$1039,O126,$AB$8:$AB$1039,AB126,$R$8:$R$1039,R126,$AA$8:$AA$1039,"&lt;="&amp;AA126)</f>
        <v/>
      </c>
      <c r="AK126" s="84">
        <f>D10</f>
        <v/>
      </c>
      <c r="AL126" s="84">
        <f>D16</f>
        <v/>
      </c>
      <c r="AM126" s="84">
        <f>MAX(0,AJ126-AK126)</f>
        <v/>
      </c>
      <c r="AN126" s="84">
        <f>IF(AM126=0,AH126,IF(AM126&gt;=AH126,0,AH126-AM126))</f>
        <v/>
      </c>
      <c r="AO126" s="84">
        <f>IF(AM126&gt;=AH126,AI126,AI126*AM126/AH126)</f>
        <v/>
      </c>
      <c r="AP126">
        <f t="array" ref="AP126">INDEX($AU$8:$BB$25,6*(R126-1)+MATCH(AB126,$AS$8:$AS$13,0),MATCH(O126,$AU$7:$BB$7,0))</f>
        <v/>
      </c>
    </row>
    <row r="127" ht="14.25" customHeight="1">
      <c r="O127" s="43" t="inlineStr">
        <is>
          <t>Q1’26</t>
        </is>
      </c>
      <c r="P127" s="43" t="n">
        <v>3</v>
      </c>
      <c r="Q127" s="43" t="n">
        <v>14</v>
      </c>
      <c r="R127" s="43" t="n">
        <v>3</v>
      </c>
      <c r="S127" s="45" t="n">
        <v>3000</v>
      </c>
      <c r="T127">
        <f>(S125+S126+S127)=N4</f>
        <v/>
      </c>
      <c r="X127" s="84">
        <f>MAX(S124-S127,0)</f>
        <v/>
      </c>
      <c r="Y127" s="83" t="n">
        <v>0</v>
      </c>
      <c r="AA127" s="84" t="n">
        <v>2</v>
      </c>
      <c r="AB127" s="84" t="inlineStr">
        <is>
          <t>C</t>
        </is>
      </c>
      <c r="AC127" s="84" t="inlineStr">
        <is>
          <t>C+</t>
        </is>
      </c>
      <c r="AD127" s="84" t="n">
        <v>12</v>
      </c>
      <c r="AE127" s="84" t="n">
        <v>11</v>
      </c>
      <c r="AF127" s="84" t="n">
        <v>0.8</v>
      </c>
      <c r="AG127" s="84" t="n">
        <v>0.86</v>
      </c>
      <c r="AH127" s="84" t="n">
        <v>0</v>
      </c>
      <c r="AI127" s="84" t="n">
        <v>0</v>
      </c>
      <c r="AJ127" s="84">
        <f>SUMIFS(AH$8:AH$1039,$O$8:$O$1039,O127,$AB$8:$AB$1039,AB127,$R$8:$R$1039,R127,$AA$8:$AA$1039,"&lt;="&amp;AA127)</f>
        <v/>
      </c>
      <c r="AK127" s="84">
        <f>E10</f>
        <v/>
      </c>
      <c r="AL127" s="84">
        <f>E16</f>
        <v/>
      </c>
      <c r="AM127" s="84">
        <f>MAX(0,AJ127-AK127)</f>
        <v/>
      </c>
      <c r="AN127" s="84">
        <f>IF(AM127=0,AH127,IF(AM127&gt;=AH127,0,AH127-AM127))</f>
        <v/>
      </c>
      <c r="AO127" s="84">
        <f>IF(AM127&gt;=AH127,AI127,AI127*AM127/AH127)</f>
        <v/>
      </c>
      <c r="AP127">
        <f t="array" ref="AP127">INDEX($AU$8:$BB$25,6*(R127-1)+MATCH(AB127,$AS$8:$AS$13,0),MATCH(O127,$AU$7:$BB$7,0))</f>
        <v/>
      </c>
    </row>
    <row r="128" ht="14.25" customHeight="1">
      <c r="O128" s="43" t="inlineStr">
        <is>
          <t>Q1’26</t>
        </is>
      </c>
      <c r="P128" s="43" t="n">
        <v>3</v>
      </c>
      <c r="Q128" s="43" t="n">
        <v>15</v>
      </c>
      <c r="R128" s="43" t="n">
        <v>1</v>
      </c>
      <c r="S128" s="45" t="n">
        <v>0</v>
      </c>
      <c r="T128">
        <f>(S128+S129+S130)=N4</f>
        <v/>
      </c>
      <c r="X128" s="84">
        <f>MAX(S125-S128,0)</f>
        <v/>
      </c>
      <c r="Y128" s="83" t="n">
        <v>0</v>
      </c>
      <c r="AA128" s="84" t="n">
        <v>2</v>
      </c>
      <c r="AB128" s="84" t="inlineStr">
        <is>
          <t>D</t>
        </is>
      </c>
      <c r="AC128" s="84" t="inlineStr">
        <is>
          <t>D+</t>
        </is>
      </c>
      <c r="AD128" s="84" t="n">
        <v>11</v>
      </c>
      <c r="AE128" s="84" t="n">
        <v>10</v>
      </c>
      <c r="AF128" s="84" t="n">
        <v>0.8</v>
      </c>
      <c r="AG128" s="84" t="n">
        <v>0.88</v>
      </c>
      <c r="AH128" s="84" t="n">
        <v>0</v>
      </c>
      <c r="AI128" s="84" t="n">
        <v>0</v>
      </c>
      <c r="AJ128" s="84">
        <f>SUMIFS(AH$8:AH$1039,$O$8:$O$1039,O128,$AB$8:$AB$1039,AB128,$R$8:$R$1039,R128,$AA$8:$AA$1039,"&lt;="&amp;AA128)</f>
        <v/>
      </c>
      <c r="AK128" s="84">
        <f>C11</f>
        <v/>
      </c>
      <c r="AL128" s="84">
        <f>C17</f>
        <v/>
      </c>
      <c r="AM128" s="84">
        <f>MAX(0,AJ128-AK128)</f>
        <v/>
      </c>
      <c r="AN128" s="84">
        <f>IF(AM128=0,AH128,IF(AM128&gt;=AH128,0,AH128-AM128))</f>
        <v/>
      </c>
      <c r="AO128" s="84">
        <f>IF(AM128&gt;=AH128,AI128,AI128*AM128/AH128)</f>
        <v/>
      </c>
      <c r="AP128">
        <f t="array" ref="AP128">INDEX($AU$8:$BB$25,6*(R128-1)+MATCH(AB128,$AS$8:$AS$13,0),MATCH(O128,$AU$7:$BB$7,0))</f>
        <v/>
      </c>
    </row>
    <row r="129" ht="14.25" customHeight="1">
      <c r="O129" s="43" t="inlineStr">
        <is>
          <t>Q1’26</t>
        </is>
      </c>
      <c r="P129" s="43" t="n">
        <v>3</v>
      </c>
      <c r="Q129" s="43" t="n">
        <v>15</v>
      </c>
      <c r="R129" s="43" t="n">
        <v>2</v>
      </c>
      <c r="S129" s="45" t="n">
        <v>-0</v>
      </c>
      <c r="T129">
        <f>(S128+S129+S130)=N4</f>
        <v/>
      </c>
      <c r="X129" s="84">
        <f>MAX(S126-S129,0)</f>
        <v/>
      </c>
      <c r="Y129" s="83" t="n">
        <v>0</v>
      </c>
      <c r="AA129" s="84" t="n">
        <v>2</v>
      </c>
      <c r="AB129" s="84" t="inlineStr">
        <is>
          <t>D</t>
        </is>
      </c>
      <c r="AC129" s="84" t="inlineStr">
        <is>
          <t>D+</t>
        </is>
      </c>
      <c r="AD129" s="84" t="n">
        <v>11</v>
      </c>
      <c r="AE129" s="84" t="n">
        <v>10</v>
      </c>
      <c r="AF129" s="84" t="n">
        <v>0.8</v>
      </c>
      <c r="AG129" s="84" t="n">
        <v>0.88</v>
      </c>
      <c r="AH129" s="84" t="n">
        <v>0</v>
      </c>
      <c r="AI129" s="84" t="n">
        <v>0</v>
      </c>
      <c r="AJ129" s="84">
        <f>SUMIFS(AH$8:AH$1039,$O$8:$O$1039,O129,$AB$8:$AB$1039,AB129,$R$8:$R$1039,R129,$AA$8:$AA$1039,"&lt;="&amp;AA129)</f>
        <v/>
      </c>
      <c r="AK129" s="84">
        <f>D11</f>
        <v/>
      </c>
      <c r="AL129" s="84">
        <f>D17</f>
        <v/>
      </c>
      <c r="AM129" s="84">
        <f>MAX(0,AJ129-AK129)</f>
        <v/>
      </c>
      <c r="AN129" s="84">
        <f>IF(AM129=0,AH129,IF(AM129&gt;=AH129,0,AH129-AM129))</f>
        <v/>
      </c>
      <c r="AO129" s="84">
        <f>IF(AM129&gt;=AH129,AI129,AI129*AM129/AH129)</f>
        <v/>
      </c>
      <c r="AP129">
        <f t="array" ref="AP129">INDEX($AU$8:$BB$25,6*(R129-1)+MATCH(AB129,$AS$8:$AS$13,0),MATCH(O129,$AU$7:$BB$7,0))</f>
        <v/>
      </c>
    </row>
    <row r="130" ht="14.25" customHeight="1">
      <c r="O130" s="43" t="inlineStr">
        <is>
          <t>Q1’26</t>
        </is>
      </c>
      <c r="P130" s="43" t="n">
        <v>3</v>
      </c>
      <c r="Q130" s="43" t="n">
        <v>15</v>
      </c>
      <c r="R130" s="43" t="n">
        <v>3</v>
      </c>
      <c r="S130" s="45" t="n">
        <v>3000</v>
      </c>
      <c r="T130">
        <f>(S128+S129+S130)=N4</f>
        <v/>
      </c>
      <c r="X130" s="84">
        <f>MAX(S127-S130,0)</f>
        <v/>
      </c>
      <c r="Y130" s="83" t="n">
        <v>0</v>
      </c>
      <c r="AA130" s="84" t="n">
        <v>2</v>
      </c>
      <c r="AB130" s="84" t="inlineStr">
        <is>
          <t>D</t>
        </is>
      </c>
      <c r="AC130" s="84" t="inlineStr">
        <is>
          <t>D+</t>
        </is>
      </c>
      <c r="AD130" s="84" t="n">
        <v>11</v>
      </c>
      <c r="AE130" s="84" t="n">
        <v>10</v>
      </c>
      <c r="AF130" s="84" t="n">
        <v>0.8</v>
      </c>
      <c r="AG130" s="84" t="n">
        <v>0.88</v>
      </c>
      <c r="AH130" s="84" t="n">
        <v>0</v>
      </c>
      <c r="AI130" s="84" t="n">
        <v>0</v>
      </c>
      <c r="AJ130" s="84">
        <f>SUMIFS(AH$8:AH$1039,$O$8:$O$1039,O130,$AB$8:$AB$1039,AB130,$R$8:$R$1039,R130,$AA$8:$AA$1039,"&lt;="&amp;AA130)</f>
        <v/>
      </c>
      <c r="AK130" s="84">
        <f>E11</f>
        <v/>
      </c>
      <c r="AL130" s="84">
        <f>E17</f>
        <v/>
      </c>
      <c r="AM130" s="84">
        <f>MAX(0,AJ130-AK130)</f>
        <v/>
      </c>
      <c r="AN130" s="84">
        <f>IF(AM130=0,AH130,IF(AM130&gt;=AH130,0,AH130-AM130))</f>
        <v/>
      </c>
      <c r="AO130" s="84">
        <f>IF(AM130&gt;=AH130,AI130,AI130*AM130/AH130)</f>
        <v/>
      </c>
      <c r="AP130">
        <f t="array" ref="AP130">INDEX($AU$8:$BB$25,6*(R130-1)+MATCH(AB130,$AS$8:$AS$13,0),MATCH(O130,$AU$7:$BB$7,0))</f>
        <v/>
      </c>
    </row>
    <row r="131" ht="14.25" customHeight="1">
      <c r="O131" s="43" t="inlineStr">
        <is>
          <t>Q1’26</t>
        </is>
      </c>
      <c r="P131" s="43" t="n">
        <v>3</v>
      </c>
      <c r="Q131" s="43" t="n">
        <v>16</v>
      </c>
      <c r="R131" s="43" t="n">
        <v>1</v>
      </c>
      <c r="S131" s="45" t="n">
        <v>-0</v>
      </c>
      <c r="T131">
        <f>(S131+S132+S133)=N4</f>
        <v/>
      </c>
      <c r="X131" s="84">
        <f>MAX(S128-S131,0)</f>
        <v/>
      </c>
      <c r="Y131" s="83" t="n">
        <v>0</v>
      </c>
      <c r="AA131" s="84" t="n">
        <v>4</v>
      </c>
      <c r="AB131" s="84" t="inlineStr">
        <is>
          <t>C</t>
        </is>
      </c>
      <c r="AC131" s="84" t="inlineStr">
        <is>
          <t>C+</t>
        </is>
      </c>
      <c r="AD131" s="84" t="n">
        <v>25</v>
      </c>
      <c r="AE131" s="84" t="n">
        <v>20</v>
      </c>
      <c r="AF131" s="84" t="n">
        <v>0.8</v>
      </c>
      <c r="AG131" s="84" t="n">
        <v>0.86</v>
      </c>
      <c r="AH131" s="84" t="n">
        <v>0</v>
      </c>
      <c r="AI131" s="84" t="n">
        <v>0</v>
      </c>
      <c r="AJ131" s="84">
        <f>SUMIFS(AH$8:AH$1039,$O$8:$O$1039,O131,$AB$8:$AB$1039,AB131,$R$8:$R$1039,R131,$AA$8:$AA$1039,"&lt;="&amp;AA131)</f>
        <v/>
      </c>
      <c r="AK131" s="84">
        <f>C10</f>
        <v/>
      </c>
      <c r="AL131" s="84">
        <f>C16</f>
        <v/>
      </c>
      <c r="AM131" s="84">
        <f>MAX(0,AJ131-AK131)</f>
        <v/>
      </c>
      <c r="AN131" s="84">
        <f>IF(AM131=0,AH131,IF(AM131&gt;=AH131,0,AH131-AM131))</f>
        <v/>
      </c>
      <c r="AO131" s="84">
        <f>IF(AM131&gt;=AH131,AI131,AI131*AM131/AH131)</f>
        <v/>
      </c>
      <c r="AP131">
        <f t="array" ref="AP131">INDEX($AU$8:$BB$25,6*(R131-1)+MATCH(AB131,$AS$8:$AS$13,0),MATCH(O131,$AU$7:$BB$7,0))</f>
        <v/>
      </c>
    </row>
    <row r="132" ht="14.25" customHeight="1">
      <c r="O132" s="43" t="inlineStr">
        <is>
          <t>Q1’26</t>
        </is>
      </c>
      <c r="P132" s="43" t="n">
        <v>3</v>
      </c>
      <c r="Q132" s="43" t="n">
        <v>16</v>
      </c>
      <c r="R132" s="43" t="n">
        <v>2</v>
      </c>
      <c r="S132" s="45" t="n">
        <v>-0</v>
      </c>
      <c r="T132">
        <f>(S131+S132+S133)=N4</f>
        <v/>
      </c>
      <c r="X132" s="84">
        <f>MAX(S129-S132,0)</f>
        <v/>
      </c>
      <c r="Y132" s="83" t="n">
        <v>0</v>
      </c>
      <c r="AA132" s="84" t="n">
        <v>4</v>
      </c>
      <c r="AB132" s="84" t="inlineStr">
        <is>
          <t>C</t>
        </is>
      </c>
      <c r="AC132" s="84" t="inlineStr">
        <is>
          <t>C+</t>
        </is>
      </c>
      <c r="AD132" s="84" t="n">
        <v>25</v>
      </c>
      <c r="AE132" s="84" t="n">
        <v>20</v>
      </c>
      <c r="AF132" s="84" t="n">
        <v>0.8</v>
      </c>
      <c r="AG132" s="84" t="n">
        <v>0.86</v>
      </c>
      <c r="AH132" s="84" t="n">
        <v>0</v>
      </c>
      <c r="AI132" s="84" t="n">
        <v>0</v>
      </c>
      <c r="AJ132" s="84">
        <f>SUMIFS(AH$8:AH$1039,$O$8:$O$1039,O132,$AB$8:$AB$1039,AB132,$R$8:$R$1039,R132,$AA$8:$AA$1039,"&lt;="&amp;AA132)</f>
        <v/>
      </c>
      <c r="AK132" s="84">
        <f>D10</f>
        <v/>
      </c>
      <c r="AL132" s="84">
        <f>D16</f>
        <v/>
      </c>
      <c r="AM132" s="84">
        <f>MAX(0,AJ132-AK132)</f>
        <v/>
      </c>
      <c r="AN132" s="84">
        <f>IF(AM132=0,AH132,IF(AM132&gt;=AH132,0,AH132-AM132))</f>
        <v/>
      </c>
      <c r="AO132" s="84">
        <f>IF(AM132&gt;=AH132,AI132,AI132*AM132/AH132)</f>
        <v/>
      </c>
      <c r="AP132">
        <f t="array" ref="AP132">INDEX($AU$8:$BB$25,6*(R132-1)+MATCH(AB132,$AS$8:$AS$13,0),MATCH(O132,$AU$7:$BB$7,0))</f>
        <v/>
      </c>
    </row>
    <row r="133" ht="14.25" customHeight="1">
      <c r="O133" s="43" t="inlineStr">
        <is>
          <t>Q1’26</t>
        </is>
      </c>
      <c r="P133" s="43" t="n">
        <v>3</v>
      </c>
      <c r="Q133" s="43" t="n">
        <v>16</v>
      </c>
      <c r="R133" s="43" t="n">
        <v>3</v>
      </c>
      <c r="S133" s="45" t="n">
        <v>3000</v>
      </c>
      <c r="T133">
        <f>(S131+S132+S133)=N4</f>
        <v/>
      </c>
      <c r="X133" s="84">
        <f>MAX(S130-S133,0)</f>
        <v/>
      </c>
      <c r="Y133" s="83" t="n">
        <v>0</v>
      </c>
      <c r="AA133" s="84" t="n">
        <v>4</v>
      </c>
      <c r="AB133" s="84" t="inlineStr">
        <is>
          <t>C</t>
        </is>
      </c>
      <c r="AC133" s="84" t="inlineStr">
        <is>
          <t>C+</t>
        </is>
      </c>
      <c r="AD133" s="84" t="n">
        <v>25</v>
      </c>
      <c r="AE133" s="84" t="n">
        <v>20</v>
      </c>
      <c r="AF133" s="84" t="n">
        <v>0.8</v>
      </c>
      <c r="AG133" s="84" t="n">
        <v>0.86</v>
      </c>
      <c r="AH133" s="84" t="n">
        <v>0</v>
      </c>
      <c r="AI133" s="84" t="n">
        <v>0</v>
      </c>
      <c r="AJ133" s="84">
        <f>SUMIFS(AH$8:AH$1039,$O$8:$O$1039,O133,$AB$8:$AB$1039,AB133,$R$8:$R$1039,R133,$AA$8:$AA$1039,"&lt;="&amp;AA133)</f>
        <v/>
      </c>
      <c r="AK133" s="84">
        <f>E10</f>
        <v/>
      </c>
      <c r="AL133" s="84">
        <f>E16</f>
        <v/>
      </c>
      <c r="AM133" s="84">
        <f>MAX(0,AJ133-AK133)</f>
        <v/>
      </c>
      <c r="AN133" s="84">
        <f>IF(AM133=0,AH133,IF(AM133&gt;=AH133,0,AH133-AM133))</f>
        <v/>
      </c>
      <c r="AO133" s="84">
        <f>IF(AM133&gt;=AH133,AI133,AI133*AM133/AH133)</f>
        <v/>
      </c>
      <c r="AP133">
        <f t="array" ref="AP133">INDEX($AU$8:$BB$25,6*(R133-1)+MATCH(AB133,$AS$8:$AS$13,0),MATCH(O133,$AU$7:$BB$7,0))</f>
        <v/>
      </c>
    </row>
    <row r="134" ht="14.25" customHeight="1">
      <c r="O134" s="43" t="inlineStr">
        <is>
          <t>Q1’26</t>
        </is>
      </c>
      <c r="P134" s="43" t="n">
        <v>3</v>
      </c>
      <c r="Q134" s="43" t="n">
        <v>17</v>
      </c>
      <c r="R134" s="43" t="n">
        <v>1</v>
      </c>
      <c r="S134" s="45" t="n">
        <v>0</v>
      </c>
      <c r="T134">
        <f>(S134+S135+S136)=N4</f>
        <v/>
      </c>
      <c r="X134" s="84">
        <f>MAX(S131-S134,0)</f>
        <v/>
      </c>
      <c r="Y134" s="83" t="n">
        <v>0</v>
      </c>
      <c r="AA134" s="84" t="n">
        <v>1</v>
      </c>
      <c r="AB134" s="84" t="inlineStr">
        <is>
          <t>F</t>
        </is>
      </c>
      <c r="AC134" s="84" t="inlineStr">
        <is>
          <t>F+</t>
        </is>
      </c>
      <c r="AD134" s="84" t="n">
        <v>14</v>
      </c>
      <c r="AE134" s="84" t="n">
        <v>13</v>
      </c>
      <c r="AF134" s="84" t="n">
        <v>0.8</v>
      </c>
      <c r="AG134" s="84" t="n">
        <v>0.9</v>
      </c>
      <c r="AH134" s="84" t="n">
        <v>0</v>
      </c>
      <c r="AI134" s="84" t="n">
        <v>0</v>
      </c>
      <c r="AJ134" s="84">
        <f>SUMIFS(AH$8:AH$1039,$O$8:$O$1039,O134,$AB$8:$AB$1039,AB134,$R$8:$R$1039,R134,$AA$8:$AA$1039,"&lt;="&amp;AA134)</f>
        <v/>
      </c>
      <c r="AK134" s="84">
        <f>C13</f>
        <v/>
      </c>
      <c r="AL134" s="84">
        <f>C19</f>
        <v/>
      </c>
      <c r="AM134" s="84">
        <f>MAX(0,AJ134-AK134)</f>
        <v/>
      </c>
      <c r="AN134" s="84">
        <f>IF(AM134=0,AH134,IF(AM134&gt;=AH134,0,AH134-AM134))</f>
        <v/>
      </c>
      <c r="AO134" s="84">
        <f>IF(AM134&gt;=AH134,AI134,AI134*AM134/AH134)</f>
        <v/>
      </c>
      <c r="AP134">
        <f t="array" ref="AP134">INDEX($AU$8:$BB$25,6*(R134-1)+MATCH(AB134,$AS$8:$AS$13,0),MATCH(O134,$AU$7:$BB$7,0))</f>
        <v/>
      </c>
    </row>
    <row r="135" ht="14.25" customHeight="1">
      <c r="O135" s="43" t="inlineStr">
        <is>
          <t>Q1’26</t>
        </is>
      </c>
      <c r="P135" s="43" t="n">
        <v>3</v>
      </c>
      <c r="Q135" s="43" t="n">
        <v>17</v>
      </c>
      <c r="R135" s="43" t="n">
        <v>2</v>
      </c>
      <c r="S135" s="45" t="n">
        <v>-0</v>
      </c>
      <c r="T135">
        <f>(S134+S135+S136)=N4</f>
        <v/>
      </c>
      <c r="X135" s="84">
        <f>MAX(S132-S135,0)</f>
        <v/>
      </c>
      <c r="Y135" s="83" t="n">
        <v>0</v>
      </c>
      <c r="AA135" s="84" t="n">
        <v>1</v>
      </c>
      <c r="AB135" s="84" t="inlineStr">
        <is>
          <t>F</t>
        </is>
      </c>
      <c r="AC135" s="84" t="inlineStr">
        <is>
          <t>F+</t>
        </is>
      </c>
      <c r="AD135" s="84" t="n">
        <v>14</v>
      </c>
      <c r="AE135" s="84" t="n">
        <v>13</v>
      </c>
      <c r="AF135" s="84" t="n">
        <v>0.8</v>
      </c>
      <c r="AG135" s="84" t="n">
        <v>0.9</v>
      </c>
      <c r="AH135" s="84" t="n">
        <v>0</v>
      </c>
      <c r="AI135" s="84" t="n">
        <v>0</v>
      </c>
      <c r="AJ135" s="84">
        <f>SUMIFS(AH$8:AH$1039,$O$8:$O$1039,O135,$AB$8:$AB$1039,AB135,$R$8:$R$1039,R135,$AA$8:$AA$1039,"&lt;="&amp;AA135)</f>
        <v/>
      </c>
      <c r="AK135" s="84">
        <f>D13</f>
        <v/>
      </c>
      <c r="AL135" s="84">
        <f>D19</f>
        <v/>
      </c>
      <c r="AM135" s="84">
        <f>MAX(0,AJ135-AK135)</f>
        <v/>
      </c>
      <c r="AN135" s="84">
        <f>IF(AM135=0,AH135,IF(AM135&gt;=AH135,0,AH135-AM135))</f>
        <v/>
      </c>
      <c r="AO135" s="84">
        <f>IF(AM135&gt;=AH135,AI135,AI135*AM135/AH135)</f>
        <v/>
      </c>
      <c r="AP135">
        <f t="array" ref="AP135">INDEX($AU$8:$BB$25,6*(R135-1)+MATCH(AB135,$AS$8:$AS$13,0),MATCH(O135,$AU$7:$BB$7,0))</f>
        <v/>
      </c>
    </row>
    <row r="136" ht="14.25" customHeight="1">
      <c r="O136" s="43" t="inlineStr">
        <is>
          <t>Q1’26</t>
        </is>
      </c>
      <c r="P136" s="43" t="n">
        <v>3</v>
      </c>
      <c r="Q136" s="43" t="n">
        <v>17</v>
      </c>
      <c r="R136" s="43" t="n">
        <v>3</v>
      </c>
      <c r="S136" s="45" t="n">
        <v>3000</v>
      </c>
      <c r="T136">
        <f>(S134+S135+S136)=N4</f>
        <v/>
      </c>
      <c r="X136" s="84">
        <f>MAX(S133-S136,0)</f>
        <v/>
      </c>
      <c r="Y136" s="83" t="n">
        <v>0</v>
      </c>
      <c r="AA136" s="84" t="n">
        <v>1</v>
      </c>
      <c r="AB136" s="84" t="inlineStr">
        <is>
          <t>F</t>
        </is>
      </c>
      <c r="AC136" s="84" t="inlineStr">
        <is>
          <t>F+</t>
        </is>
      </c>
      <c r="AD136" s="84" t="n">
        <v>14</v>
      </c>
      <c r="AE136" s="84" t="n">
        <v>13</v>
      </c>
      <c r="AF136" s="84" t="n">
        <v>0.8</v>
      </c>
      <c r="AG136" s="84" t="n">
        <v>0.9</v>
      </c>
      <c r="AH136" s="84" t="n">
        <v>0</v>
      </c>
      <c r="AI136" s="84" t="n">
        <v>0</v>
      </c>
      <c r="AJ136" s="84">
        <f>SUMIFS(AH$8:AH$1039,$O$8:$O$1039,O136,$AB$8:$AB$1039,AB136,$R$8:$R$1039,R136,$AA$8:$AA$1039,"&lt;="&amp;AA136)</f>
        <v/>
      </c>
      <c r="AK136" s="84">
        <f>E13</f>
        <v/>
      </c>
      <c r="AL136" s="84">
        <f>E19</f>
        <v/>
      </c>
      <c r="AM136" s="84">
        <f>MAX(0,AJ136-AK136)</f>
        <v/>
      </c>
      <c r="AN136" s="84">
        <f>IF(AM136=0,AH136,IF(AM136&gt;=AH136,0,AH136-AM136))</f>
        <v/>
      </c>
      <c r="AO136" s="84">
        <f>IF(AM136&gt;=AH136,AI136,AI136*AM136/AH136)</f>
        <v/>
      </c>
      <c r="AP136">
        <f t="array" ref="AP136">INDEX($AU$8:$BB$25,6*(R136-1)+MATCH(AB136,$AS$8:$AS$13,0),MATCH(O136,$AU$7:$BB$7,0))</f>
        <v/>
      </c>
    </row>
    <row r="137" ht="14.25" customHeight="1">
      <c r="O137" s="43" t="inlineStr">
        <is>
          <t>Q2’26</t>
        </is>
      </c>
      <c r="P137" s="43" t="n">
        <v>1</v>
      </c>
      <c r="Q137" s="43" t="n">
        <v>1</v>
      </c>
      <c r="R137" s="43" t="n">
        <v>1</v>
      </c>
      <c r="S137" s="45" t="n">
        <v>5761.688466007623</v>
      </c>
      <c r="T137">
        <f>(S137+S138+S139)=O2</f>
        <v/>
      </c>
      <c r="X137" s="84" t="n">
        <v>0</v>
      </c>
      <c r="Y137" s="83" t="n">
        <v>0</v>
      </c>
      <c r="AA137" s="84" t="n">
        <v>4</v>
      </c>
      <c r="AB137" s="84" t="inlineStr">
        <is>
          <t>D</t>
        </is>
      </c>
      <c r="AC137" s="84" t="inlineStr">
        <is>
          <t>D+</t>
        </is>
      </c>
      <c r="AD137" s="84" t="n">
        <v>14</v>
      </c>
      <c r="AE137" s="84" t="n">
        <v>12</v>
      </c>
      <c r="AF137" s="84" t="n">
        <v>0.8</v>
      </c>
      <c r="AG137" s="84" t="n">
        <v>0.88</v>
      </c>
      <c r="AH137" s="84" t="n">
        <v>0</v>
      </c>
      <c r="AI137" s="84" t="n">
        <v>0</v>
      </c>
      <c r="AJ137" s="84">
        <f>SUMIFS(AH$8:AH$1039,$O$8:$O$1039,O137,$AB$8:$AB$1039,AB137,$R$8:$R$1039,R137,$AA$8:$AA$1039,"&lt;="&amp;AA137)</f>
        <v/>
      </c>
      <c r="AK137" s="84">
        <f>C23</f>
        <v/>
      </c>
      <c r="AL137" s="84">
        <f>C29</f>
        <v/>
      </c>
      <c r="AM137" s="84">
        <f>MAX(0,AJ137-AK137)</f>
        <v/>
      </c>
      <c r="AN137" s="84">
        <f>IF(AM137=0,AH137,IF(AM137&gt;=AH137,0,AH137-AM137))</f>
        <v/>
      </c>
      <c r="AO137" s="84">
        <f>IF(AM137&gt;=AH137,AI137,AI137*AM137/AH137)</f>
        <v/>
      </c>
      <c r="AP137">
        <f t="array" ref="AP137">INDEX($AU$8:$BB$25,6*(R137-1)+MATCH(AB137,$AS$8:$AS$13,0),MATCH(O137,$AU$7:$BB$7,0))</f>
        <v/>
      </c>
    </row>
    <row r="138" ht="14.25" customHeight="1">
      <c r="O138" s="43" t="inlineStr">
        <is>
          <t>Q2’26</t>
        </is>
      </c>
      <c r="P138" s="43" t="n">
        <v>1</v>
      </c>
      <c r="Q138" s="43" t="n">
        <v>1</v>
      </c>
      <c r="R138" s="43" t="n">
        <v>2</v>
      </c>
      <c r="S138" s="45" t="n">
        <v>3295.144974732905</v>
      </c>
      <c r="T138">
        <f>(S137+S138+S139)=O2</f>
        <v/>
      </c>
      <c r="X138" s="84" t="n">
        <v>0</v>
      </c>
      <c r="Y138" s="83" t="n">
        <v>0</v>
      </c>
      <c r="AA138" s="84" t="n">
        <v>4</v>
      </c>
      <c r="AB138" s="84" t="inlineStr">
        <is>
          <t>D</t>
        </is>
      </c>
      <c r="AC138" s="84" t="inlineStr">
        <is>
          <t>D+</t>
        </is>
      </c>
      <c r="AD138" s="84" t="n">
        <v>14</v>
      </c>
      <c r="AE138" s="84" t="n">
        <v>12</v>
      </c>
      <c r="AF138" s="84" t="n">
        <v>0.8</v>
      </c>
      <c r="AG138" s="84" t="n">
        <v>0.88</v>
      </c>
      <c r="AH138" s="84" t="n">
        <v>0</v>
      </c>
      <c r="AI138" s="84" t="n">
        <v>0</v>
      </c>
      <c r="AJ138" s="84">
        <f>SUMIFS(AH$8:AH$1039,$O$8:$O$1039,O138,$AB$8:$AB$1039,AB138,$R$8:$R$1039,R138,$AA$8:$AA$1039,"&lt;="&amp;AA138)</f>
        <v/>
      </c>
      <c r="AK138" s="84">
        <f>D23</f>
        <v/>
      </c>
      <c r="AL138" s="84">
        <f>D29</f>
        <v/>
      </c>
      <c r="AM138" s="84">
        <f>MAX(0,AJ138-AK138)</f>
        <v/>
      </c>
      <c r="AN138" s="84">
        <f>IF(AM138=0,AH138,IF(AM138&gt;=AH138,0,AH138-AM138))</f>
        <v/>
      </c>
      <c r="AO138" s="84">
        <f>IF(AM138&gt;=AH138,AI138,AI138*AM138/AH138)</f>
        <v/>
      </c>
      <c r="AP138">
        <f t="array" ref="AP138">INDEX($AU$8:$BB$25,6*(R138-1)+MATCH(AB138,$AS$8:$AS$13,0),MATCH(O138,$AU$7:$BB$7,0))</f>
        <v/>
      </c>
    </row>
    <row r="139" ht="14.25" customHeight="1">
      <c r="O139" s="43" t="inlineStr">
        <is>
          <t>Q2’26</t>
        </is>
      </c>
      <c r="P139" s="43" t="n">
        <v>1</v>
      </c>
      <c r="Q139" s="43" t="n">
        <v>1</v>
      </c>
      <c r="R139" s="43" t="n">
        <v>3</v>
      </c>
      <c r="S139" s="45" t="n">
        <v>943.166559259472</v>
      </c>
      <c r="T139">
        <f>(S137+S138+S139)=O2</f>
        <v/>
      </c>
      <c r="X139" s="84" t="n">
        <v>0</v>
      </c>
      <c r="Y139" s="83" t="n">
        <v>0</v>
      </c>
      <c r="AA139" s="84" t="n">
        <v>4</v>
      </c>
      <c r="AB139" s="84" t="inlineStr">
        <is>
          <t>D</t>
        </is>
      </c>
      <c r="AC139" s="84" t="inlineStr">
        <is>
          <t>D+</t>
        </is>
      </c>
      <c r="AD139" s="84" t="n">
        <v>14</v>
      </c>
      <c r="AE139" s="84" t="n">
        <v>12</v>
      </c>
      <c r="AF139" s="84" t="n">
        <v>0.8</v>
      </c>
      <c r="AG139" s="84" t="n">
        <v>0.88</v>
      </c>
      <c r="AH139" s="84" t="n">
        <v>0</v>
      </c>
      <c r="AI139" s="84" t="n">
        <v>0</v>
      </c>
      <c r="AJ139" s="84">
        <f>SUMIFS(AH$8:AH$1039,$O$8:$O$1039,O139,$AB$8:$AB$1039,AB139,$R$8:$R$1039,R139,$AA$8:$AA$1039,"&lt;="&amp;AA139)</f>
        <v/>
      </c>
      <c r="AK139" s="84">
        <f>E23</f>
        <v/>
      </c>
      <c r="AL139" s="84">
        <f>E29</f>
        <v/>
      </c>
      <c r="AM139" s="84">
        <f>MAX(0,AJ139-AK139)</f>
        <v/>
      </c>
      <c r="AN139" s="84">
        <f>IF(AM139=0,AH139,IF(AM139&gt;=AH139,0,AH139-AM139))</f>
        <v/>
      </c>
      <c r="AO139" s="84">
        <f>IF(AM139&gt;=AH139,AI139,AI139*AM139/AH139)</f>
        <v/>
      </c>
      <c r="AP139">
        <f t="array" ref="AP139">INDEX($AU$8:$BB$25,6*(R139-1)+MATCH(AB139,$AS$8:$AS$13,0),MATCH(O139,$AU$7:$BB$7,0))</f>
        <v/>
      </c>
    </row>
    <row r="140" ht="14.25" customHeight="1">
      <c r="O140" s="43" t="inlineStr">
        <is>
          <t>Q2’26</t>
        </is>
      </c>
      <c r="P140" s="43" t="n">
        <v>1</v>
      </c>
      <c r="Q140" s="43" t="n">
        <v>2</v>
      </c>
      <c r="R140" s="43" t="n">
        <v>1</v>
      </c>
      <c r="S140" s="45" t="n">
        <v>5761.688466007623</v>
      </c>
      <c r="T140">
        <f>(S140+S141+S142)=O2</f>
        <v/>
      </c>
      <c r="X140" s="84">
        <f>MAX(S137-S140,0)</f>
        <v/>
      </c>
      <c r="Y140" s="83" t="n">
        <v>0</v>
      </c>
      <c r="AA140" s="84" t="n">
        <v>10</v>
      </c>
      <c r="AB140" s="84" t="inlineStr">
        <is>
          <t>F</t>
        </is>
      </c>
      <c r="AC140" s="84" t="inlineStr">
        <is>
          <t>F+</t>
        </is>
      </c>
      <c r="AD140" s="84" t="n">
        <v>25</v>
      </c>
      <c r="AE140" s="84" t="n">
        <v>21</v>
      </c>
      <c r="AF140" s="84" t="n">
        <v>0.8</v>
      </c>
      <c r="AG140" s="84" t="n">
        <v>0.9</v>
      </c>
      <c r="AH140" s="84" t="n">
        <v>0</v>
      </c>
      <c r="AI140" s="84" t="n">
        <v>0</v>
      </c>
      <c r="AJ140" s="84">
        <f>SUMIFS(AH$8:AH$1039,$O$8:$O$1039,O140,$AB$8:$AB$1039,AB140,$R$8:$R$1039,R140,$AA$8:$AA$1039,"&lt;="&amp;AA140)</f>
        <v/>
      </c>
      <c r="AK140" s="84">
        <f>C25</f>
        <v/>
      </c>
      <c r="AL140" s="84">
        <f>C31</f>
        <v/>
      </c>
      <c r="AM140" s="84">
        <f>MAX(0,AJ140-AK140)</f>
        <v/>
      </c>
      <c r="AN140" s="84">
        <f>IF(AM140=0,AH140,IF(AM140&gt;=AH140,0,AH140-AM140))</f>
        <v/>
      </c>
      <c r="AO140" s="84">
        <f>IF(AM140&gt;=AH140,AI140,AI140*AM140/AH140)</f>
        <v/>
      </c>
      <c r="AP140">
        <f t="array" ref="AP140">INDEX($AU$8:$BB$25,6*(R140-1)+MATCH(AB140,$AS$8:$AS$13,0),MATCH(O140,$AU$7:$BB$7,0))</f>
        <v/>
      </c>
    </row>
    <row r="141" ht="14.25" customHeight="1">
      <c r="O141" s="43" t="inlineStr">
        <is>
          <t>Q2’26</t>
        </is>
      </c>
      <c r="P141" s="43" t="n">
        <v>1</v>
      </c>
      <c r="Q141" s="43" t="n">
        <v>2</v>
      </c>
      <c r="R141" s="43" t="n">
        <v>2</v>
      </c>
      <c r="S141" s="45" t="n">
        <v>3295.144974732905</v>
      </c>
      <c r="T141">
        <f>(S140+S141+S142)=O2</f>
        <v/>
      </c>
      <c r="X141" s="84">
        <f>MAX(S138-S141,0)</f>
        <v/>
      </c>
      <c r="Y141" s="83" t="n">
        <v>0</v>
      </c>
      <c r="AA141" s="84" t="n">
        <v>10</v>
      </c>
      <c r="AB141" s="84" t="inlineStr">
        <is>
          <t>F</t>
        </is>
      </c>
      <c r="AC141" s="84" t="inlineStr">
        <is>
          <t>F+</t>
        </is>
      </c>
      <c r="AD141" s="84" t="n">
        <v>25</v>
      </c>
      <c r="AE141" s="84" t="n">
        <v>21</v>
      </c>
      <c r="AF141" s="84" t="n">
        <v>0.8</v>
      </c>
      <c r="AG141" s="84" t="n">
        <v>0.9</v>
      </c>
      <c r="AH141" s="84" t="n">
        <v>0</v>
      </c>
      <c r="AI141" s="84" t="n">
        <v>0</v>
      </c>
      <c r="AJ141" s="84">
        <f>SUMIFS(AH$8:AH$1039,$O$8:$O$1039,O141,$AB$8:$AB$1039,AB141,$R$8:$R$1039,R141,$AA$8:$AA$1039,"&lt;="&amp;AA141)</f>
        <v/>
      </c>
      <c r="AK141" s="84">
        <f>D25</f>
        <v/>
      </c>
      <c r="AL141" s="84">
        <f>D31</f>
        <v/>
      </c>
      <c r="AM141" s="84">
        <f>MAX(0,AJ141-AK141)</f>
        <v/>
      </c>
      <c r="AN141" s="84">
        <f>IF(AM141=0,AH141,IF(AM141&gt;=AH141,0,AH141-AM141))</f>
        <v/>
      </c>
      <c r="AO141" s="84">
        <f>IF(AM141&gt;=AH141,AI141,AI141*AM141/AH141)</f>
        <v/>
      </c>
      <c r="AP141">
        <f t="array" ref="AP141">INDEX($AU$8:$BB$25,6*(R141-1)+MATCH(AB141,$AS$8:$AS$13,0),MATCH(O141,$AU$7:$BB$7,0))</f>
        <v/>
      </c>
    </row>
    <row r="142" ht="14.25" customHeight="1">
      <c r="O142" s="43" t="inlineStr">
        <is>
          <t>Q2’26</t>
        </is>
      </c>
      <c r="P142" s="43" t="n">
        <v>1</v>
      </c>
      <c r="Q142" s="43" t="n">
        <v>2</v>
      </c>
      <c r="R142" s="43" t="n">
        <v>3</v>
      </c>
      <c r="S142" s="45" t="n">
        <v>943.166559259472</v>
      </c>
      <c r="T142">
        <f>(S140+S141+S142)=O2</f>
        <v/>
      </c>
      <c r="X142" s="84">
        <f>MAX(S139-S142,0)</f>
        <v/>
      </c>
      <c r="Y142" s="83" t="n">
        <v>0</v>
      </c>
      <c r="AA142" s="84" t="n">
        <v>10</v>
      </c>
      <c r="AB142" s="84" t="inlineStr">
        <is>
          <t>F</t>
        </is>
      </c>
      <c r="AC142" s="84" t="inlineStr">
        <is>
          <t>F+</t>
        </is>
      </c>
      <c r="AD142" s="84" t="n">
        <v>25</v>
      </c>
      <c r="AE142" s="84" t="n">
        <v>21</v>
      </c>
      <c r="AF142" s="84" t="n">
        <v>0.8</v>
      </c>
      <c r="AG142" s="84" t="n">
        <v>0.9</v>
      </c>
      <c r="AH142" s="84" t="n">
        <v>0</v>
      </c>
      <c r="AI142" s="84" t="n">
        <v>0</v>
      </c>
      <c r="AJ142" s="84">
        <f>SUMIFS(AH$8:AH$1039,$O$8:$O$1039,O142,$AB$8:$AB$1039,AB142,$R$8:$R$1039,R142,$AA$8:$AA$1039,"&lt;="&amp;AA142)</f>
        <v/>
      </c>
      <c r="AK142" s="84">
        <f>E25</f>
        <v/>
      </c>
      <c r="AL142" s="84">
        <f>E31</f>
        <v/>
      </c>
      <c r="AM142" s="84">
        <f>MAX(0,AJ142-AK142)</f>
        <v/>
      </c>
      <c r="AN142" s="84">
        <f>IF(AM142=0,AH142,IF(AM142&gt;=AH142,0,AH142-AM142))</f>
        <v/>
      </c>
      <c r="AO142" s="84">
        <f>IF(AM142&gt;=AH142,AI142,AI142*AM142/AH142)</f>
        <v/>
      </c>
      <c r="AP142">
        <f t="array" ref="AP142">INDEX($AU$8:$BB$25,6*(R142-1)+MATCH(AB142,$AS$8:$AS$13,0),MATCH(O142,$AU$7:$BB$7,0))</f>
        <v/>
      </c>
    </row>
    <row r="143" ht="14.25" customHeight="1">
      <c r="O143" s="43" t="inlineStr">
        <is>
          <t>Q2’26</t>
        </is>
      </c>
      <c r="P143" s="43" t="n">
        <v>1</v>
      </c>
      <c r="Q143" s="43" t="n">
        <v>3</v>
      </c>
      <c r="R143" s="43" t="n">
        <v>1</v>
      </c>
      <c r="S143" s="45" t="n">
        <v>5761.688466007623</v>
      </c>
      <c r="T143">
        <f>(S143+S144+S145)=O2</f>
        <v/>
      </c>
      <c r="X143" s="84">
        <f>MAX(S140-S143,0)</f>
        <v/>
      </c>
      <c r="Y143" s="83" t="n">
        <v>0</v>
      </c>
      <c r="AA143" s="84" t="n">
        <v>8</v>
      </c>
      <c r="AB143" s="84" t="inlineStr">
        <is>
          <t>F</t>
        </is>
      </c>
      <c r="AC143" s="84" t="inlineStr">
        <is>
          <t>F+</t>
        </is>
      </c>
      <c r="AD143" s="84" t="n">
        <v>27</v>
      </c>
      <c r="AE143" s="84" t="n">
        <v>23</v>
      </c>
      <c r="AF143" s="84" t="n">
        <v>0.8</v>
      </c>
      <c r="AG143" s="84" t="n">
        <v>0.9</v>
      </c>
      <c r="AH143" s="84" t="n">
        <v>0</v>
      </c>
      <c r="AI143" s="84" t="n">
        <v>0</v>
      </c>
      <c r="AJ143" s="84">
        <f>SUMIFS(AH$8:AH$1039,$O$8:$O$1039,O143,$AB$8:$AB$1039,AB143,$R$8:$R$1039,R143,$AA$8:$AA$1039,"&lt;="&amp;AA143)</f>
        <v/>
      </c>
      <c r="AK143" s="84">
        <f>C25</f>
        <v/>
      </c>
      <c r="AL143" s="84">
        <f>C31</f>
        <v/>
      </c>
      <c r="AM143" s="84">
        <f>MAX(0,AJ143-AK143)</f>
        <v/>
      </c>
      <c r="AN143" s="84">
        <f>IF(AM143=0,AH143,IF(AM143&gt;=AH143,0,AH143-AM143))</f>
        <v/>
      </c>
      <c r="AO143" s="84">
        <f>IF(AM143&gt;=AH143,AI143,AI143*AM143/AH143)</f>
        <v/>
      </c>
      <c r="AP143">
        <f t="array" ref="AP143">INDEX($AU$8:$BB$25,6*(R143-1)+MATCH(AB143,$AS$8:$AS$13,0),MATCH(O143,$AU$7:$BB$7,0))</f>
        <v/>
      </c>
    </row>
    <row r="144" ht="14.25" customHeight="1">
      <c r="O144" s="43" t="inlineStr">
        <is>
          <t>Q2’26</t>
        </is>
      </c>
      <c r="P144" s="43" t="n">
        <v>1</v>
      </c>
      <c r="Q144" s="43" t="n">
        <v>3</v>
      </c>
      <c r="R144" s="43" t="n">
        <v>2</v>
      </c>
      <c r="S144" s="45" t="n">
        <v>3295.144974732905</v>
      </c>
      <c r="T144">
        <f>(S143+S144+S145)=O2</f>
        <v/>
      </c>
      <c r="X144" s="84">
        <f>MAX(S141-S144,0)</f>
        <v/>
      </c>
      <c r="Y144" s="83" t="n">
        <v>0</v>
      </c>
      <c r="AA144" s="84" t="n">
        <v>8</v>
      </c>
      <c r="AB144" s="84" t="inlineStr">
        <is>
          <t>F</t>
        </is>
      </c>
      <c r="AC144" s="84" t="inlineStr">
        <is>
          <t>F+</t>
        </is>
      </c>
      <c r="AD144" s="84" t="n">
        <v>27</v>
      </c>
      <c r="AE144" s="84" t="n">
        <v>23</v>
      </c>
      <c r="AF144" s="84" t="n">
        <v>0.8</v>
      </c>
      <c r="AG144" s="84" t="n">
        <v>0.9</v>
      </c>
      <c r="AH144" s="84" t="n">
        <v>0</v>
      </c>
      <c r="AI144" s="84" t="n">
        <v>0</v>
      </c>
      <c r="AJ144" s="84">
        <f>SUMIFS(AH$8:AH$1039,$O$8:$O$1039,O144,$AB$8:$AB$1039,AB144,$R$8:$R$1039,R144,$AA$8:$AA$1039,"&lt;="&amp;AA144)</f>
        <v/>
      </c>
      <c r="AK144" s="84">
        <f>D25</f>
        <v/>
      </c>
      <c r="AL144" s="84">
        <f>D31</f>
        <v/>
      </c>
      <c r="AM144" s="84">
        <f>MAX(0,AJ144-AK144)</f>
        <v/>
      </c>
      <c r="AN144" s="84">
        <f>IF(AM144=0,AH144,IF(AM144&gt;=AH144,0,AH144-AM144))</f>
        <v/>
      </c>
      <c r="AO144" s="84">
        <f>IF(AM144&gt;=AH144,AI144,AI144*AM144/AH144)</f>
        <v/>
      </c>
      <c r="AP144">
        <f t="array" ref="AP144">INDEX($AU$8:$BB$25,6*(R144-1)+MATCH(AB144,$AS$8:$AS$13,0),MATCH(O144,$AU$7:$BB$7,0))</f>
        <v/>
      </c>
    </row>
    <row r="145" ht="14.25" customHeight="1">
      <c r="O145" s="43" t="inlineStr">
        <is>
          <t>Q2’26</t>
        </is>
      </c>
      <c r="P145" s="43" t="n">
        <v>1</v>
      </c>
      <c r="Q145" s="43" t="n">
        <v>3</v>
      </c>
      <c r="R145" s="43" t="n">
        <v>3</v>
      </c>
      <c r="S145" s="45" t="n">
        <v>943.166559259472</v>
      </c>
      <c r="T145">
        <f>(S143+S144+S145)=O2</f>
        <v/>
      </c>
      <c r="X145" s="84">
        <f>MAX(S142-S145,0)</f>
        <v/>
      </c>
      <c r="Y145" s="83" t="n">
        <v>0</v>
      </c>
      <c r="AA145" s="84" t="n">
        <v>8</v>
      </c>
      <c r="AB145" s="84" t="inlineStr">
        <is>
          <t>F</t>
        </is>
      </c>
      <c r="AC145" s="84" t="inlineStr">
        <is>
          <t>F+</t>
        </is>
      </c>
      <c r="AD145" s="84" t="n">
        <v>27</v>
      </c>
      <c r="AE145" s="84" t="n">
        <v>23</v>
      </c>
      <c r="AF145" s="84" t="n">
        <v>0.8</v>
      </c>
      <c r="AG145" s="84" t="n">
        <v>0.9</v>
      </c>
      <c r="AH145" s="84" t="n">
        <v>0</v>
      </c>
      <c r="AI145" s="84" t="n">
        <v>0</v>
      </c>
      <c r="AJ145" s="84">
        <f>SUMIFS(AH$8:AH$1039,$O$8:$O$1039,O145,$AB$8:$AB$1039,AB145,$R$8:$R$1039,R145,$AA$8:$AA$1039,"&lt;="&amp;AA145)</f>
        <v/>
      </c>
      <c r="AK145" s="84">
        <f>E25</f>
        <v/>
      </c>
      <c r="AL145" s="84">
        <f>E31</f>
        <v/>
      </c>
      <c r="AM145" s="84">
        <f>MAX(0,AJ145-AK145)</f>
        <v/>
      </c>
      <c r="AN145" s="84">
        <f>IF(AM145=0,AH145,IF(AM145&gt;=AH145,0,AH145-AM145))</f>
        <v/>
      </c>
      <c r="AO145" s="84">
        <f>IF(AM145&gt;=AH145,AI145,AI145*AM145/AH145)</f>
        <v/>
      </c>
      <c r="AP145">
        <f t="array" ref="AP145">INDEX($AU$8:$BB$25,6*(R145-1)+MATCH(AB145,$AS$8:$AS$13,0),MATCH(O145,$AU$7:$BB$7,0))</f>
        <v/>
      </c>
    </row>
    <row r="146" ht="14.25" customHeight="1">
      <c r="O146" s="43" t="inlineStr">
        <is>
          <t>Q2’26</t>
        </is>
      </c>
      <c r="P146" s="43" t="n">
        <v>1</v>
      </c>
      <c r="Q146" s="43" t="n">
        <v>4</v>
      </c>
      <c r="R146" s="43" t="n">
        <v>1</v>
      </c>
      <c r="S146" s="45" t="n">
        <v>5761.688466007623</v>
      </c>
      <c r="T146">
        <f>(S146+S147+S148)=O2</f>
        <v/>
      </c>
      <c r="X146" s="84">
        <f>MAX(S143-S146,0)</f>
        <v/>
      </c>
      <c r="Y146" s="83" t="n">
        <v>0</v>
      </c>
      <c r="AA146" s="84" t="n">
        <v>3</v>
      </c>
      <c r="AB146" s="84" t="inlineStr">
        <is>
          <t>A</t>
        </is>
      </c>
      <c r="AC146" s="84" t="inlineStr">
        <is>
          <t>A+</t>
        </is>
      </c>
      <c r="AD146" s="84" t="n">
        <v>20</v>
      </c>
      <c r="AE146" s="84" t="n">
        <v>16</v>
      </c>
      <c r="AF146" s="84" t="n">
        <v>0.78</v>
      </c>
      <c r="AG146" s="84" t="n">
        <v>0.84</v>
      </c>
      <c r="AH146" s="84" t="n">
        <v>0</v>
      </c>
      <c r="AI146" s="84" t="n">
        <v>0</v>
      </c>
      <c r="AJ146" s="84">
        <f>SUMIFS(AH$8:AH$1039,$O$8:$O$1039,O146,$AB$8:$AB$1039,AB146,$R$8:$R$1039,R146,$AA$8:$AA$1039,"&lt;="&amp;AA146)</f>
        <v/>
      </c>
      <c r="AK146" s="84">
        <f>C20</f>
        <v/>
      </c>
      <c r="AL146" s="84">
        <f>C26</f>
        <v/>
      </c>
      <c r="AM146" s="84">
        <f>MAX(0,AJ146-AK146)</f>
        <v/>
      </c>
      <c r="AN146" s="84">
        <f>IF(AM146=0,AH146,IF(AM146&gt;=AH146,0,AH146-AM146))</f>
        <v/>
      </c>
      <c r="AO146" s="84">
        <f>IF(AM146&gt;=AH146,AI146,AI146*AM146/AH146)</f>
        <v/>
      </c>
      <c r="AP146">
        <f t="array" ref="AP146">INDEX($AU$8:$BB$25,6*(R146-1)+MATCH(AB146,$AS$8:$AS$13,0),MATCH(O146,$AU$7:$BB$7,0))</f>
        <v/>
      </c>
    </row>
    <row r="147" ht="14.25" customHeight="1">
      <c r="O147" s="43" t="inlineStr">
        <is>
          <t>Q2’26</t>
        </is>
      </c>
      <c r="P147" s="43" t="n">
        <v>1</v>
      </c>
      <c r="Q147" s="43" t="n">
        <v>4</v>
      </c>
      <c r="R147" s="43" t="n">
        <v>2</v>
      </c>
      <c r="S147" s="45" t="n">
        <v>4238.311533992377</v>
      </c>
      <c r="T147">
        <f>(S146+S147+S148)=O2</f>
        <v/>
      </c>
      <c r="X147" s="84">
        <f>MAX(S144-S147,0)</f>
        <v/>
      </c>
      <c r="Y147" s="83" t="n">
        <v>0</v>
      </c>
      <c r="AA147" s="84" t="n">
        <v>3</v>
      </c>
      <c r="AB147" s="84" t="inlineStr">
        <is>
          <t>A</t>
        </is>
      </c>
      <c r="AC147" s="84" t="inlineStr">
        <is>
          <t>A+</t>
        </is>
      </c>
      <c r="AD147" s="84" t="n">
        <v>20</v>
      </c>
      <c r="AE147" s="84" t="n">
        <v>16</v>
      </c>
      <c r="AF147" s="84" t="n">
        <v>0.78</v>
      </c>
      <c r="AG147" s="84" t="n">
        <v>0.84</v>
      </c>
      <c r="AH147" s="84" t="n">
        <v>0</v>
      </c>
      <c r="AI147" s="84" t="n">
        <v>0</v>
      </c>
      <c r="AJ147" s="84">
        <f>SUMIFS(AH$8:AH$1039,$O$8:$O$1039,O147,$AB$8:$AB$1039,AB147,$R$8:$R$1039,R147,$AA$8:$AA$1039,"&lt;="&amp;AA147)</f>
        <v/>
      </c>
      <c r="AK147" s="84">
        <f>D20</f>
        <v/>
      </c>
      <c r="AL147" s="84">
        <f>D26</f>
        <v/>
      </c>
      <c r="AM147" s="84">
        <f>MAX(0,AJ147-AK147)</f>
        <v/>
      </c>
      <c r="AN147" s="84">
        <f>IF(AM147=0,AH147,IF(AM147&gt;=AH147,0,AH147-AM147))</f>
        <v/>
      </c>
      <c r="AO147" s="84">
        <f>IF(AM147&gt;=AH147,AI147,AI147*AM147/AH147)</f>
        <v/>
      </c>
      <c r="AP147">
        <f t="array" ref="AP147">INDEX($AU$8:$BB$25,6*(R147-1)+MATCH(AB147,$AS$8:$AS$13,0),MATCH(O147,$AU$7:$BB$7,0))</f>
        <v/>
      </c>
    </row>
    <row r="148" ht="14.25" customHeight="1">
      <c r="O148" s="43" t="inlineStr">
        <is>
          <t>Q2’26</t>
        </is>
      </c>
      <c r="P148" s="43" t="n">
        <v>1</v>
      </c>
      <c r="Q148" s="43" t="n">
        <v>4</v>
      </c>
      <c r="R148" s="43" t="n">
        <v>3</v>
      </c>
      <c r="S148" s="45" t="n">
        <v>0</v>
      </c>
      <c r="T148">
        <f>(S146+S147+S148)=O2</f>
        <v/>
      </c>
      <c r="X148" s="84">
        <f>MAX(S145-S148,0)</f>
        <v/>
      </c>
      <c r="Y148" s="83" t="n">
        <v>0</v>
      </c>
      <c r="AA148" s="84" t="n">
        <v>3</v>
      </c>
      <c r="AB148" s="84" t="inlineStr">
        <is>
          <t>A</t>
        </is>
      </c>
      <c r="AC148" s="84" t="inlineStr">
        <is>
          <t>A+</t>
        </is>
      </c>
      <c r="AD148" s="84" t="n">
        <v>20</v>
      </c>
      <c r="AE148" s="84" t="n">
        <v>16</v>
      </c>
      <c r="AF148" s="84" t="n">
        <v>0.78</v>
      </c>
      <c r="AG148" s="84" t="n">
        <v>0.84</v>
      </c>
      <c r="AH148" s="84" t="n">
        <v>0</v>
      </c>
      <c r="AI148" s="84" t="n">
        <v>0</v>
      </c>
      <c r="AJ148" s="84">
        <f>SUMIFS(AH$8:AH$1039,$O$8:$O$1039,O148,$AB$8:$AB$1039,AB148,$R$8:$R$1039,R148,$AA$8:$AA$1039,"&lt;="&amp;AA148)</f>
        <v/>
      </c>
      <c r="AK148" s="84">
        <f>E20</f>
        <v/>
      </c>
      <c r="AL148" s="84">
        <f>E26</f>
        <v/>
      </c>
      <c r="AM148" s="84">
        <f>MAX(0,AJ148-AK148)</f>
        <v/>
      </c>
      <c r="AN148" s="84">
        <f>IF(AM148=0,AH148,IF(AM148&gt;=AH148,0,AH148-AM148))</f>
        <v/>
      </c>
      <c r="AO148" s="84">
        <f>IF(AM148&gt;=AH148,AI148,AI148*AM148/AH148)</f>
        <v/>
      </c>
      <c r="AP148">
        <f t="array" ref="AP148">INDEX($AU$8:$BB$25,6*(R148-1)+MATCH(AB148,$AS$8:$AS$13,0),MATCH(O148,$AU$7:$BB$7,0))</f>
        <v/>
      </c>
    </row>
    <row r="149" ht="14.25" customHeight="1">
      <c r="O149" s="43" t="inlineStr">
        <is>
          <t>Q2’26</t>
        </is>
      </c>
      <c r="P149" s="43" t="n">
        <v>1</v>
      </c>
      <c r="Q149" s="43" t="n">
        <v>5</v>
      </c>
      <c r="R149" s="43" t="n">
        <v>1</v>
      </c>
      <c r="S149" s="45" t="n">
        <v>5761.688466007623</v>
      </c>
      <c r="T149">
        <f>(S149+S150+S151)=O2</f>
        <v/>
      </c>
      <c r="X149" s="84">
        <f>MAX(S146-S149,0)</f>
        <v/>
      </c>
      <c r="Y149" s="83" t="n">
        <v>0</v>
      </c>
      <c r="AA149" s="84" t="n">
        <v>11</v>
      </c>
      <c r="AB149" s="84" t="inlineStr">
        <is>
          <t>F</t>
        </is>
      </c>
      <c r="AC149" s="84" t="inlineStr">
        <is>
          <t>F+</t>
        </is>
      </c>
      <c r="AD149" s="84" t="n">
        <v>12</v>
      </c>
      <c r="AE149" s="84" t="n">
        <v>9</v>
      </c>
      <c r="AF149" s="84" t="n">
        <v>0.8</v>
      </c>
      <c r="AG149" s="84" t="n">
        <v>0.9</v>
      </c>
      <c r="AH149" s="84" t="n">
        <v>0</v>
      </c>
      <c r="AI149" s="84" t="n">
        <v>0</v>
      </c>
      <c r="AJ149" s="84">
        <f>SUMIFS(AH$8:AH$1039,$O$8:$O$1039,O149,$AB$8:$AB$1039,AB149,$R$8:$R$1039,R149,$AA$8:$AA$1039,"&lt;="&amp;AA149)</f>
        <v/>
      </c>
      <c r="AK149" s="84">
        <f>C25</f>
        <v/>
      </c>
      <c r="AL149" s="84">
        <f>C31</f>
        <v/>
      </c>
      <c r="AM149" s="84">
        <f>MAX(0,AJ149-AK149)</f>
        <v/>
      </c>
      <c r="AN149" s="84">
        <f>IF(AM149=0,AH149,IF(AM149&gt;=AH149,0,AH149-AM149))</f>
        <v/>
      </c>
      <c r="AO149" s="84">
        <f>IF(AM149&gt;=AH149,AI149,AI149*AM149/AH149)</f>
        <v/>
      </c>
      <c r="AP149">
        <f t="array" ref="AP149">INDEX($AU$8:$BB$25,6*(R149-1)+MATCH(AB149,$AS$8:$AS$13,0),MATCH(O149,$AU$7:$BB$7,0))</f>
        <v/>
      </c>
    </row>
    <row r="150" ht="14.25" customHeight="1">
      <c r="O150" s="43" t="inlineStr">
        <is>
          <t>Q2’26</t>
        </is>
      </c>
      <c r="P150" s="43" t="n">
        <v>1</v>
      </c>
      <c r="Q150" s="43" t="n">
        <v>5</v>
      </c>
      <c r="R150" s="43" t="n">
        <v>2</v>
      </c>
      <c r="S150" s="45" t="n">
        <v>4238.311533992377</v>
      </c>
      <c r="T150">
        <f>(S149+S150+S151)=O2</f>
        <v/>
      </c>
      <c r="X150" s="84">
        <f>MAX(S147-S150,0)</f>
        <v/>
      </c>
      <c r="Y150" s="83" t="n">
        <v>0</v>
      </c>
      <c r="AA150" s="84" t="n">
        <v>11</v>
      </c>
      <c r="AB150" s="84" t="inlineStr">
        <is>
          <t>F</t>
        </is>
      </c>
      <c r="AC150" s="84" t="inlineStr">
        <is>
          <t>F+</t>
        </is>
      </c>
      <c r="AD150" s="84" t="n">
        <v>12</v>
      </c>
      <c r="AE150" s="84" t="n">
        <v>9</v>
      </c>
      <c r="AF150" s="84" t="n">
        <v>0.8</v>
      </c>
      <c r="AG150" s="84" t="n">
        <v>0.9</v>
      </c>
      <c r="AH150" s="84" t="n">
        <v>0</v>
      </c>
      <c r="AI150" s="84" t="n">
        <v>0</v>
      </c>
      <c r="AJ150" s="84">
        <f>SUMIFS(AH$8:AH$1039,$O$8:$O$1039,O150,$AB$8:$AB$1039,AB150,$R$8:$R$1039,R150,$AA$8:$AA$1039,"&lt;="&amp;AA150)</f>
        <v/>
      </c>
      <c r="AK150" s="84">
        <f>D25</f>
        <v/>
      </c>
      <c r="AL150" s="84">
        <f>D31</f>
        <v/>
      </c>
      <c r="AM150" s="84">
        <f>MAX(0,AJ150-AK150)</f>
        <v/>
      </c>
      <c r="AN150" s="84">
        <f>IF(AM150=0,AH150,IF(AM150&gt;=AH150,0,AH150-AM150))</f>
        <v/>
      </c>
      <c r="AO150" s="84">
        <f>IF(AM150&gt;=AH150,AI150,AI150*AM150/AH150)</f>
        <v/>
      </c>
      <c r="AP150">
        <f t="array" ref="AP150">INDEX($AU$8:$BB$25,6*(R150-1)+MATCH(AB150,$AS$8:$AS$13,0),MATCH(O150,$AU$7:$BB$7,0))</f>
        <v/>
      </c>
    </row>
    <row r="151" ht="14.25" customHeight="1">
      <c r="O151" s="43" t="inlineStr">
        <is>
          <t>Q2’26</t>
        </is>
      </c>
      <c r="P151" s="43" t="n">
        <v>1</v>
      </c>
      <c r="Q151" s="43" t="n">
        <v>5</v>
      </c>
      <c r="R151" s="43" t="n">
        <v>3</v>
      </c>
      <c r="S151" s="45" t="n">
        <v>-0</v>
      </c>
      <c r="T151">
        <f>(S149+S150+S151)=O2</f>
        <v/>
      </c>
      <c r="X151" s="84">
        <f>MAX(S148-S151,0)</f>
        <v/>
      </c>
      <c r="Y151" s="83" t="n">
        <v>0</v>
      </c>
      <c r="AA151" s="84" t="n">
        <v>11</v>
      </c>
      <c r="AB151" s="84" t="inlineStr">
        <is>
          <t>F</t>
        </is>
      </c>
      <c r="AC151" s="84" t="inlineStr">
        <is>
          <t>F+</t>
        </is>
      </c>
      <c r="AD151" s="84" t="n">
        <v>12</v>
      </c>
      <c r="AE151" s="84" t="n">
        <v>9</v>
      </c>
      <c r="AF151" s="84" t="n">
        <v>0.8</v>
      </c>
      <c r="AG151" s="84" t="n">
        <v>0.9</v>
      </c>
      <c r="AH151" s="84" t="n">
        <v>0</v>
      </c>
      <c r="AI151" s="84" t="n">
        <v>0</v>
      </c>
      <c r="AJ151" s="84">
        <f>SUMIFS(AH$8:AH$1039,$O$8:$O$1039,O151,$AB$8:$AB$1039,AB151,$R$8:$R$1039,R151,$AA$8:$AA$1039,"&lt;="&amp;AA151)</f>
        <v/>
      </c>
      <c r="AK151" s="84">
        <f>E25</f>
        <v/>
      </c>
      <c r="AL151" s="84">
        <f>E31</f>
        <v/>
      </c>
      <c r="AM151" s="84">
        <f>MAX(0,AJ151-AK151)</f>
        <v/>
      </c>
      <c r="AN151" s="84">
        <f>IF(AM151=0,AH151,IF(AM151&gt;=AH151,0,AH151-AM151))</f>
        <v/>
      </c>
      <c r="AO151" s="84">
        <f>IF(AM151&gt;=AH151,AI151,AI151*AM151/AH151)</f>
        <v/>
      </c>
      <c r="AP151">
        <f t="array" ref="AP151">INDEX($AU$8:$BB$25,6*(R151-1)+MATCH(AB151,$AS$8:$AS$13,0),MATCH(O151,$AU$7:$BB$7,0))</f>
        <v/>
      </c>
    </row>
    <row r="152" ht="14.25" customHeight="1">
      <c r="O152" s="43" t="inlineStr">
        <is>
          <t>Q2’26</t>
        </is>
      </c>
      <c r="P152" s="43" t="n">
        <v>1</v>
      </c>
      <c r="Q152" s="43" t="n">
        <v>6</v>
      </c>
      <c r="R152" s="43" t="n">
        <v>1</v>
      </c>
      <c r="S152" s="45" t="n">
        <v>5761.688466007623</v>
      </c>
      <c r="T152">
        <f>(S152+S153+S154)=O2</f>
        <v/>
      </c>
      <c r="X152" s="84">
        <f>MAX(S149-S152,0)</f>
        <v/>
      </c>
      <c r="Y152" s="83" t="n">
        <v>0</v>
      </c>
      <c r="AA152" s="84" t="n">
        <v>7</v>
      </c>
      <c r="AB152" s="84" t="inlineStr">
        <is>
          <t>D</t>
        </is>
      </c>
      <c r="AC152" s="84" t="inlineStr">
        <is>
          <t>D+</t>
        </is>
      </c>
      <c r="AD152" s="84" t="n">
        <v>27</v>
      </c>
      <c r="AE152" s="84" t="n">
        <v>21</v>
      </c>
      <c r="AF152" s="84" t="n">
        <v>0.8</v>
      </c>
      <c r="AG152" s="84" t="n">
        <v>0.88</v>
      </c>
      <c r="AH152" s="84" t="n">
        <v>0</v>
      </c>
      <c r="AI152" s="84" t="n">
        <v>0</v>
      </c>
      <c r="AJ152" s="84">
        <f>SUMIFS(AH$8:AH$1039,$O$8:$O$1039,O152,$AB$8:$AB$1039,AB152,$R$8:$R$1039,R152,$AA$8:$AA$1039,"&lt;="&amp;AA152)</f>
        <v/>
      </c>
      <c r="AK152" s="84">
        <f>C23</f>
        <v/>
      </c>
      <c r="AL152" s="84">
        <f>C29</f>
        <v/>
      </c>
      <c r="AM152" s="84">
        <f>MAX(0,AJ152-AK152)</f>
        <v/>
      </c>
      <c r="AN152" s="84">
        <f>IF(AM152=0,AH152,IF(AM152&gt;=AH152,0,AH152-AM152))</f>
        <v/>
      </c>
      <c r="AO152" s="84">
        <f>IF(AM152&gt;=AH152,AI152,AI152*AM152/AH152)</f>
        <v/>
      </c>
      <c r="AP152">
        <f t="array" ref="AP152">INDEX($AU$8:$BB$25,6*(R152-1)+MATCH(AB152,$AS$8:$AS$13,0),MATCH(O152,$AU$7:$BB$7,0))</f>
        <v/>
      </c>
    </row>
    <row r="153" ht="14.25" customHeight="1">
      <c r="O153" s="43" t="inlineStr">
        <is>
          <t>Q2’26</t>
        </is>
      </c>
      <c r="P153" s="43" t="n">
        <v>1</v>
      </c>
      <c r="Q153" s="43" t="n">
        <v>6</v>
      </c>
      <c r="R153" s="43" t="n">
        <v>2</v>
      </c>
      <c r="S153" s="45" t="n">
        <v>4238.311533992377</v>
      </c>
      <c r="T153">
        <f>(S152+S153+S154)=O2</f>
        <v/>
      </c>
      <c r="X153" s="84">
        <f>MAX(S150-S153,0)</f>
        <v/>
      </c>
      <c r="Y153" s="83" t="n">
        <v>0</v>
      </c>
      <c r="AA153" s="84" t="n">
        <v>7</v>
      </c>
      <c r="AB153" s="84" t="inlineStr">
        <is>
          <t>D</t>
        </is>
      </c>
      <c r="AC153" s="84" t="inlineStr">
        <is>
          <t>D+</t>
        </is>
      </c>
      <c r="AD153" s="84" t="n">
        <v>27</v>
      </c>
      <c r="AE153" s="84" t="n">
        <v>21</v>
      </c>
      <c r="AF153" s="84" t="n">
        <v>0.8</v>
      </c>
      <c r="AG153" s="84" t="n">
        <v>0.88</v>
      </c>
      <c r="AH153" s="84" t="n">
        <v>0</v>
      </c>
      <c r="AI153" s="84" t="n">
        <v>0</v>
      </c>
      <c r="AJ153" s="84">
        <f>SUMIFS(AH$8:AH$1039,$O$8:$O$1039,O153,$AB$8:$AB$1039,AB153,$R$8:$R$1039,R153,$AA$8:$AA$1039,"&lt;="&amp;AA153)</f>
        <v/>
      </c>
      <c r="AK153" s="84">
        <f>D23</f>
        <v/>
      </c>
      <c r="AL153" s="84">
        <f>D29</f>
        <v/>
      </c>
      <c r="AM153" s="84">
        <f>MAX(0,AJ153-AK153)</f>
        <v/>
      </c>
      <c r="AN153" s="84">
        <f>IF(AM153=0,AH153,IF(AM153&gt;=AH153,0,AH153-AM153))</f>
        <v/>
      </c>
      <c r="AO153" s="84">
        <f>IF(AM153&gt;=AH153,AI153,AI153*AM153/AH153)</f>
        <v/>
      </c>
      <c r="AP153">
        <f t="array" ref="AP153">INDEX($AU$8:$BB$25,6*(R153-1)+MATCH(AB153,$AS$8:$AS$13,0),MATCH(O153,$AU$7:$BB$7,0))</f>
        <v/>
      </c>
    </row>
    <row r="154" ht="14.25" customHeight="1">
      <c r="O154" s="43" t="inlineStr">
        <is>
          <t>Q2’26</t>
        </is>
      </c>
      <c r="P154" s="43" t="n">
        <v>1</v>
      </c>
      <c r="Q154" s="43" t="n">
        <v>6</v>
      </c>
      <c r="R154" s="43" t="n">
        <v>3</v>
      </c>
      <c r="S154" s="45" t="n">
        <v>0</v>
      </c>
      <c r="T154">
        <f>(S152+S153+S154)=O2</f>
        <v/>
      </c>
      <c r="X154" s="84">
        <f>MAX(S151-S154,0)</f>
        <v/>
      </c>
      <c r="Y154" s="83" t="n">
        <v>0</v>
      </c>
      <c r="AA154" s="84" t="n">
        <v>7</v>
      </c>
      <c r="AB154" s="84" t="inlineStr">
        <is>
          <t>D</t>
        </is>
      </c>
      <c r="AC154" s="84" t="inlineStr">
        <is>
          <t>D+</t>
        </is>
      </c>
      <c r="AD154" s="84" t="n">
        <v>27</v>
      </c>
      <c r="AE154" s="84" t="n">
        <v>21</v>
      </c>
      <c r="AF154" s="84" t="n">
        <v>0.8</v>
      </c>
      <c r="AG154" s="84" t="n">
        <v>0.88</v>
      </c>
      <c r="AH154" s="84" t="n">
        <v>0</v>
      </c>
      <c r="AI154" s="84" t="n">
        <v>0</v>
      </c>
      <c r="AJ154" s="84">
        <f>SUMIFS(AH$8:AH$1039,$O$8:$O$1039,O154,$AB$8:$AB$1039,AB154,$R$8:$R$1039,R154,$AA$8:$AA$1039,"&lt;="&amp;AA154)</f>
        <v/>
      </c>
      <c r="AK154" s="84">
        <f>E23</f>
        <v/>
      </c>
      <c r="AL154" s="84">
        <f>E29</f>
        <v/>
      </c>
      <c r="AM154" s="84">
        <f>MAX(0,AJ154-AK154)</f>
        <v/>
      </c>
      <c r="AN154" s="84">
        <f>IF(AM154=0,AH154,IF(AM154&gt;=AH154,0,AH154-AM154))</f>
        <v/>
      </c>
      <c r="AO154" s="84">
        <f>IF(AM154&gt;=AH154,AI154,AI154*AM154/AH154)</f>
        <v/>
      </c>
      <c r="AP154">
        <f t="array" ref="AP154">INDEX($AU$8:$BB$25,6*(R154-1)+MATCH(AB154,$AS$8:$AS$13,0),MATCH(O154,$AU$7:$BB$7,0))</f>
        <v/>
      </c>
    </row>
    <row r="155" ht="14.25" customHeight="1">
      <c r="O155" s="43" t="inlineStr">
        <is>
          <t>Q2’26</t>
        </is>
      </c>
      <c r="P155" s="43" t="n">
        <v>1</v>
      </c>
      <c r="Q155" s="43" t="n">
        <v>7</v>
      </c>
      <c r="R155" s="43" t="n">
        <v>1</v>
      </c>
      <c r="S155" s="45" t="n">
        <v>5761.688466007623</v>
      </c>
      <c r="T155">
        <f>(S155+S156+S157)=O2</f>
        <v/>
      </c>
      <c r="X155" s="84">
        <f>MAX(S152-S155,0)</f>
        <v/>
      </c>
      <c r="Y155" s="83" t="n">
        <v>0</v>
      </c>
      <c r="AA155" s="84" t="n">
        <v>9</v>
      </c>
      <c r="AB155" s="84" t="inlineStr">
        <is>
          <t>D</t>
        </is>
      </c>
      <c r="AC155" s="84" t="inlineStr">
        <is>
          <t>D+</t>
        </is>
      </c>
      <c r="AD155" s="84" t="n">
        <v>17</v>
      </c>
      <c r="AE155" s="84" t="n">
        <v>13</v>
      </c>
      <c r="AF155" s="84" t="n">
        <v>0.8</v>
      </c>
      <c r="AG155" s="84" t="n">
        <v>0.88</v>
      </c>
      <c r="AH155" s="84" t="n">
        <v>0</v>
      </c>
      <c r="AI155" s="84" t="n">
        <v>0</v>
      </c>
      <c r="AJ155" s="84">
        <f>SUMIFS(AH$8:AH$1039,$O$8:$O$1039,O155,$AB$8:$AB$1039,AB155,$R$8:$R$1039,R155,$AA$8:$AA$1039,"&lt;="&amp;AA155)</f>
        <v/>
      </c>
      <c r="AK155" s="84">
        <f>C23</f>
        <v/>
      </c>
      <c r="AL155" s="84">
        <f>C29</f>
        <v/>
      </c>
      <c r="AM155" s="84">
        <f>MAX(0,AJ155-AK155)</f>
        <v/>
      </c>
      <c r="AN155" s="84">
        <f>IF(AM155=0,AH155,IF(AM155&gt;=AH155,0,AH155-AM155))</f>
        <v/>
      </c>
      <c r="AO155" s="84">
        <f>IF(AM155&gt;=AH155,AI155,AI155*AM155/AH155)</f>
        <v/>
      </c>
      <c r="AP155">
        <f t="array" ref="AP155">INDEX($AU$8:$BB$25,6*(R155-1)+MATCH(AB155,$AS$8:$AS$13,0),MATCH(O155,$AU$7:$BB$7,0))</f>
        <v/>
      </c>
    </row>
    <row r="156" ht="14.25" customHeight="1">
      <c r="O156" s="43" t="inlineStr">
        <is>
          <t>Q2’26</t>
        </is>
      </c>
      <c r="P156" s="43" t="n">
        <v>1</v>
      </c>
      <c r="Q156" s="43" t="n">
        <v>7</v>
      </c>
      <c r="R156" s="43" t="n">
        <v>2</v>
      </c>
      <c r="S156" s="45" t="n">
        <v>4238.311533992377</v>
      </c>
      <c r="T156">
        <f>(S155+S156+S157)=O2</f>
        <v/>
      </c>
      <c r="X156" s="84">
        <f>MAX(S153-S156,0)</f>
        <v/>
      </c>
      <c r="Y156" s="83" t="n">
        <v>0</v>
      </c>
      <c r="AA156" s="84" t="n">
        <v>9</v>
      </c>
      <c r="AB156" s="84" t="inlineStr">
        <is>
          <t>D</t>
        </is>
      </c>
      <c r="AC156" s="84" t="inlineStr">
        <is>
          <t>D+</t>
        </is>
      </c>
      <c r="AD156" s="84" t="n">
        <v>17</v>
      </c>
      <c r="AE156" s="84" t="n">
        <v>13</v>
      </c>
      <c r="AF156" s="84" t="n">
        <v>0.8</v>
      </c>
      <c r="AG156" s="84" t="n">
        <v>0.88</v>
      </c>
      <c r="AH156" s="84" t="n">
        <v>0</v>
      </c>
      <c r="AI156" s="84" t="n">
        <v>0</v>
      </c>
      <c r="AJ156" s="84">
        <f>SUMIFS(AH$8:AH$1039,$O$8:$O$1039,O156,$AB$8:$AB$1039,AB156,$R$8:$R$1039,R156,$AA$8:$AA$1039,"&lt;="&amp;AA156)</f>
        <v/>
      </c>
      <c r="AK156" s="84">
        <f>D23</f>
        <v/>
      </c>
      <c r="AL156" s="84">
        <f>D29</f>
        <v/>
      </c>
      <c r="AM156" s="84">
        <f>MAX(0,AJ156-AK156)</f>
        <v/>
      </c>
      <c r="AN156" s="84">
        <f>IF(AM156=0,AH156,IF(AM156&gt;=AH156,0,AH156-AM156))</f>
        <v/>
      </c>
      <c r="AO156" s="84">
        <f>IF(AM156&gt;=AH156,AI156,AI156*AM156/AH156)</f>
        <v/>
      </c>
      <c r="AP156">
        <f t="array" ref="AP156">INDEX($AU$8:$BB$25,6*(R156-1)+MATCH(AB156,$AS$8:$AS$13,0),MATCH(O156,$AU$7:$BB$7,0))</f>
        <v/>
      </c>
    </row>
    <row r="157" ht="14.25" customHeight="1">
      <c r="O157" s="43" t="inlineStr">
        <is>
          <t>Q2’26</t>
        </is>
      </c>
      <c r="P157" s="43" t="n">
        <v>1</v>
      </c>
      <c r="Q157" s="43" t="n">
        <v>7</v>
      </c>
      <c r="R157" s="43" t="n">
        <v>3</v>
      </c>
      <c r="S157" s="45" t="n">
        <v>0</v>
      </c>
      <c r="T157">
        <f>(S155+S156+S157)=O2</f>
        <v/>
      </c>
      <c r="X157" s="84">
        <f>MAX(S154-S157,0)</f>
        <v/>
      </c>
      <c r="Y157" s="83" t="n">
        <v>0</v>
      </c>
      <c r="AA157" s="84" t="n">
        <v>9</v>
      </c>
      <c r="AB157" s="84" t="inlineStr">
        <is>
          <t>D</t>
        </is>
      </c>
      <c r="AC157" s="84" t="inlineStr">
        <is>
          <t>D+</t>
        </is>
      </c>
      <c r="AD157" s="84" t="n">
        <v>17</v>
      </c>
      <c r="AE157" s="84" t="n">
        <v>13</v>
      </c>
      <c r="AF157" s="84" t="n">
        <v>0.8</v>
      </c>
      <c r="AG157" s="84" t="n">
        <v>0.88</v>
      </c>
      <c r="AH157" s="84" t="n">
        <v>0</v>
      </c>
      <c r="AI157" s="84" t="n">
        <v>0</v>
      </c>
      <c r="AJ157" s="84">
        <f>SUMIFS(AH$8:AH$1039,$O$8:$O$1039,O157,$AB$8:$AB$1039,AB157,$R$8:$R$1039,R157,$AA$8:$AA$1039,"&lt;="&amp;AA157)</f>
        <v/>
      </c>
      <c r="AK157" s="84">
        <f>E23</f>
        <v/>
      </c>
      <c r="AL157" s="84">
        <f>E29</f>
        <v/>
      </c>
      <c r="AM157" s="84">
        <f>MAX(0,AJ157-AK157)</f>
        <v/>
      </c>
      <c r="AN157" s="84">
        <f>IF(AM157=0,AH157,IF(AM157&gt;=AH157,0,AH157-AM157))</f>
        <v/>
      </c>
      <c r="AO157" s="84">
        <f>IF(AM157&gt;=AH157,AI157,AI157*AM157/AH157)</f>
        <v/>
      </c>
      <c r="AP157">
        <f t="array" ref="AP157">INDEX($AU$8:$BB$25,6*(R157-1)+MATCH(AB157,$AS$8:$AS$13,0),MATCH(O157,$AU$7:$BB$7,0))</f>
        <v/>
      </c>
    </row>
    <row r="158" ht="14.25" customHeight="1">
      <c r="O158" s="43" t="inlineStr">
        <is>
          <t>Q2’26</t>
        </is>
      </c>
      <c r="P158" s="43" t="n">
        <v>1</v>
      </c>
      <c r="Q158" s="43" t="n">
        <v>8</v>
      </c>
      <c r="R158" s="43" t="n">
        <v>1</v>
      </c>
      <c r="S158" s="45" t="n">
        <v>5761.688466007623</v>
      </c>
      <c r="T158">
        <f>(S158+S159+S160)=O2</f>
        <v/>
      </c>
      <c r="X158" s="84">
        <f>MAX(S155-S158,0)</f>
        <v/>
      </c>
      <c r="Y158" s="83" t="n">
        <v>0</v>
      </c>
      <c r="AA158" s="84" t="n">
        <v>1</v>
      </c>
      <c r="AB158" s="84" t="inlineStr">
        <is>
          <t>A</t>
        </is>
      </c>
      <c r="AC158" s="84" t="inlineStr">
        <is>
          <t>A+</t>
        </is>
      </c>
      <c r="AD158" s="84" t="n">
        <v>18</v>
      </c>
      <c r="AE158" s="84" t="n">
        <v>16</v>
      </c>
      <c r="AF158" s="84" t="n">
        <v>0.78</v>
      </c>
      <c r="AG158" s="84" t="n">
        <v>0.84</v>
      </c>
      <c r="AH158" s="84" t="n">
        <v>0</v>
      </c>
      <c r="AI158" s="84" t="n">
        <v>0</v>
      </c>
      <c r="AJ158" s="84">
        <f>SUMIFS(AH$8:AH$1039,$O$8:$O$1039,O158,$AB$8:$AB$1039,AB158,$R$8:$R$1039,R158,$AA$8:$AA$1039,"&lt;="&amp;AA158)</f>
        <v/>
      </c>
      <c r="AK158" s="84">
        <f>C20</f>
        <v/>
      </c>
      <c r="AL158" s="84">
        <f>C26</f>
        <v/>
      </c>
      <c r="AM158" s="84">
        <f>MAX(0,AJ158-AK158)</f>
        <v/>
      </c>
      <c r="AN158" s="84">
        <f>IF(AM158=0,AH158,IF(AM158&gt;=AH158,0,AH158-AM158))</f>
        <v/>
      </c>
      <c r="AO158" s="84">
        <f>IF(AM158&gt;=AH158,AI158,AI158*AM158/AH158)</f>
        <v/>
      </c>
      <c r="AP158">
        <f t="array" ref="AP158">INDEX($AU$8:$BB$25,6*(R158-1)+MATCH(AB158,$AS$8:$AS$13,0),MATCH(O158,$AU$7:$BB$7,0))</f>
        <v/>
      </c>
    </row>
    <row r="159" ht="14.25" customHeight="1">
      <c r="O159" s="43" t="inlineStr">
        <is>
          <t>Q2’26</t>
        </is>
      </c>
      <c r="P159" s="43" t="n">
        <v>1</v>
      </c>
      <c r="Q159" s="43" t="n">
        <v>8</v>
      </c>
      <c r="R159" s="43" t="n">
        <v>2</v>
      </c>
      <c r="S159" s="45" t="n">
        <v>4238.311533992377</v>
      </c>
      <c r="T159">
        <f>(S158+S159+S160)=O2</f>
        <v/>
      </c>
      <c r="X159" s="84">
        <f>MAX(S156-S159,0)</f>
        <v/>
      </c>
      <c r="Y159" s="83" t="n">
        <v>0</v>
      </c>
      <c r="AA159" s="84" t="n">
        <v>1</v>
      </c>
      <c r="AB159" s="84" t="inlineStr">
        <is>
          <t>A</t>
        </is>
      </c>
      <c r="AC159" s="84" t="inlineStr">
        <is>
          <t>A+</t>
        </is>
      </c>
      <c r="AD159" s="84" t="n">
        <v>18</v>
      </c>
      <c r="AE159" s="84" t="n">
        <v>16</v>
      </c>
      <c r="AF159" s="84" t="n">
        <v>0.78</v>
      </c>
      <c r="AG159" s="84" t="n">
        <v>0.84</v>
      </c>
      <c r="AH159" s="84" t="n">
        <v>0</v>
      </c>
      <c r="AI159" s="84" t="n">
        <v>0</v>
      </c>
      <c r="AJ159" s="84">
        <f>SUMIFS(AH$8:AH$1039,$O$8:$O$1039,O159,$AB$8:$AB$1039,AB159,$R$8:$R$1039,R159,$AA$8:$AA$1039,"&lt;="&amp;AA159)</f>
        <v/>
      </c>
      <c r="AK159" s="84">
        <f>D20</f>
        <v/>
      </c>
      <c r="AL159" s="84">
        <f>D26</f>
        <v/>
      </c>
      <c r="AM159" s="84">
        <f>MAX(0,AJ159-AK159)</f>
        <v/>
      </c>
      <c r="AN159" s="84">
        <f>IF(AM159=0,AH159,IF(AM159&gt;=AH159,0,AH159-AM159))</f>
        <v/>
      </c>
      <c r="AO159" s="84">
        <f>IF(AM159&gt;=AH159,AI159,AI159*AM159/AH159)</f>
        <v/>
      </c>
      <c r="AP159">
        <f t="array" ref="AP159">INDEX($AU$8:$BB$25,6*(R159-1)+MATCH(AB159,$AS$8:$AS$13,0),MATCH(O159,$AU$7:$BB$7,0))</f>
        <v/>
      </c>
    </row>
    <row r="160" ht="14.25" customHeight="1">
      <c r="O160" s="43" t="inlineStr">
        <is>
          <t>Q2’26</t>
        </is>
      </c>
      <c r="P160" s="43" t="n">
        <v>1</v>
      </c>
      <c r="Q160" s="43" t="n">
        <v>8</v>
      </c>
      <c r="R160" s="43" t="n">
        <v>3</v>
      </c>
      <c r="S160" s="45" t="n">
        <v>0</v>
      </c>
      <c r="T160">
        <f>(S158+S159+S160)=O2</f>
        <v/>
      </c>
      <c r="X160" s="84">
        <f>MAX(S157-S160,0)</f>
        <v/>
      </c>
      <c r="Y160" s="83" t="n">
        <v>0</v>
      </c>
      <c r="AA160" s="84" t="n">
        <v>1</v>
      </c>
      <c r="AB160" s="84" t="inlineStr">
        <is>
          <t>A</t>
        </is>
      </c>
      <c r="AC160" s="84" t="inlineStr">
        <is>
          <t>A+</t>
        </is>
      </c>
      <c r="AD160" s="84" t="n">
        <v>18</v>
      </c>
      <c r="AE160" s="84" t="n">
        <v>16</v>
      </c>
      <c r="AF160" s="84" t="n">
        <v>0.78</v>
      </c>
      <c r="AG160" s="84" t="n">
        <v>0.84</v>
      </c>
      <c r="AH160" s="84" t="n">
        <v>0</v>
      </c>
      <c r="AI160" s="84" t="n">
        <v>0</v>
      </c>
      <c r="AJ160" s="84">
        <f>SUMIFS(AH$8:AH$1039,$O$8:$O$1039,O160,$AB$8:$AB$1039,AB160,$R$8:$R$1039,R160,$AA$8:$AA$1039,"&lt;="&amp;AA160)</f>
        <v/>
      </c>
      <c r="AK160" s="84">
        <f>E20</f>
        <v/>
      </c>
      <c r="AL160" s="84">
        <f>E26</f>
        <v/>
      </c>
      <c r="AM160" s="84">
        <f>MAX(0,AJ160-AK160)</f>
        <v/>
      </c>
      <c r="AN160" s="84">
        <f>IF(AM160=0,AH160,IF(AM160&gt;=AH160,0,AH160-AM160))</f>
        <v/>
      </c>
      <c r="AO160" s="84">
        <f>IF(AM160&gt;=AH160,AI160,AI160*AM160/AH160)</f>
        <v/>
      </c>
      <c r="AP160">
        <f t="array" ref="AP160">INDEX($AU$8:$BB$25,6*(R160-1)+MATCH(AB160,$AS$8:$AS$13,0),MATCH(O160,$AU$7:$BB$7,0))</f>
        <v/>
      </c>
    </row>
    <row r="161" ht="14.25" customHeight="1">
      <c r="O161" s="43" t="inlineStr">
        <is>
          <t>Q2’26</t>
        </is>
      </c>
      <c r="P161" s="43" t="n">
        <v>1</v>
      </c>
      <c r="Q161" s="43" t="n">
        <v>9</v>
      </c>
      <c r="R161" s="43" t="n">
        <v>1</v>
      </c>
      <c r="S161" s="45" t="n">
        <v>5761.688466007623</v>
      </c>
      <c r="T161">
        <f>(S161+S162+S163)=O2</f>
        <v/>
      </c>
      <c r="X161" s="84">
        <f>MAX(S158-S161,0)</f>
        <v/>
      </c>
      <c r="Y161" s="83" t="n">
        <v>0</v>
      </c>
      <c r="AA161" s="84" t="n">
        <v>2</v>
      </c>
      <c r="AB161" s="84" t="inlineStr">
        <is>
          <t>A</t>
        </is>
      </c>
      <c r="AC161" s="84" t="inlineStr">
        <is>
          <t>A+</t>
        </is>
      </c>
      <c r="AD161" s="84" t="n">
        <v>16</v>
      </c>
      <c r="AE161" s="84" t="n">
        <v>13</v>
      </c>
      <c r="AF161" s="84" t="n">
        <v>0.78</v>
      </c>
      <c r="AG161" s="84" t="n">
        <v>0.84</v>
      </c>
      <c r="AH161" s="84" t="n">
        <v>0</v>
      </c>
      <c r="AI161" s="84" t="n">
        <v>0</v>
      </c>
      <c r="AJ161" s="84">
        <f>SUMIFS(AH$8:AH$1039,$O$8:$O$1039,O161,$AB$8:$AB$1039,AB161,$R$8:$R$1039,R161,$AA$8:$AA$1039,"&lt;="&amp;AA161)</f>
        <v/>
      </c>
      <c r="AK161" s="84">
        <f>C20</f>
        <v/>
      </c>
      <c r="AL161" s="84">
        <f>C26</f>
        <v/>
      </c>
      <c r="AM161" s="84">
        <f>MAX(0,AJ161-AK161)</f>
        <v/>
      </c>
      <c r="AN161" s="84">
        <f>IF(AM161=0,AH161,IF(AM161&gt;=AH161,0,AH161-AM161))</f>
        <v/>
      </c>
      <c r="AO161" s="84">
        <f>IF(AM161&gt;=AH161,AI161,AI161*AM161/AH161)</f>
        <v/>
      </c>
      <c r="AP161">
        <f t="array" ref="AP161">INDEX($AU$8:$BB$25,6*(R161-1)+MATCH(AB161,$AS$8:$AS$13,0),MATCH(O161,$AU$7:$BB$7,0))</f>
        <v/>
      </c>
    </row>
    <row r="162" ht="14.25" customHeight="1">
      <c r="O162" s="43" t="inlineStr">
        <is>
          <t>Q2’26</t>
        </is>
      </c>
      <c r="P162" s="43" t="n">
        <v>1</v>
      </c>
      <c r="Q162" s="43" t="n">
        <v>9</v>
      </c>
      <c r="R162" s="43" t="n">
        <v>2</v>
      </c>
      <c r="S162" s="45" t="n">
        <v>4238.311533992377</v>
      </c>
      <c r="T162">
        <f>(S161+S162+S163)=O2</f>
        <v/>
      </c>
      <c r="X162" s="84">
        <f>MAX(S159-S162,0)</f>
        <v/>
      </c>
      <c r="Y162" s="83" t="n">
        <v>0</v>
      </c>
      <c r="AA162" s="84" t="n">
        <v>2</v>
      </c>
      <c r="AB162" s="84" t="inlineStr">
        <is>
          <t>A</t>
        </is>
      </c>
      <c r="AC162" s="84" t="inlineStr">
        <is>
          <t>A+</t>
        </is>
      </c>
      <c r="AD162" s="84" t="n">
        <v>16</v>
      </c>
      <c r="AE162" s="84" t="n">
        <v>13</v>
      </c>
      <c r="AF162" s="84" t="n">
        <v>0.78</v>
      </c>
      <c r="AG162" s="84" t="n">
        <v>0.84</v>
      </c>
      <c r="AH162" s="84" t="n">
        <v>0</v>
      </c>
      <c r="AI162" s="84" t="n">
        <v>0</v>
      </c>
      <c r="AJ162" s="84">
        <f>SUMIFS(AH$8:AH$1039,$O$8:$O$1039,O162,$AB$8:$AB$1039,AB162,$R$8:$R$1039,R162,$AA$8:$AA$1039,"&lt;="&amp;AA162)</f>
        <v/>
      </c>
      <c r="AK162" s="84">
        <f>D20</f>
        <v/>
      </c>
      <c r="AL162" s="84">
        <f>D26</f>
        <v/>
      </c>
      <c r="AM162" s="84">
        <f>MAX(0,AJ162-AK162)</f>
        <v/>
      </c>
      <c r="AN162" s="84">
        <f>IF(AM162=0,AH162,IF(AM162&gt;=AH162,0,AH162-AM162))</f>
        <v/>
      </c>
      <c r="AO162" s="84">
        <f>IF(AM162&gt;=AH162,AI162,AI162*AM162/AH162)</f>
        <v/>
      </c>
      <c r="AP162">
        <f t="array" ref="AP162">INDEX($AU$8:$BB$25,6*(R162-1)+MATCH(AB162,$AS$8:$AS$13,0),MATCH(O162,$AU$7:$BB$7,0))</f>
        <v/>
      </c>
    </row>
    <row r="163" ht="14.25" customHeight="1">
      <c r="O163" s="43" t="inlineStr">
        <is>
          <t>Q2’26</t>
        </is>
      </c>
      <c r="P163" s="43" t="n">
        <v>1</v>
      </c>
      <c r="Q163" s="43" t="n">
        <v>9</v>
      </c>
      <c r="R163" s="43" t="n">
        <v>3</v>
      </c>
      <c r="S163" s="45" t="n">
        <v>0</v>
      </c>
      <c r="T163">
        <f>(S161+S162+S163)=O2</f>
        <v/>
      </c>
      <c r="X163" s="84">
        <f>MAX(S160-S163,0)</f>
        <v/>
      </c>
      <c r="Y163" s="83" t="n">
        <v>0</v>
      </c>
      <c r="AA163" s="84" t="n">
        <v>2</v>
      </c>
      <c r="AB163" s="84" t="inlineStr">
        <is>
          <t>A</t>
        </is>
      </c>
      <c r="AC163" s="84" t="inlineStr">
        <is>
          <t>A+</t>
        </is>
      </c>
      <c r="AD163" s="84" t="n">
        <v>16</v>
      </c>
      <c r="AE163" s="84" t="n">
        <v>13</v>
      </c>
      <c r="AF163" s="84" t="n">
        <v>0.78</v>
      </c>
      <c r="AG163" s="84" t="n">
        <v>0.84</v>
      </c>
      <c r="AH163" s="84" t="n">
        <v>0</v>
      </c>
      <c r="AI163" s="84" t="n">
        <v>0</v>
      </c>
      <c r="AJ163" s="84">
        <f>SUMIFS(AH$8:AH$1039,$O$8:$O$1039,O163,$AB$8:$AB$1039,AB163,$R$8:$R$1039,R163,$AA$8:$AA$1039,"&lt;="&amp;AA163)</f>
        <v/>
      </c>
      <c r="AK163" s="84">
        <f>E20</f>
        <v/>
      </c>
      <c r="AL163" s="84">
        <f>E26</f>
        <v/>
      </c>
      <c r="AM163" s="84">
        <f>MAX(0,AJ163-AK163)</f>
        <v/>
      </c>
      <c r="AN163" s="84">
        <f>IF(AM163=0,AH163,IF(AM163&gt;=AH163,0,AH163-AM163))</f>
        <v/>
      </c>
      <c r="AO163" s="84">
        <f>IF(AM163&gt;=AH163,AI163,AI163*AM163/AH163)</f>
        <v/>
      </c>
      <c r="AP163">
        <f t="array" ref="AP163">INDEX($AU$8:$BB$25,6*(R163-1)+MATCH(AB163,$AS$8:$AS$13,0),MATCH(O163,$AU$7:$BB$7,0))</f>
        <v/>
      </c>
    </row>
    <row r="164" ht="14.25" customHeight="1">
      <c r="O164" s="43" t="inlineStr">
        <is>
          <t>Q2’26</t>
        </is>
      </c>
      <c r="P164" s="43" t="n">
        <v>1</v>
      </c>
      <c r="Q164" s="43" t="n">
        <v>10</v>
      </c>
      <c r="R164" s="43" t="n">
        <v>1</v>
      </c>
      <c r="S164" s="45" t="n">
        <v>5761.688466007623</v>
      </c>
      <c r="T164">
        <f>(S164+S165+S166)=O2</f>
        <v/>
      </c>
      <c r="X164" s="84">
        <f>MAX(S161-S164,0)</f>
        <v/>
      </c>
      <c r="Y164" s="83" t="n">
        <v>0</v>
      </c>
      <c r="AA164" s="84" t="n">
        <v>6</v>
      </c>
      <c r="AB164" s="84" t="inlineStr">
        <is>
          <t>D</t>
        </is>
      </c>
      <c r="AC164" s="84" t="inlineStr">
        <is>
          <t>D+</t>
        </is>
      </c>
      <c r="AD164" s="84" t="n">
        <v>14</v>
      </c>
      <c r="AE164" s="84" t="n">
        <v>11</v>
      </c>
      <c r="AF164" s="84" t="n">
        <v>0.8</v>
      </c>
      <c r="AG164" s="84" t="n">
        <v>0.88</v>
      </c>
      <c r="AH164" s="84" t="n">
        <v>0</v>
      </c>
      <c r="AI164" s="84" t="n">
        <v>0</v>
      </c>
      <c r="AJ164" s="84">
        <f>SUMIFS(AH$8:AH$1039,$O$8:$O$1039,O164,$AB$8:$AB$1039,AB164,$R$8:$R$1039,R164,$AA$8:$AA$1039,"&lt;="&amp;AA164)</f>
        <v/>
      </c>
      <c r="AK164" s="84">
        <f>C23</f>
        <v/>
      </c>
      <c r="AL164" s="84">
        <f>C29</f>
        <v/>
      </c>
      <c r="AM164" s="84">
        <f>MAX(0,AJ164-AK164)</f>
        <v/>
      </c>
      <c r="AN164" s="84">
        <f>IF(AM164=0,AH164,IF(AM164&gt;=AH164,0,AH164-AM164))</f>
        <v/>
      </c>
      <c r="AO164" s="84">
        <f>IF(AM164&gt;=AH164,AI164,AI164*AM164/AH164)</f>
        <v/>
      </c>
      <c r="AP164">
        <f t="array" ref="AP164">INDEX($AU$8:$BB$25,6*(R164-1)+MATCH(AB164,$AS$8:$AS$13,0),MATCH(O164,$AU$7:$BB$7,0))</f>
        <v/>
      </c>
    </row>
    <row r="165" ht="14.25" customHeight="1">
      <c r="O165" s="43" t="inlineStr">
        <is>
          <t>Q2’26</t>
        </is>
      </c>
      <c r="P165" s="43" t="n">
        <v>1</v>
      </c>
      <c r="Q165" s="43" t="n">
        <v>10</v>
      </c>
      <c r="R165" s="43" t="n">
        <v>2</v>
      </c>
      <c r="S165" s="45" t="n">
        <v>4238.311533992377</v>
      </c>
      <c r="T165">
        <f>(S164+S165+S166)=O2</f>
        <v/>
      </c>
      <c r="X165" s="84">
        <f>MAX(S162-S165,0)</f>
        <v/>
      </c>
      <c r="Y165" s="83" t="n">
        <v>0</v>
      </c>
      <c r="AA165" s="84" t="n">
        <v>6</v>
      </c>
      <c r="AB165" s="84" t="inlineStr">
        <is>
          <t>D</t>
        </is>
      </c>
      <c r="AC165" s="84" t="inlineStr">
        <is>
          <t>D+</t>
        </is>
      </c>
      <c r="AD165" s="84" t="n">
        <v>14</v>
      </c>
      <c r="AE165" s="84" t="n">
        <v>11</v>
      </c>
      <c r="AF165" s="84" t="n">
        <v>0.8</v>
      </c>
      <c r="AG165" s="84" t="n">
        <v>0.88</v>
      </c>
      <c r="AH165" s="84" t="n">
        <v>0</v>
      </c>
      <c r="AI165" s="84" t="n">
        <v>0</v>
      </c>
      <c r="AJ165" s="84">
        <f>SUMIFS(AH$8:AH$1039,$O$8:$O$1039,O165,$AB$8:$AB$1039,AB165,$R$8:$R$1039,R165,$AA$8:$AA$1039,"&lt;="&amp;AA165)</f>
        <v/>
      </c>
      <c r="AK165" s="84">
        <f>D23</f>
        <v/>
      </c>
      <c r="AL165" s="84">
        <f>D29</f>
        <v/>
      </c>
      <c r="AM165" s="84">
        <f>MAX(0,AJ165-AK165)</f>
        <v/>
      </c>
      <c r="AN165" s="84">
        <f>IF(AM165=0,AH165,IF(AM165&gt;=AH165,0,AH165-AM165))</f>
        <v/>
      </c>
      <c r="AO165" s="84">
        <f>IF(AM165&gt;=AH165,AI165,AI165*AM165/AH165)</f>
        <v/>
      </c>
      <c r="AP165">
        <f t="array" ref="AP165">INDEX($AU$8:$BB$25,6*(R165-1)+MATCH(AB165,$AS$8:$AS$13,0),MATCH(O165,$AU$7:$BB$7,0))</f>
        <v/>
      </c>
    </row>
    <row r="166" ht="14.25" customHeight="1">
      <c r="O166" s="43" t="inlineStr">
        <is>
          <t>Q2’26</t>
        </is>
      </c>
      <c r="P166" s="43" t="n">
        <v>1</v>
      </c>
      <c r="Q166" s="43" t="n">
        <v>10</v>
      </c>
      <c r="R166" s="43" t="n">
        <v>3</v>
      </c>
      <c r="S166" s="45" t="n">
        <v>0</v>
      </c>
      <c r="T166">
        <f>(S164+S165+S166)=O2</f>
        <v/>
      </c>
      <c r="X166" s="84">
        <f>MAX(S163-S166,0)</f>
        <v/>
      </c>
      <c r="Y166" s="83" t="n">
        <v>0</v>
      </c>
      <c r="AA166" s="84" t="n">
        <v>6</v>
      </c>
      <c r="AB166" s="84" t="inlineStr">
        <is>
          <t>D</t>
        </is>
      </c>
      <c r="AC166" s="84" t="inlineStr">
        <is>
          <t>D+</t>
        </is>
      </c>
      <c r="AD166" s="84" t="n">
        <v>14</v>
      </c>
      <c r="AE166" s="84" t="n">
        <v>11</v>
      </c>
      <c r="AF166" s="84" t="n">
        <v>0.8</v>
      </c>
      <c r="AG166" s="84" t="n">
        <v>0.88</v>
      </c>
      <c r="AH166" s="84" t="n">
        <v>0</v>
      </c>
      <c r="AI166" s="84" t="n">
        <v>0</v>
      </c>
      <c r="AJ166" s="84">
        <f>SUMIFS(AH$8:AH$1039,$O$8:$O$1039,O166,$AB$8:$AB$1039,AB166,$R$8:$R$1039,R166,$AA$8:$AA$1039,"&lt;="&amp;AA166)</f>
        <v/>
      </c>
      <c r="AK166" s="84">
        <f>E23</f>
        <v/>
      </c>
      <c r="AL166" s="84">
        <f>E29</f>
        <v/>
      </c>
      <c r="AM166" s="84">
        <f>MAX(0,AJ166-AK166)</f>
        <v/>
      </c>
      <c r="AN166" s="84">
        <f>IF(AM166=0,AH166,IF(AM166&gt;=AH166,0,AH166-AM166))</f>
        <v/>
      </c>
      <c r="AO166" s="84">
        <f>IF(AM166&gt;=AH166,AI166,AI166*AM166/AH166)</f>
        <v/>
      </c>
      <c r="AP166">
        <f t="array" ref="AP166">INDEX($AU$8:$BB$25,6*(R166-1)+MATCH(AB166,$AS$8:$AS$13,0),MATCH(O166,$AU$7:$BB$7,0))</f>
        <v/>
      </c>
    </row>
    <row r="167" ht="14.25" customHeight="1">
      <c r="O167" s="43" t="inlineStr">
        <is>
          <t>Q2’26</t>
        </is>
      </c>
      <c r="P167" s="43" t="n">
        <v>1</v>
      </c>
      <c r="Q167" s="43" t="n">
        <v>11</v>
      </c>
      <c r="R167" s="43" t="n">
        <v>1</v>
      </c>
      <c r="S167" s="45" t="n">
        <v>5761.688466007623</v>
      </c>
      <c r="T167">
        <f>(S167+S168+S169)=O2</f>
        <v/>
      </c>
      <c r="X167" s="84">
        <f>MAX(S164-S167,0)</f>
        <v/>
      </c>
      <c r="Y167" s="83" t="n">
        <v>0</v>
      </c>
      <c r="AA167" s="84" t="n">
        <v>3</v>
      </c>
      <c r="AB167" s="84" t="inlineStr">
        <is>
          <t>F</t>
        </is>
      </c>
      <c r="AC167" s="84" t="inlineStr">
        <is>
          <t>F+</t>
        </is>
      </c>
      <c r="AD167" s="84" t="n">
        <v>18</v>
      </c>
      <c r="AE167" s="84" t="n">
        <v>16</v>
      </c>
      <c r="AF167" s="84" t="n">
        <v>0.8</v>
      </c>
      <c r="AG167" s="84" t="n">
        <v>0.9</v>
      </c>
      <c r="AH167" s="84" t="n">
        <v>0</v>
      </c>
      <c r="AI167" s="84" t="n">
        <v>0</v>
      </c>
      <c r="AJ167" s="84">
        <f>SUMIFS(AH$8:AH$1039,$O$8:$O$1039,O167,$AB$8:$AB$1039,AB167,$R$8:$R$1039,R167,$AA$8:$AA$1039,"&lt;="&amp;AA167)</f>
        <v/>
      </c>
      <c r="AK167" s="84">
        <f>C25</f>
        <v/>
      </c>
      <c r="AL167" s="84">
        <f>C31</f>
        <v/>
      </c>
      <c r="AM167" s="84">
        <f>MAX(0,AJ167-AK167)</f>
        <v/>
      </c>
      <c r="AN167" s="84">
        <f>IF(AM167=0,AH167,IF(AM167&gt;=AH167,0,AH167-AM167))</f>
        <v/>
      </c>
      <c r="AO167" s="84">
        <f>IF(AM167&gt;=AH167,AI167,AI167*AM167/AH167)</f>
        <v/>
      </c>
      <c r="AP167">
        <f t="array" ref="AP167">INDEX($AU$8:$BB$25,6*(R167-1)+MATCH(AB167,$AS$8:$AS$13,0),MATCH(O167,$AU$7:$BB$7,0))</f>
        <v/>
      </c>
    </row>
    <row r="168" ht="14.25" customHeight="1">
      <c r="O168" s="43" t="inlineStr">
        <is>
          <t>Q2’26</t>
        </is>
      </c>
      <c r="P168" s="43" t="n">
        <v>1</v>
      </c>
      <c r="Q168" s="43" t="n">
        <v>11</v>
      </c>
      <c r="R168" s="43" t="n">
        <v>2</v>
      </c>
      <c r="S168" s="45" t="n">
        <v>4238.311533992377</v>
      </c>
      <c r="T168">
        <f>(S167+S168+S169)=O2</f>
        <v/>
      </c>
      <c r="X168" s="84">
        <f>MAX(S165-S168,0)</f>
        <v/>
      </c>
      <c r="Y168" s="83" t="n">
        <v>0</v>
      </c>
      <c r="AA168" s="84" t="n">
        <v>3</v>
      </c>
      <c r="AB168" s="84" t="inlineStr">
        <is>
          <t>F</t>
        </is>
      </c>
      <c r="AC168" s="84" t="inlineStr">
        <is>
          <t>F+</t>
        </is>
      </c>
      <c r="AD168" s="84" t="n">
        <v>18</v>
      </c>
      <c r="AE168" s="84" t="n">
        <v>16</v>
      </c>
      <c r="AF168" s="84" t="n">
        <v>0.8</v>
      </c>
      <c r="AG168" s="84" t="n">
        <v>0.9</v>
      </c>
      <c r="AH168" s="84" t="n">
        <v>0</v>
      </c>
      <c r="AI168" s="84" t="n">
        <v>0</v>
      </c>
      <c r="AJ168" s="84">
        <f>SUMIFS(AH$8:AH$1039,$O$8:$O$1039,O168,$AB$8:$AB$1039,AB168,$R$8:$R$1039,R168,$AA$8:$AA$1039,"&lt;="&amp;AA168)</f>
        <v/>
      </c>
      <c r="AK168" s="84">
        <f>D25</f>
        <v/>
      </c>
      <c r="AL168" s="84">
        <f>D31</f>
        <v/>
      </c>
      <c r="AM168" s="84">
        <f>MAX(0,AJ168-AK168)</f>
        <v/>
      </c>
      <c r="AN168" s="84">
        <f>IF(AM168=0,AH168,IF(AM168&gt;=AH168,0,AH168-AM168))</f>
        <v/>
      </c>
      <c r="AO168" s="84">
        <f>IF(AM168&gt;=AH168,AI168,AI168*AM168/AH168)</f>
        <v/>
      </c>
      <c r="AP168">
        <f t="array" ref="AP168">INDEX($AU$8:$BB$25,6*(R168-1)+MATCH(AB168,$AS$8:$AS$13,0),MATCH(O168,$AU$7:$BB$7,0))</f>
        <v/>
      </c>
    </row>
    <row r="169" ht="14.25" customHeight="1">
      <c r="O169" s="43" t="inlineStr">
        <is>
          <t>Q2’26</t>
        </is>
      </c>
      <c r="P169" s="43" t="n">
        <v>1</v>
      </c>
      <c r="Q169" s="43" t="n">
        <v>11</v>
      </c>
      <c r="R169" s="43" t="n">
        <v>3</v>
      </c>
      <c r="S169" s="45" t="n">
        <v>-0</v>
      </c>
      <c r="T169">
        <f>(S167+S168+S169)=O2</f>
        <v/>
      </c>
      <c r="X169" s="84">
        <f>MAX(S166-S169,0)</f>
        <v/>
      </c>
      <c r="Y169" s="83" t="n">
        <v>0</v>
      </c>
      <c r="AA169" s="84" t="n">
        <v>3</v>
      </c>
      <c r="AB169" s="84" t="inlineStr">
        <is>
          <t>F</t>
        </is>
      </c>
      <c r="AC169" s="84" t="inlineStr">
        <is>
          <t>F+</t>
        </is>
      </c>
      <c r="AD169" s="84" t="n">
        <v>18</v>
      </c>
      <c r="AE169" s="84" t="n">
        <v>16</v>
      </c>
      <c r="AF169" s="84" t="n">
        <v>0.8</v>
      </c>
      <c r="AG169" s="84" t="n">
        <v>0.9</v>
      </c>
      <c r="AH169" s="84" t="n">
        <v>0</v>
      </c>
      <c r="AI169" s="84" t="n">
        <v>0</v>
      </c>
      <c r="AJ169" s="84">
        <f>SUMIFS(AH$8:AH$1039,$O$8:$O$1039,O169,$AB$8:$AB$1039,AB169,$R$8:$R$1039,R169,$AA$8:$AA$1039,"&lt;="&amp;AA169)</f>
        <v/>
      </c>
      <c r="AK169" s="84">
        <f>E25</f>
        <v/>
      </c>
      <c r="AL169" s="84">
        <f>E31</f>
        <v/>
      </c>
      <c r="AM169" s="84">
        <f>MAX(0,AJ169-AK169)</f>
        <v/>
      </c>
      <c r="AN169" s="84">
        <f>IF(AM169=0,AH169,IF(AM169&gt;=AH169,0,AH169-AM169))</f>
        <v/>
      </c>
      <c r="AO169" s="84">
        <f>IF(AM169&gt;=AH169,AI169,AI169*AM169/AH169)</f>
        <v/>
      </c>
      <c r="AP169">
        <f t="array" ref="AP169">INDEX($AU$8:$BB$25,6*(R169-1)+MATCH(AB169,$AS$8:$AS$13,0),MATCH(O169,$AU$7:$BB$7,0))</f>
        <v/>
      </c>
    </row>
    <row r="170" ht="14.25" customHeight="1">
      <c r="O170" s="43" t="inlineStr">
        <is>
          <t>Q2’26</t>
        </is>
      </c>
      <c r="P170" s="43" t="n">
        <v>2</v>
      </c>
      <c r="Q170" s="43" t="n">
        <v>1</v>
      </c>
      <c r="R170" s="43" t="n">
        <v>1</v>
      </c>
      <c r="S170" s="45" t="n">
        <v>3429.440000000001</v>
      </c>
      <c r="T170">
        <f>(S170+S171+S172)=O3</f>
        <v/>
      </c>
      <c r="X170" s="84" t="n">
        <v>0</v>
      </c>
      <c r="Y170" s="83" t="n">
        <v>0</v>
      </c>
      <c r="AA170" s="84" t="n">
        <v>9</v>
      </c>
      <c r="AB170" s="84" t="inlineStr">
        <is>
          <t>F</t>
        </is>
      </c>
      <c r="AC170" s="84" t="inlineStr">
        <is>
          <t>F+</t>
        </is>
      </c>
      <c r="AD170" s="84" t="n">
        <v>19</v>
      </c>
      <c r="AE170" s="84" t="n">
        <v>16</v>
      </c>
      <c r="AF170" s="84" t="n">
        <v>0.8</v>
      </c>
      <c r="AG170" s="84" t="n">
        <v>0.9</v>
      </c>
      <c r="AH170" s="84" t="n">
        <v>0</v>
      </c>
      <c r="AI170" s="84" t="n">
        <v>0</v>
      </c>
      <c r="AJ170" s="84">
        <f>SUMIFS(AH$8:AH$1039,$O$8:$O$1039,O170,$AB$8:$AB$1039,AB170,$R$8:$R$1039,R170,$AA$8:$AA$1039,"&lt;="&amp;AA170)</f>
        <v/>
      </c>
      <c r="AK170" s="84">
        <f>C25</f>
        <v/>
      </c>
      <c r="AL170" s="84">
        <f>C31</f>
        <v/>
      </c>
      <c r="AM170" s="84">
        <f>MAX(0,AJ170-AK170)</f>
        <v/>
      </c>
      <c r="AN170" s="84">
        <f>IF(AM170=0,AH170,IF(AM170&gt;=AH170,0,AH170-AM170))</f>
        <v/>
      </c>
      <c r="AO170" s="84">
        <f>IF(AM170&gt;=AH170,AI170,AI170*AM170/AH170)</f>
        <v/>
      </c>
      <c r="AP170">
        <f t="array" ref="AP170">INDEX($AU$8:$BB$25,6*(R170-1)+MATCH(AB170,$AS$8:$AS$13,0),MATCH(O170,$AU$7:$BB$7,0))</f>
        <v/>
      </c>
    </row>
    <row r="171" ht="14.25" customHeight="1">
      <c r="O171" s="43" t="inlineStr">
        <is>
          <t>Q2’26</t>
        </is>
      </c>
      <c r="P171" s="43" t="n">
        <v>2</v>
      </c>
      <c r="Q171" s="43" t="n">
        <v>1</v>
      </c>
      <c r="R171" s="43" t="n">
        <v>2</v>
      </c>
      <c r="S171" s="45" t="n">
        <v>1770.559999999999</v>
      </c>
      <c r="T171">
        <f>(S170+S171+S172)=O3</f>
        <v/>
      </c>
      <c r="X171" s="84" t="n">
        <v>0</v>
      </c>
      <c r="Y171" s="83" t="n">
        <v>0</v>
      </c>
      <c r="AA171" s="84" t="n">
        <v>9</v>
      </c>
      <c r="AB171" s="84" t="inlineStr">
        <is>
          <t>F</t>
        </is>
      </c>
      <c r="AC171" s="84" t="inlineStr">
        <is>
          <t>F+</t>
        </is>
      </c>
      <c r="AD171" s="84" t="n">
        <v>19</v>
      </c>
      <c r="AE171" s="84" t="n">
        <v>16</v>
      </c>
      <c r="AF171" s="84" t="n">
        <v>0.8</v>
      </c>
      <c r="AG171" s="84" t="n">
        <v>0.9</v>
      </c>
      <c r="AH171" s="84" t="n">
        <v>0</v>
      </c>
      <c r="AI171" s="84" t="n">
        <v>0</v>
      </c>
      <c r="AJ171" s="84">
        <f>SUMIFS(AH$8:AH$1039,$O$8:$O$1039,O171,$AB$8:$AB$1039,AB171,$R$8:$R$1039,R171,$AA$8:$AA$1039,"&lt;="&amp;AA171)</f>
        <v/>
      </c>
      <c r="AK171" s="84">
        <f>D25</f>
        <v/>
      </c>
      <c r="AL171" s="84">
        <f>D31</f>
        <v/>
      </c>
      <c r="AM171" s="84">
        <f>MAX(0,AJ171-AK171)</f>
        <v/>
      </c>
      <c r="AN171" s="84">
        <f>IF(AM171=0,AH171,IF(AM171&gt;=AH171,0,AH171-AM171))</f>
        <v/>
      </c>
      <c r="AO171" s="84">
        <f>IF(AM171&gt;=AH171,AI171,AI171*AM171/AH171)</f>
        <v/>
      </c>
      <c r="AP171">
        <f t="array" ref="AP171">INDEX($AU$8:$BB$25,6*(R171-1)+MATCH(AB171,$AS$8:$AS$13,0),MATCH(O171,$AU$7:$BB$7,0))</f>
        <v/>
      </c>
    </row>
    <row r="172" ht="14.25" customHeight="1">
      <c r="O172" s="43" t="inlineStr">
        <is>
          <t>Q2’26</t>
        </is>
      </c>
      <c r="P172" s="43" t="n">
        <v>2</v>
      </c>
      <c r="Q172" s="43" t="n">
        <v>1</v>
      </c>
      <c r="R172" s="43" t="n">
        <v>3</v>
      </c>
      <c r="S172" s="45" t="n">
        <v>0</v>
      </c>
      <c r="T172">
        <f>(S170+S171+S172)=O3</f>
        <v/>
      </c>
      <c r="X172" s="84" t="n">
        <v>0</v>
      </c>
      <c r="Y172" s="83" t="n">
        <v>0</v>
      </c>
      <c r="AA172" s="84" t="n">
        <v>9</v>
      </c>
      <c r="AB172" s="84" t="inlineStr">
        <is>
          <t>F</t>
        </is>
      </c>
      <c r="AC172" s="84" t="inlineStr">
        <is>
          <t>F+</t>
        </is>
      </c>
      <c r="AD172" s="84" t="n">
        <v>19</v>
      </c>
      <c r="AE172" s="84" t="n">
        <v>16</v>
      </c>
      <c r="AF172" s="84" t="n">
        <v>0.8</v>
      </c>
      <c r="AG172" s="84" t="n">
        <v>0.9</v>
      </c>
      <c r="AH172" s="84" t="n">
        <v>0</v>
      </c>
      <c r="AI172" s="84" t="n">
        <v>0</v>
      </c>
      <c r="AJ172" s="84">
        <f>SUMIFS(AH$8:AH$1039,$O$8:$O$1039,O172,$AB$8:$AB$1039,AB172,$R$8:$R$1039,R172,$AA$8:$AA$1039,"&lt;="&amp;AA172)</f>
        <v/>
      </c>
      <c r="AK172" s="84">
        <f>E25</f>
        <v/>
      </c>
      <c r="AL172" s="84">
        <f>E31</f>
        <v/>
      </c>
      <c r="AM172" s="84">
        <f>MAX(0,AJ172-AK172)</f>
        <v/>
      </c>
      <c r="AN172" s="84">
        <f>IF(AM172=0,AH172,IF(AM172&gt;=AH172,0,AH172-AM172))</f>
        <v/>
      </c>
      <c r="AO172" s="84">
        <f>IF(AM172&gt;=AH172,AI172,AI172*AM172/AH172)</f>
        <v/>
      </c>
      <c r="AP172">
        <f t="array" ref="AP172">INDEX($AU$8:$BB$25,6*(R172-1)+MATCH(AB172,$AS$8:$AS$13,0),MATCH(O172,$AU$7:$BB$7,0))</f>
        <v/>
      </c>
    </row>
    <row r="173" ht="14.25" customHeight="1">
      <c r="O173" s="43" t="inlineStr">
        <is>
          <t>Q2’26</t>
        </is>
      </c>
      <c r="P173" s="43" t="n">
        <v>2</v>
      </c>
      <c r="Q173" s="43" t="n">
        <v>2</v>
      </c>
      <c r="R173" s="43" t="n">
        <v>1</v>
      </c>
      <c r="S173" s="45" t="n">
        <v>3429.440000000001</v>
      </c>
      <c r="T173">
        <f>(S173+S174+S175)=O3</f>
        <v/>
      </c>
      <c r="X173" s="84">
        <f>MAX(S170-S173,0)</f>
        <v/>
      </c>
      <c r="Y173" s="83" t="n">
        <v>0</v>
      </c>
      <c r="AA173" s="84" t="n">
        <v>1</v>
      </c>
      <c r="AB173" s="84" t="inlineStr">
        <is>
          <t>B</t>
        </is>
      </c>
      <c r="AC173" s="84" t="inlineStr">
        <is>
          <t>B+</t>
        </is>
      </c>
      <c r="AD173" s="84" t="n">
        <v>20</v>
      </c>
      <c r="AE173" s="84" t="n">
        <v>18</v>
      </c>
      <c r="AF173" s="84" t="n">
        <v>0.76</v>
      </c>
      <c r="AG173" s="84" t="n">
        <v>0.8100000000000001</v>
      </c>
      <c r="AH173" s="84" t="n">
        <v>0</v>
      </c>
      <c r="AI173" s="84" t="n">
        <v>0</v>
      </c>
      <c r="AJ173" s="84">
        <f>SUMIFS(AH$8:AH$1039,$O$8:$O$1039,O173,$AB$8:$AB$1039,AB173,$R$8:$R$1039,R173,$AA$8:$AA$1039,"&lt;="&amp;AA173)</f>
        <v/>
      </c>
      <c r="AK173" s="84">
        <f>C21</f>
        <v/>
      </c>
      <c r="AL173" s="84">
        <f>C27</f>
        <v/>
      </c>
      <c r="AM173" s="84">
        <f>MAX(0,AJ173-AK173)</f>
        <v/>
      </c>
      <c r="AN173" s="84">
        <f>IF(AM173=0,AH173,IF(AM173&gt;=AH173,0,AH173-AM173))</f>
        <v/>
      </c>
      <c r="AO173" s="84">
        <f>IF(AM173&gt;=AH173,AI173,AI173*AM173/AH173)</f>
        <v/>
      </c>
      <c r="AP173">
        <f t="array" ref="AP173">INDEX($AU$8:$BB$25,6*(R173-1)+MATCH(AB173,$AS$8:$AS$13,0),MATCH(O173,$AU$7:$BB$7,0))</f>
        <v/>
      </c>
    </row>
    <row r="174" ht="14.25" customHeight="1">
      <c r="O174" s="43" t="inlineStr">
        <is>
          <t>Q2’26</t>
        </is>
      </c>
      <c r="P174" s="43" t="n">
        <v>2</v>
      </c>
      <c r="Q174" s="43" t="n">
        <v>2</v>
      </c>
      <c r="R174" s="43" t="n">
        <v>2</v>
      </c>
      <c r="S174" s="45" t="n">
        <v>1770.559999999999</v>
      </c>
      <c r="T174">
        <f>(S173+S174+S175)=O3</f>
        <v/>
      </c>
      <c r="X174" s="84">
        <f>MAX(S171-S174,0)</f>
        <v/>
      </c>
      <c r="Y174" s="83" t="n">
        <v>0</v>
      </c>
      <c r="AA174" s="84" t="n">
        <v>1</v>
      </c>
      <c r="AB174" s="84" t="inlineStr">
        <is>
          <t>B</t>
        </is>
      </c>
      <c r="AC174" s="84" t="inlineStr">
        <is>
          <t>B+</t>
        </is>
      </c>
      <c r="AD174" s="84" t="n">
        <v>20</v>
      </c>
      <c r="AE174" s="84" t="n">
        <v>18</v>
      </c>
      <c r="AF174" s="84" t="n">
        <v>0.76</v>
      </c>
      <c r="AG174" s="84" t="n">
        <v>0.8100000000000001</v>
      </c>
      <c r="AH174" s="84" t="n">
        <v>0</v>
      </c>
      <c r="AI174" s="84" t="n">
        <v>0</v>
      </c>
      <c r="AJ174" s="84">
        <f>SUMIFS(AH$8:AH$1039,$O$8:$O$1039,O174,$AB$8:$AB$1039,AB174,$R$8:$R$1039,R174,$AA$8:$AA$1039,"&lt;="&amp;AA174)</f>
        <v/>
      </c>
      <c r="AK174" s="84">
        <f>D21</f>
        <v/>
      </c>
      <c r="AL174" s="84">
        <f>D27</f>
        <v/>
      </c>
      <c r="AM174" s="84">
        <f>MAX(0,AJ174-AK174)</f>
        <v/>
      </c>
      <c r="AN174" s="84">
        <f>IF(AM174=0,AH174,IF(AM174&gt;=AH174,0,AH174-AM174))</f>
        <v/>
      </c>
      <c r="AO174" s="84">
        <f>IF(AM174&gt;=AH174,AI174,AI174*AM174/AH174)</f>
        <v/>
      </c>
      <c r="AP174">
        <f t="array" ref="AP174">INDEX($AU$8:$BB$25,6*(R174-1)+MATCH(AB174,$AS$8:$AS$13,0),MATCH(O174,$AU$7:$BB$7,0))</f>
        <v/>
      </c>
    </row>
    <row r="175" ht="14.25" customHeight="1">
      <c r="O175" s="43" t="inlineStr">
        <is>
          <t>Q2’26</t>
        </is>
      </c>
      <c r="P175" s="43" t="n">
        <v>2</v>
      </c>
      <c r="Q175" s="43" t="n">
        <v>2</v>
      </c>
      <c r="R175" s="43" t="n">
        <v>3</v>
      </c>
      <c r="S175" s="45" t="n">
        <v>0</v>
      </c>
      <c r="T175">
        <f>(S173+S174+S175)=O3</f>
        <v/>
      </c>
      <c r="X175" s="84">
        <f>MAX(S172-S175,0)</f>
        <v/>
      </c>
      <c r="Y175" s="83" t="n">
        <v>0</v>
      </c>
      <c r="AA175" s="84" t="n">
        <v>1</v>
      </c>
      <c r="AB175" s="84" t="inlineStr">
        <is>
          <t>B</t>
        </is>
      </c>
      <c r="AC175" s="84" t="inlineStr">
        <is>
          <t>B+</t>
        </is>
      </c>
      <c r="AD175" s="84" t="n">
        <v>20</v>
      </c>
      <c r="AE175" s="84" t="n">
        <v>18</v>
      </c>
      <c r="AF175" s="84" t="n">
        <v>0.76</v>
      </c>
      <c r="AG175" s="84" t="n">
        <v>0.8100000000000001</v>
      </c>
      <c r="AH175" s="84" t="n">
        <v>0</v>
      </c>
      <c r="AI175" s="84" t="n">
        <v>0</v>
      </c>
      <c r="AJ175" s="84">
        <f>SUMIFS(AH$8:AH$1039,$O$8:$O$1039,O175,$AB$8:$AB$1039,AB175,$R$8:$R$1039,R175,$AA$8:$AA$1039,"&lt;="&amp;AA175)</f>
        <v/>
      </c>
      <c r="AK175" s="84">
        <f>E21</f>
        <v/>
      </c>
      <c r="AL175" s="84">
        <f>E27</f>
        <v/>
      </c>
      <c r="AM175" s="84">
        <f>MAX(0,AJ175-AK175)</f>
        <v/>
      </c>
      <c r="AN175" s="84">
        <f>IF(AM175=0,AH175,IF(AM175&gt;=AH175,0,AH175-AM175))</f>
        <v/>
      </c>
      <c r="AO175" s="84">
        <f>IF(AM175&gt;=AH175,AI175,AI175*AM175/AH175)</f>
        <v/>
      </c>
      <c r="AP175">
        <f t="array" ref="AP175">INDEX($AU$8:$BB$25,6*(R175-1)+MATCH(AB175,$AS$8:$AS$13,0),MATCH(O175,$AU$7:$BB$7,0))</f>
        <v/>
      </c>
    </row>
    <row r="176" ht="14.25" customHeight="1">
      <c r="O176" s="43" t="inlineStr">
        <is>
          <t>Q2’26</t>
        </is>
      </c>
      <c r="P176" s="43" t="n">
        <v>2</v>
      </c>
      <c r="Q176" s="43" t="n">
        <v>3</v>
      </c>
      <c r="R176" s="43" t="n">
        <v>1</v>
      </c>
      <c r="S176" s="45" t="n">
        <v>3429.440000000002</v>
      </c>
      <c r="T176">
        <f>(S176+S177+S178)=O3</f>
        <v/>
      </c>
      <c r="X176" s="84">
        <f>MAX(S173-S176,0)</f>
        <v/>
      </c>
      <c r="Y176" s="83" t="n">
        <v>0</v>
      </c>
      <c r="AA176" s="84" t="n">
        <v>11</v>
      </c>
      <c r="AB176" s="84" t="inlineStr">
        <is>
          <t>E</t>
        </is>
      </c>
      <c r="AC176" s="84" t="inlineStr">
        <is>
          <t>E+</t>
        </is>
      </c>
      <c r="AD176" s="84" t="n">
        <v>10</v>
      </c>
      <c r="AE176" s="84" t="n">
        <v>7</v>
      </c>
      <c r="AF176" s="84" t="n">
        <v>0.76</v>
      </c>
      <c r="AG176" s="84" t="n">
        <v>0.84</v>
      </c>
      <c r="AH176" s="84" t="n">
        <v>0</v>
      </c>
      <c r="AI176" s="84" t="n">
        <v>0</v>
      </c>
      <c r="AJ176" s="84">
        <f>SUMIFS(AH$8:AH$1039,$O$8:$O$1039,O176,$AB$8:$AB$1039,AB176,$R$8:$R$1039,R176,$AA$8:$AA$1039,"&lt;="&amp;AA176)</f>
        <v/>
      </c>
      <c r="AK176" s="84">
        <f>C24</f>
        <v/>
      </c>
      <c r="AL176" s="84">
        <f>C30</f>
        <v/>
      </c>
      <c r="AM176" s="84">
        <f>MAX(0,AJ176-AK176)</f>
        <v/>
      </c>
      <c r="AN176" s="84">
        <f>IF(AM176=0,AH176,IF(AM176&gt;=AH176,0,AH176-AM176))</f>
        <v/>
      </c>
      <c r="AO176" s="84">
        <f>IF(AM176&gt;=AH176,AI176,AI176*AM176/AH176)</f>
        <v/>
      </c>
      <c r="AP176">
        <f t="array" ref="AP176">INDEX($AU$8:$BB$25,6*(R176-1)+MATCH(AB176,$AS$8:$AS$13,0),MATCH(O176,$AU$7:$BB$7,0))</f>
        <v/>
      </c>
    </row>
    <row r="177" ht="14.25" customHeight="1">
      <c r="O177" s="43" t="inlineStr">
        <is>
          <t>Q2’26</t>
        </is>
      </c>
      <c r="P177" s="43" t="n">
        <v>2</v>
      </c>
      <c r="Q177" s="43" t="n">
        <v>3</v>
      </c>
      <c r="R177" s="43" t="n">
        <v>2</v>
      </c>
      <c r="S177" s="45" t="n">
        <v>1770.559999999998</v>
      </c>
      <c r="T177">
        <f>(S176+S177+S178)=O3</f>
        <v/>
      </c>
      <c r="X177" s="84">
        <f>MAX(S174-S177,0)</f>
        <v/>
      </c>
      <c r="Y177" s="83" t="n">
        <v>0</v>
      </c>
      <c r="AA177" s="84" t="n">
        <v>11</v>
      </c>
      <c r="AB177" s="84" t="inlineStr">
        <is>
          <t>E</t>
        </is>
      </c>
      <c r="AC177" s="84" t="inlineStr">
        <is>
          <t>E+</t>
        </is>
      </c>
      <c r="AD177" s="84" t="n">
        <v>10</v>
      </c>
      <c r="AE177" s="84" t="n">
        <v>7</v>
      </c>
      <c r="AF177" s="84" t="n">
        <v>0.76</v>
      </c>
      <c r="AG177" s="84" t="n">
        <v>0.84</v>
      </c>
      <c r="AH177" s="84" t="n">
        <v>0</v>
      </c>
      <c r="AI177" s="84" t="n">
        <v>0</v>
      </c>
      <c r="AJ177" s="84">
        <f>SUMIFS(AH$8:AH$1039,$O$8:$O$1039,O177,$AB$8:$AB$1039,AB177,$R$8:$R$1039,R177,$AA$8:$AA$1039,"&lt;="&amp;AA177)</f>
        <v/>
      </c>
      <c r="AK177" s="84">
        <f>D24</f>
        <v/>
      </c>
      <c r="AL177" s="84">
        <f>D30</f>
        <v/>
      </c>
      <c r="AM177" s="84">
        <f>MAX(0,AJ177-AK177)</f>
        <v/>
      </c>
      <c r="AN177" s="84">
        <f>IF(AM177=0,AH177,IF(AM177&gt;=AH177,0,AH177-AM177))</f>
        <v/>
      </c>
      <c r="AO177" s="84">
        <f>IF(AM177&gt;=AH177,AI177,AI177*AM177/AH177)</f>
        <v/>
      </c>
      <c r="AP177">
        <f t="array" ref="AP177">INDEX($AU$8:$BB$25,6*(R177-1)+MATCH(AB177,$AS$8:$AS$13,0),MATCH(O177,$AU$7:$BB$7,0))</f>
        <v/>
      </c>
    </row>
    <row r="178" ht="14.25" customHeight="1">
      <c r="O178" s="43" t="inlineStr">
        <is>
          <t>Q2’26</t>
        </is>
      </c>
      <c r="P178" s="43" t="n">
        <v>2</v>
      </c>
      <c r="Q178" s="43" t="n">
        <v>3</v>
      </c>
      <c r="R178" s="43" t="n">
        <v>3</v>
      </c>
      <c r="S178" s="45" t="n">
        <v>0</v>
      </c>
      <c r="T178">
        <f>(S176+S177+S178)=O3</f>
        <v/>
      </c>
      <c r="X178" s="84">
        <f>MAX(S175-S178,0)</f>
        <v/>
      </c>
      <c r="Y178" s="83" t="n">
        <v>0</v>
      </c>
      <c r="AA178" s="84" t="n">
        <v>11</v>
      </c>
      <c r="AB178" s="84" t="inlineStr">
        <is>
          <t>E</t>
        </is>
      </c>
      <c r="AC178" s="84" t="inlineStr">
        <is>
          <t>E+</t>
        </is>
      </c>
      <c r="AD178" s="84" t="n">
        <v>10</v>
      </c>
      <c r="AE178" s="84" t="n">
        <v>7</v>
      </c>
      <c r="AF178" s="84" t="n">
        <v>0.76</v>
      </c>
      <c r="AG178" s="84" t="n">
        <v>0.84</v>
      </c>
      <c r="AH178" s="84" t="n">
        <v>0</v>
      </c>
      <c r="AI178" s="84" t="n">
        <v>0</v>
      </c>
      <c r="AJ178" s="84">
        <f>SUMIFS(AH$8:AH$1039,$O$8:$O$1039,O178,$AB$8:$AB$1039,AB178,$R$8:$R$1039,R178,$AA$8:$AA$1039,"&lt;="&amp;AA178)</f>
        <v/>
      </c>
      <c r="AK178" s="84">
        <f>E24</f>
        <v/>
      </c>
      <c r="AL178" s="84">
        <f>E30</f>
        <v/>
      </c>
      <c r="AM178" s="84">
        <f>MAX(0,AJ178-AK178)</f>
        <v/>
      </c>
      <c r="AN178" s="84">
        <f>IF(AM178=0,AH178,IF(AM178&gt;=AH178,0,AH178-AM178))</f>
        <v/>
      </c>
      <c r="AO178" s="84">
        <f>IF(AM178&gt;=AH178,AI178,AI178*AM178/AH178)</f>
        <v/>
      </c>
      <c r="AP178">
        <f t="array" ref="AP178">INDEX($AU$8:$BB$25,6*(R178-1)+MATCH(AB178,$AS$8:$AS$13,0),MATCH(O178,$AU$7:$BB$7,0))</f>
        <v/>
      </c>
    </row>
    <row r="179" ht="14.25" customHeight="1">
      <c r="O179" s="43" t="inlineStr">
        <is>
          <t>Q2’26</t>
        </is>
      </c>
      <c r="P179" s="43" t="n">
        <v>2</v>
      </c>
      <c r="Q179" s="43" t="n">
        <v>4</v>
      </c>
      <c r="R179" s="43" t="n">
        <v>1</v>
      </c>
      <c r="S179" s="45" t="n">
        <v>3429.440000000002</v>
      </c>
      <c r="T179">
        <f>(S179+S180+S181)=O3</f>
        <v/>
      </c>
      <c r="X179" s="84">
        <f>MAX(S176-S179,0)</f>
        <v/>
      </c>
      <c r="Y179" s="83" t="n">
        <v>0</v>
      </c>
      <c r="AA179" s="84" t="n">
        <v>2</v>
      </c>
      <c r="AB179" s="84" t="inlineStr">
        <is>
          <t>B</t>
        </is>
      </c>
      <c r="AC179" s="84" t="inlineStr">
        <is>
          <t>B+</t>
        </is>
      </c>
      <c r="AD179" s="84" t="n">
        <v>25</v>
      </c>
      <c r="AE179" s="84" t="n">
        <v>19</v>
      </c>
      <c r="AF179" s="84" t="n">
        <v>0.76</v>
      </c>
      <c r="AG179" s="84" t="n">
        <v>0.8100000000000001</v>
      </c>
      <c r="AH179" s="84" t="n">
        <v>0</v>
      </c>
      <c r="AI179" s="84" t="n">
        <v>0</v>
      </c>
      <c r="AJ179" s="84">
        <f>SUMIFS(AH$8:AH$1039,$O$8:$O$1039,O179,$AB$8:$AB$1039,AB179,$R$8:$R$1039,R179,$AA$8:$AA$1039,"&lt;="&amp;AA179)</f>
        <v/>
      </c>
      <c r="AK179" s="84">
        <f>C21</f>
        <v/>
      </c>
      <c r="AL179" s="84">
        <f>C27</f>
        <v/>
      </c>
      <c r="AM179" s="84">
        <f>MAX(0,AJ179-AK179)</f>
        <v/>
      </c>
      <c r="AN179" s="84">
        <f>IF(AM179=0,AH179,IF(AM179&gt;=AH179,0,AH179-AM179))</f>
        <v/>
      </c>
      <c r="AO179" s="84">
        <f>IF(AM179&gt;=AH179,AI179,AI179*AM179/AH179)</f>
        <v/>
      </c>
      <c r="AP179">
        <f t="array" ref="AP179">INDEX($AU$8:$BB$25,6*(R179-1)+MATCH(AB179,$AS$8:$AS$13,0),MATCH(O179,$AU$7:$BB$7,0))</f>
        <v/>
      </c>
    </row>
    <row r="180" ht="14.25" customHeight="1">
      <c r="O180" s="43" t="inlineStr">
        <is>
          <t>Q2’26</t>
        </is>
      </c>
      <c r="P180" s="43" t="n">
        <v>2</v>
      </c>
      <c r="Q180" s="43" t="n">
        <v>4</v>
      </c>
      <c r="R180" s="43" t="n">
        <v>2</v>
      </c>
      <c r="S180" s="45" t="n">
        <v>1770.559999999998</v>
      </c>
      <c r="T180">
        <f>(S179+S180+S181)=O3</f>
        <v/>
      </c>
      <c r="X180" s="84">
        <f>MAX(S177-S180,0)</f>
        <v/>
      </c>
      <c r="Y180" s="83" t="n">
        <v>0</v>
      </c>
      <c r="AA180" s="84" t="n">
        <v>2</v>
      </c>
      <c r="AB180" s="84" t="inlineStr">
        <is>
          <t>B</t>
        </is>
      </c>
      <c r="AC180" s="84" t="inlineStr">
        <is>
          <t>B+</t>
        </is>
      </c>
      <c r="AD180" s="84" t="n">
        <v>25</v>
      </c>
      <c r="AE180" s="84" t="n">
        <v>19</v>
      </c>
      <c r="AF180" s="84" t="n">
        <v>0.76</v>
      </c>
      <c r="AG180" s="84" t="n">
        <v>0.8100000000000001</v>
      </c>
      <c r="AH180" s="84" t="n">
        <v>0</v>
      </c>
      <c r="AI180" s="84" t="n">
        <v>0</v>
      </c>
      <c r="AJ180" s="84">
        <f>SUMIFS(AH$8:AH$1039,$O$8:$O$1039,O180,$AB$8:$AB$1039,AB180,$R$8:$R$1039,R180,$AA$8:$AA$1039,"&lt;="&amp;AA180)</f>
        <v/>
      </c>
      <c r="AK180" s="84">
        <f>D21</f>
        <v/>
      </c>
      <c r="AL180" s="84">
        <f>D27</f>
        <v/>
      </c>
      <c r="AM180" s="84">
        <f>MAX(0,AJ180-AK180)</f>
        <v/>
      </c>
      <c r="AN180" s="84">
        <f>IF(AM180=0,AH180,IF(AM180&gt;=AH180,0,AH180-AM180))</f>
        <v/>
      </c>
      <c r="AO180" s="84">
        <f>IF(AM180&gt;=AH180,AI180,AI180*AM180/AH180)</f>
        <v/>
      </c>
      <c r="AP180">
        <f t="array" ref="AP180">INDEX($AU$8:$BB$25,6*(R180-1)+MATCH(AB180,$AS$8:$AS$13,0),MATCH(O180,$AU$7:$BB$7,0))</f>
        <v/>
      </c>
    </row>
    <row r="181" ht="14.25" customHeight="1">
      <c r="O181" s="43" t="inlineStr">
        <is>
          <t>Q2’26</t>
        </is>
      </c>
      <c r="P181" s="43" t="n">
        <v>2</v>
      </c>
      <c r="Q181" s="43" t="n">
        <v>4</v>
      </c>
      <c r="R181" s="43" t="n">
        <v>3</v>
      </c>
      <c r="S181" s="45" t="n">
        <v>0</v>
      </c>
      <c r="T181">
        <f>(S179+S180+S181)=O3</f>
        <v/>
      </c>
      <c r="X181" s="84">
        <f>MAX(S178-S181,0)</f>
        <v/>
      </c>
      <c r="Y181" s="83" t="n">
        <v>0</v>
      </c>
      <c r="AA181" s="84" t="n">
        <v>2</v>
      </c>
      <c r="AB181" s="84" t="inlineStr">
        <is>
          <t>B</t>
        </is>
      </c>
      <c r="AC181" s="84" t="inlineStr">
        <is>
          <t>B+</t>
        </is>
      </c>
      <c r="AD181" s="84" t="n">
        <v>25</v>
      </c>
      <c r="AE181" s="84" t="n">
        <v>19</v>
      </c>
      <c r="AF181" s="84" t="n">
        <v>0.76</v>
      </c>
      <c r="AG181" s="84" t="n">
        <v>0.8100000000000001</v>
      </c>
      <c r="AH181" s="84" t="n">
        <v>0</v>
      </c>
      <c r="AI181" s="84" t="n">
        <v>0</v>
      </c>
      <c r="AJ181" s="84">
        <f>SUMIFS(AH$8:AH$1039,$O$8:$O$1039,O181,$AB$8:$AB$1039,AB181,$R$8:$R$1039,R181,$AA$8:$AA$1039,"&lt;="&amp;AA181)</f>
        <v/>
      </c>
      <c r="AK181" s="84">
        <f>E21</f>
        <v/>
      </c>
      <c r="AL181" s="84">
        <f>E27</f>
        <v/>
      </c>
      <c r="AM181" s="84">
        <f>MAX(0,AJ181-AK181)</f>
        <v/>
      </c>
      <c r="AN181" s="84">
        <f>IF(AM181=0,AH181,IF(AM181&gt;=AH181,0,AH181-AM181))</f>
        <v/>
      </c>
      <c r="AO181" s="84">
        <f>IF(AM181&gt;=AH181,AI181,AI181*AM181/AH181)</f>
        <v/>
      </c>
      <c r="AP181">
        <f t="array" ref="AP181">INDEX($AU$8:$BB$25,6*(R181-1)+MATCH(AB181,$AS$8:$AS$13,0),MATCH(O181,$AU$7:$BB$7,0))</f>
        <v/>
      </c>
    </row>
    <row r="182" ht="14.25" customHeight="1">
      <c r="O182" s="43" t="inlineStr">
        <is>
          <t>Q2’26</t>
        </is>
      </c>
      <c r="P182" s="43" t="n">
        <v>2</v>
      </c>
      <c r="Q182" s="43" t="n">
        <v>5</v>
      </c>
      <c r="R182" s="43" t="n">
        <v>1</v>
      </c>
      <c r="S182" s="45" t="n">
        <v>3429.439999999998</v>
      </c>
      <c r="T182">
        <f>(S182+S183+S184)=O3</f>
        <v/>
      </c>
      <c r="X182" s="84">
        <f>MAX(S179-S182,0)</f>
        <v/>
      </c>
      <c r="Y182" s="83" t="n">
        <v>0</v>
      </c>
      <c r="AA182" s="84" t="n">
        <v>3</v>
      </c>
      <c r="AB182" s="84" t="inlineStr">
        <is>
          <t>B</t>
        </is>
      </c>
      <c r="AC182" s="84" t="inlineStr">
        <is>
          <t>B+</t>
        </is>
      </c>
      <c r="AD182" s="84" t="n">
        <v>15</v>
      </c>
      <c r="AE182" s="84" t="n">
        <v>11</v>
      </c>
      <c r="AF182" s="84" t="n">
        <v>0.76</v>
      </c>
      <c r="AG182" s="84" t="n">
        <v>0.8100000000000001</v>
      </c>
      <c r="AH182" s="84" t="n">
        <v>0</v>
      </c>
      <c r="AI182" s="84" t="n">
        <v>0</v>
      </c>
      <c r="AJ182" s="84">
        <f>SUMIFS(AH$8:AH$1039,$O$8:$O$1039,O182,$AB$8:$AB$1039,AB182,$R$8:$R$1039,R182,$AA$8:$AA$1039,"&lt;="&amp;AA182)</f>
        <v/>
      </c>
      <c r="AK182" s="84">
        <f>C21</f>
        <v/>
      </c>
      <c r="AL182" s="84">
        <f>C27</f>
        <v/>
      </c>
      <c r="AM182" s="84">
        <f>MAX(0,AJ182-AK182)</f>
        <v/>
      </c>
      <c r="AN182" s="84">
        <f>IF(AM182=0,AH182,IF(AM182&gt;=AH182,0,AH182-AM182))</f>
        <v/>
      </c>
      <c r="AO182" s="84">
        <f>IF(AM182&gt;=AH182,AI182,AI182*AM182/AH182)</f>
        <v/>
      </c>
      <c r="AP182">
        <f t="array" ref="AP182">INDEX($AU$8:$BB$25,6*(R182-1)+MATCH(AB182,$AS$8:$AS$13,0),MATCH(O182,$AU$7:$BB$7,0))</f>
        <v/>
      </c>
    </row>
    <row r="183" ht="14.25" customHeight="1">
      <c r="O183" s="43" t="inlineStr">
        <is>
          <t>Q2’26</t>
        </is>
      </c>
      <c r="P183" s="43" t="n">
        <v>2</v>
      </c>
      <c r="Q183" s="43" t="n">
        <v>5</v>
      </c>
      <c r="R183" s="43" t="n">
        <v>2</v>
      </c>
      <c r="S183" s="45" t="n">
        <v>1770.560000000002</v>
      </c>
      <c r="T183">
        <f>(S182+S183+S184)=O3</f>
        <v/>
      </c>
      <c r="X183" s="84">
        <f>MAX(S180-S183,0)</f>
        <v/>
      </c>
      <c r="Y183" s="83" t="n">
        <v>0</v>
      </c>
      <c r="AA183" s="84" t="n">
        <v>3</v>
      </c>
      <c r="AB183" s="84" t="inlineStr">
        <is>
          <t>B</t>
        </is>
      </c>
      <c r="AC183" s="84" t="inlineStr">
        <is>
          <t>B+</t>
        </is>
      </c>
      <c r="AD183" s="84" t="n">
        <v>15</v>
      </c>
      <c r="AE183" s="84" t="n">
        <v>11</v>
      </c>
      <c r="AF183" s="84" t="n">
        <v>0.76</v>
      </c>
      <c r="AG183" s="84" t="n">
        <v>0.8100000000000001</v>
      </c>
      <c r="AH183" s="84" t="n">
        <v>0</v>
      </c>
      <c r="AI183" s="84" t="n">
        <v>0</v>
      </c>
      <c r="AJ183" s="84">
        <f>SUMIFS(AH$8:AH$1039,$O$8:$O$1039,O183,$AB$8:$AB$1039,AB183,$R$8:$R$1039,R183,$AA$8:$AA$1039,"&lt;="&amp;AA183)</f>
        <v/>
      </c>
      <c r="AK183" s="84">
        <f>D21</f>
        <v/>
      </c>
      <c r="AL183" s="84">
        <f>D27</f>
        <v/>
      </c>
      <c r="AM183" s="84">
        <f>MAX(0,AJ183-AK183)</f>
        <v/>
      </c>
      <c r="AN183" s="84">
        <f>IF(AM183=0,AH183,IF(AM183&gt;=AH183,0,AH183-AM183))</f>
        <v/>
      </c>
      <c r="AO183" s="84">
        <f>IF(AM183&gt;=AH183,AI183,AI183*AM183/AH183)</f>
        <v/>
      </c>
      <c r="AP183">
        <f t="array" ref="AP183">INDEX($AU$8:$BB$25,6*(R183-1)+MATCH(AB183,$AS$8:$AS$13,0),MATCH(O183,$AU$7:$BB$7,0))</f>
        <v/>
      </c>
    </row>
    <row r="184" ht="14.25" customHeight="1">
      <c r="O184" s="43" t="inlineStr">
        <is>
          <t>Q2’26</t>
        </is>
      </c>
      <c r="P184" s="43" t="n">
        <v>2</v>
      </c>
      <c r="Q184" s="43" t="n">
        <v>5</v>
      </c>
      <c r="R184" s="43" t="n">
        <v>3</v>
      </c>
      <c r="S184" s="45" t="n">
        <v>0</v>
      </c>
      <c r="T184">
        <f>(S182+S183+S184)=O3</f>
        <v/>
      </c>
      <c r="X184" s="84">
        <f>MAX(S181-S184,0)</f>
        <v/>
      </c>
      <c r="Y184" s="83" t="n">
        <v>0</v>
      </c>
      <c r="AA184" s="84" t="n">
        <v>3</v>
      </c>
      <c r="AB184" s="84" t="inlineStr">
        <is>
          <t>B</t>
        </is>
      </c>
      <c r="AC184" s="84" t="inlineStr">
        <is>
          <t>B+</t>
        </is>
      </c>
      <c r="AD184" s="84" t="n">
        <v>15</v>
      </c>
      <c r="AE184" s="84" t="n">
        <v>11</v>
      </c>
      <c r="AF184" s="84" t="n">
        <v>0.76</v>
      </c>
      <c r="AG184" s="84" t="n">
        <v>0.8100000000000001</v>
      </c>
      <c r="AH184" s="84" t="n">
        <v>0</v>
      </c>
      <c r="AI184" s="84" t="n">
        <v>0</v>
      </c>
      <c r="AJ184" s="84">
        <f>SUMIFS(AH$8:AH$1039,$O$8:$O$1039,O184,$AB$8:$AB$1039,AB184,$R$8:$R$1039,R184,$AA$8:$AA$1039,"&lt;="&amp;AA184)</f>
        <v/>
      </c>
      <c r="AK184" s="84">
        <f>E21</f>
        <v/>
      </c>
      <c r="AL184" s="84">
        <f>E27</f>
        <v/>
      </c>
      <c r="AM184" s="84">
        <f>MAX(0,AJ184-AK184)</f>
        <v/>
      </c>
      <c r="AN184" s="84">
        <f>IF(AM184=0,AH184,IF(AM184&gt;=AH184,0,AH184-AM184))</f>
        <v/>
      </c>
      <c r="AO184" s="84">
        <f>IF(AM184&gt;=AH184,AI184,AI184*AM184/AH184)</f>
        <v/>
      </c>
      <c r="AP184">
        <f t="array" ref="AP184">INDEX($AU$8:$BB$25,6*(R184-1)+MATCH(AB184,$AS$8:$AS$13,0),MATCH(O184,$AU$7:$BB$7,0))</f>
        <v/>
      </c>
    </row>
    <row r="185" ht="14.25" customHeight="1">
      <c r="O185" s="43" t="inlineStr">
        <is>
          <t>Q2’26</t>
        </is>
      </c>
      <c r="P185" s="43" t="n">
        <v>2</v>
      </c>
      <c r="Q185" s="43" t="n">
        <v>6</v>
      </c>
      <c r="R185" s="43" t="n">
        <v>1</v>
      </c>
      <c r="S185" s="45" t="n">
        <v>3429.439999999998</v>
      </c>
      <c r="T185">
        <f>(S185+S186+S187)=O3</f>
        <v/>
      </c>
      <c r="X185" s="84">
        <f>MAX(S182-S185,0)</f>
        <v/>
      </c>
      <c r="Y185" s="83" t="n">
        <v>0</v>
      </c>
      <c r="AA185" s="84" t="n">
        <v>5</v>
      </c>
      <c r="AB185" s="84" t="inlineStr">
        <is>
          <t>F</t>
        </is>
      </c>
      <c r="AC185" s="84" t="inlineStr">
        <is>
          <t>F+</t>
        </is>
      </c>
      <c r="AD185" s="84" t="n">
        <v>16</v>
      </c>
      <c r="AE185" s="84" t="n">
        <v>14</v>
      </c>
      <c r="AF185" s="84" t="n">
        <v>0.8</v>
      </c>
      <c r="AG185" s="84" t="n">
        <v>0.9</v>
      </c>
      <c r="AH185" s="84" t="n">
        <v>0</v>
      </c>
      <c r="AI185" s="84" t="n">
        <v>0</v>
      </c>
      <c r="AJ185" s="84">
        <f>SUMIFS(AH$8:AH$1039,$O$8:$O$1039,O185,$AB$8:$AB$1039,AB185,$R$8:$R$1039,R185,$AA$8:$AA$1039,"&lt;="&amp;AA185)</f>
        <v/>
      </c>
      <c r="AK185" s="84">
        <f>C25</f>
        <v/>
      </c>
      <c r="AL185" s="84">
        <f>C31</f>
        <v/>
      </c>
      <c r="AM185" s="84">
        <f>MAX(0,AJ185-AK185)</f>
        <v/>
      </c>
      <c r="AN185" s="84">
        <f>IF(AM185=0,AH185,IF(AM185&gt;=AH185,0,AH185-AM185))</f>
        <v/>
      </c>
      <c r="AO185" s="84">
        <f>IF(AM185&gt;=AH185,AI185,AI185*AM185/AH185)</f>
        <v/>
      </c>
      <c r="AP185">
        <f t="array" ref="AP185">INDEX($AU$8:$BB$25,6*(R185-1)+MATCH(AB185,$AS$8:$AS$13,0),MATCH(O185,$AU$7:$BB$7,0))</f>
        <v/>
      </c>
    </row>
    <row r="186" ht="14.25" customHeight="1">
      <c r="O186" s="43" t="inlineStr">
        <is>
          <t>Q2’26</t>
        </is>
      </c>
      <c r="P186" s="43" t="n">
        <v>2</v>
      </c>
      <c r="Q186" s="43" t="n">
        <v>6</v>
      </c>
      <c r="R186" s="43" t="n">
        <v>2</v>
      </c>
      <c r="S186" s="45" t="n">
        <v>1770.560000000002</v>
      </c>
      <c r="T186">
        <f>(S185+S186+S187)=O3</f>
        <v/>
      </c>
      <c r="X186" s="84">
        <f>MAX(S183-S186,0)</f>
        <v/>
      </c>
      <c r="Y186" s="83" t="n">
        <v>0</v>
      </c>
      <c r="AA186" s="84" t="n">
        <v>5</v>
      </c>
      <c r="AB186" s="84" t="inlineStr">
        <is>
          <t>F</t>
        </is>
      </c>
      <c r="AC186" s="84" t="inlineStr">
        <is>
          <t>F+</t>
        </is>
      </c>
      <c r="AD186" s="84" t="n">
        <v>16</v>
      </c>
      <c r="AE186" s="84" t="n">
        <v>14</v>
      </c>
      <c r="AF186" s="84" t="n">
        <v>0.8</v>
      </c>
      <c r="AG186" s="84" t="n">
        <v>0.9</v>
      </c>
      <c r="AH186" s="84" t="n">
        <v>0</v>
      </c>
      <c r="AI186" s="84" t="n">
        <v>0</v>
      </c>
      <c r="AJ186" s="84">
        <f>SUMIFS(AH$8:AH$1039,$O$8:$O$1039,O186,$AB$8:$AB$1039,AB186,$R$8:$R$1039,R186,$AA$8:$AA$1039,"&lt;="&amp;AA186)</f>
        <v/>
      </c>
      <c r="AK186" s="84">
        <f>D25</f>
        <v/>
      </c>
      <c r="AL186" s="84">
        <f>D31</f>
        <v/>
      </c>
      <c r="AM186" s="84">
        <f>MAX(0,AJ186-AK186)</f>
        <v/>
      </c>
      <c r="AN186" s="84">
        <f>IF(AM186=0,AH186,IF(AM186&gt;=AH186,0,AH186-AM186))</f>
        <v/>
      </c>
      <c r="AO186" s="84">
        <f>IF(AM186&gt;=AH186,AI186,AI186*AM186/AH186)</f>
        <v/>
      </c>
      <c r="AP186">
        <f t="array" ref="AP186">INDEX($AU$8:$BB$25,6*(R186-1)+MATCH(AB186,$AS$8:$AS$13,0),MATCH(O186,$AU$7:$BB$7,0))</f>
        <v/>
      </c>
    </row>
    <row r="187" ht="14.25" customHeight="1">
      <c r="O187" s="43" t="inlineStr">
        <is>
          <t>Q2’26</t>
        </is>
      </c>
      <c r="P187" s="43" t="n">
        <v>2</v>
      </c>
      <c r="Q187" s="43" t="n">
        <v>6</v>
      </c>
      <c r="R187" s="43" t="n">
        <v>3</v>
      </c>
      <c r="S187" s="45" t="n">
        <v>-0</v>
      </c>
      <c r="T187">
        <f>(S185+S186+S187)=O3</f>
        <v/>
      </c>
      <c r="X187" s="84">
        <f>MAX(S184-S187,0)</f>
        <v/>
      </c>
      <c r="Y187" s="83" t="n">
        <v>0</v>
      </c>
      <c r="AA187" s="84" t="n">
        <v>5</v>
      </c>
      <c r="AB187" s="84" t="inlineStr">
        <is>
          <t>F</t>
        </is>
      </c>
      <c r="AC187" s="84" t="inlineStr">
        <is>
          <t>F+</t>
        </is>
      </c>
      <c r="AD187" s="84" t="n">
        <v>16</v>
      </c>
      <c r="AE187" s="84" t="n">
        <v>14</v>
      </c>
      <c r="AF187" s="84" t="n">
        <v>0.8</v>
      </c>
      <c r="AG187" s="84" t="n">
        <v>0.9</v>
      </c>
      <c r="AH187" s="84" t="n">
        <v>0</v>
      </c>
      <c r="AI187" s="84" t="n">
        <v>0</v>
      </c>
      <c r="AJ187" s="84">
        <f>SUMIFS(AH$8:AH$1039,$O$8:$O$1039,O187,$AB$8:$AB$1039,AB187,$R$8:$R$1039,R187,$AA$8:$AA$1039,"&lt;="&amp;AA187)</f>
        <v/>
      </c>
      <c r="AK187" s="84">
        <f>E25</f>
        <v/>
      </c>
      <c r="AL187" s="84">
        <f>E31</f>
        <v/>
      </c>
      <c r="AM187" s="84">
        <f>MAX(0,AJ187-AK187)</f>
        <v/>
      </c>
      <c r="AN187" s="84">
        <f>IF(AM187=0,AH187,IF(AM187&gt;=AH187,0,AH187-AM187))</f>
        <v/>
      </c>
      <c r="AO187" s="84">
        <f>IF(AM187&gt;=AH187,AI187,AI187*AM187/AH187)</f>
        <v/>
      </c>
      <c r="AP187">
        <f t="array" ref="AP187">INDEX($AU$8:$BB$25,6*(R187-1)+MATCH(AB187,$AS$8:$AS$13,0),MATCH(O187,$AU$7:$BB$7,0))</f>
        <v/>
      </c>
    </row>
    <row r="188" ht="14.25" customHeight="1">
      <c r="O188" s="43" t="inlineStr">
        <is>
          <t>Q2’26</t>
        </is>
      </c>
      <c r="P188" s="43" t="n">
        <v>2</v>
      </c>
      <c r="Q188" s="43" t="n">
        <v>7</v>
      </c>
      <c r="R188" s="43" t="n">
        <v>1</v>
      </c>
      <c r="S188" s="45" t="n">
        <v>3429.439999999998</v>
      </c>
      <c r="T188">
        <f>(S188+S189+S190)=O3</f>
        <v/>
      </c>
      <c r="X188" s="84">
        <f>MAX(S185-S188,0)</f>
        <v/>
      </c>
      <c r="Y188" s="83" t="n">
        <v>0</v>
      </c>
      <c r="AA188" s="84" t="n">
        <v>4</v>
      </c>
      <c r="AB188" s="84" t="inlineStr">
        <is>
          <t>F</t>
        </is>
      </c>
      <c r="AC188" s="84" t="inlineStr">
        <is>
          <t>F+</t>
        </is>
      </c>
      <c r="AD188" s="84" t="n">
        <v>17</v>
      </c>
      <c r="AE188" s="84" t="n">
        <v>15</v>
      </c>
      <c r="AF188" s="84" t="n">
        <v>0.8</v>
      </c>
      <c r="AG188" s="84" t="n">
        <v>0.9</v>
      </c>
      <c r="AH188" s="84" t="n">
        <v>0</v>
      </c>
      <c r="AI188" s="84" t="n">
        <v>0</v>
      </c>
      <c r="AJ188" s="84">
        <f>SUMIFS(AH$8:AH$1039,$O$8:$O$1039,O188,$AB$8:$AB$1039,AB188,$R$8:$R$1039,R188,$AA$8:$AA$1039,"&lt;="&amp;AA188)</f>
        <v/>
      </c>
      <c r="AK188" s="84">
        <f>C25</f>
        <v/>
      </c>
      <c r="AL188" s="84">
        <f>C31</f>
        <v/>
      </c>
      <c r="AM188" s="84">
        <f>MAX(0,AJ188-AK188)</f>
        <v/>
      </c>
      <c r="AN188" s="84">
        <f>IF(AM188=0,AH188,IF(AM188&gt;=AH188,0,AH188-AM188))</f>
        <v/>
      </c>
      <c r="AO188" s="84">
        <f>IF(AM188&gt;=AH188,AI188,AI188*AM188/AH188)</f>
        <v/>
      </c>
      <c r="AP188">
        <f t="array" ref="AP188">INDEX($AU$8:$BB$25,6*(R188-1)+MATCH(AB188,$AS$8:$AS$13,0),MATCH(O188,$AU$7:$BB$7,0))</f>
        <v/>
      </c>
    </row>
    <row r="189" ht="14.25" customHeight="1">
      <c r="O189" s="43" t="inlineStr">
        <is>
          <t>Q2’26</t>
        </is>
      </c>
      <c r="P189" s="43" t="n">
        <v>2</v>
      </c>
      <c r="Q189" s="43" t="n">
        <v>7</v>
      </c>
      <c r="R189" s="43" t="n">
        <v>2</v>
      </c>
      <c r="S189" s="45" t="n">
        <v>1770.560000000002</v>
      </c>
      <c r="T189">
        <f>(S188+S189+S190)=O3</f>
        <v/>
      </c>
      <c r="X189" s="84">
        <f>MAX(S186-S189,0)</f>
        <v/>
      </c>
      <c r="Y189" s="83" t="n">
        <v>0</v>
      </c>
      <c r="AA189" s="84" t="n">
        <v>4</v>
      </c>
      <c r="AB189" s="84" t="inlineStr">
        <is>
          <t>F</t>
        </is>
      </c>
      <c r="AC189" s="84" t="inlineStr">
        <is>
          <t>F+</t>
        </is>
      </c>
      <c r="AD189" s="84" t="n">
        <v>17</v>
      </c>
      <c r="AE189" s="84" t="n">
        <v>15</v>
      </c>
      <c r="AF189" s="84" t="n">
        <v>0.8</v>
      </c>
      <c r="AG189" s="84" t="n">
        <v>0.9</v>
      </c>
      <c r="AH189" s="84" t="n">
        <v>0</v>
      </c>
      <c r="AI189" s="84" t="n">
        <v>0</v>
      </c>
      <c r="AJ189" s="84">
        <f>SUMIFS(AH$8:AH$1039,$O$8:$O$1039,O189,$AB$8:$AB$1039,AB189,$R$8:$R$1039,R189,$AA$8:$AA$1039,"&lt;="&amp;AA189)</f>
        <v/>
      </c>
      <c r="AK189" s="84">
        <f>D25</f>
        <v/>
      </c>
      <c r="AL189" s="84">
        <f>D31</f>
        <v/>
      </c>
      <c r="AM189" s="84">
        <f>MAX(0,AJ189-AK189)</f>
        <v/>
      </c>
      <c r="AN189" s="84">
        <f>IF(AM189=0,AH189,IF(AM189&gt;=AH189,0,AH189-AM189))</f>
        <v/>
      </c>
      <c r="AO189" s="84">
        <f>IF(AM189&gt;=AH189,AI189,AI189*AM189/AH189)</f>
        <v/>
      </c>
      <c r="AP189">
        <f t="array" ref="AP189">INDEX($AU$8:$BB$25,6*(R189-1)+MATCH(AB189,$AS$8:$AS$13,0),MATCH(O189,$AU$7:$BB$7,0))</f>
        <v/>
      </c>
    </row>
    <row r="190" ht="14.25" customHeight="1">
      <c r="O190" s="43" t="inlineStr">
        <is>
          <t>Q2’26</t>
        </is>
      </c>
      <c r="P190" s="43" t="n">
        <v>2</v>
      </c>
      <c r="Q190" s="43" t="n">
        <v>7</v>
      </c>
      <c r="R190" s="43" t="n">
        <v>3</v>
      </c>
      <c r="S190" s="45" t="n">
        <v>-0</v>
      </c>
      <c r="T190">
        <f>(S188+S189+S190)=O3</f>
        <v/>
      </c>
      <c r="X190" s="84">
        <f>MAX(S187-S190,0)</f>
        <v/>
      </c>
      <c r="Y190" s="83" t="n">
        <v>0</v>
      </c>
      <c r="AA190" s="84" t="n">
        <v>4</v>
      </c>
      <c r="AB190" s="84" t="inlineStr">
        <is>
          <t>F</t>
        </is>
      </c>
      <c r="AC190" s="84" t="inlineStr">
        <is>
          <t>F+</t>
        </is>
      </c>
      <c r="AD190" s="84" t="n">
        <v>17</v>
      </c>
      <c r="AE190" s="84" t="n">
        <v>15</v>
      </c>
      <c r="AF190" s="84" t="n">
        <v>0.8</v>
      </c>
      <c r="AG190" s="84" t="n">
        <v>0.9</v>
      </c>
      <c r="AH190" s="84" t="n">
        <v>0</v>
      </c>
      <c r="AI190" s="84" t="n">
        <v>0</v>
      </c>
      <c r="AJ190" s="84">
        <f>SUMIFS(AH$8:AH$1039,$O$8:$O$1039,O190,$AB$8:$AB$1039,AB190,$R$8:$R$1039,R190,$AA$8:$AA$1039,"&lt;="&amp;AA190)</f>
        <v/>
      </c>
      <c r="AK190" s="84">
        <f>E25</f>
        <v/>
      </c>
      <c r="AL190" s="84">
        <f>E31</f>
        <v/>
      </c>
      <c r="AM190" s="84">
        <f>MAX(0,AJ190-AK190)</f>
        <v/>
      </c>
      <c r="AN190" s="84">
        <f>IF(AM190=0,AH190,IF(AM190&gt;=AH190,0,AH190-AM190))</f>
        <v/>
      </c>
      <c r="AO190" s="84">
        <f>IF(AM190&gt;=AH190,AI190,AI190*AM190/AH190)</f>
        <v/>
      </c>
      <c r="AP190">
        <f t="array" ref="AP190">INDEX($AU$8:$BB$25,6*(R190-1)+MATCH(AB190,$AS$8:$AS$13,0),MATCH(O190,$AU$7:$BB$7,0))</f>
        <v/>
      </c>
    </row>
    <row r="191" ht="14.25" customHeight="1">
      <c r="O191" s="43" t="inlineStr">
        <is>
          <t>Q2’26</t>
        </is>
      </c>
      <c r="P191" s="43" t="n">
        <v>2</v>
      </c>
      <c r="Q191" s="43" t="n">
        <v>8</v>
      </c>
      <c r="R191" s="43" t="n">
        <v>1</v>
      </c>
      <c r="S191" s="45" t="n">
        <v>3429.44</v>
      </c>
      <c r="T191">
        <f>(S191+S192+S193)=O3</f>
        <v/>
      </c>
      <c r="X191" s="84">
        <f>MAX(S188-S191,0)</f>
        <v/>
      </c>
      <c r="Y191" s="83" t="n">
        <v>0</v>
      </c>
      <c r="AA191" s="84" t="n">
        <v>4</v>
      </c>
      <c r="AB191" s="84" t="inlineStr">
        <is>
          <t>B</t>
        </is>
      </c>
      <c r="AC191" s="84" t="inlineStr">
        <is>
          <t>B+</t>
        </is>
      </c>
      <c r="AD191" s="84" t="n">
        <v>22</v>
      </c>
      <c r="AE191" s="84" t="n">
        <v>16</v>
      </c>
      <c r="AF191" s="84" t="n">
        <v>0.76</v>
      </c>
      <c r="AG191" s="84" t="n">
        <v>0.8100000000000001</v>
      </c>
      <c r="AH191" s="84" t="n">
        <v>0</v>
      </c>
      <c r="AI191" s="84" t="n">
        <v>0</v>
      </c>
      <c r="AJ191" s="84">
        <f>SUMIFS(AH$8:AH$1039,$O$8:$O$1039,O191,$AB$8:$AB$1039,AB191,$R$8:$R$1039,R191,$AA$8:$AA$1039,"&lt;="&amp;AA191)</f>
        <v/>
      </c>
      <c r="AK191" s="84">
        <f>C21</f>
        <v/>
      </c>
      <c r="AL191" s="84">
        <f>C27</f>
        <v/>
      </c>
      <c r="AM191" s="84">
        <f>MAX(0,AJ191-AK191)</f>
        <v/>
      </c>
      <c r="AN191" s="84">
        <f>IF(AM191=0,AH191,IF(AM191&gt;=AH191,0,AH191-AM191))</f>
        <v/>
      </c>
      <c r="AO191" s="84">
        <f>IF(AM191&gt;=AH191,AI191,AI191*AM191/AH191)</f>
        <v/>
      </c>
      <c r="AP191">
        <f t="array" ref="AP191">INDEX($AU$8:$BB$25,6*(R191-1)+MATCH(AB191,$AS$8:$AS$13,0),MATCH(O191,$AU$7:$BB$7,0))</f>
        <v/>
      </c>
    </row>
    <row r="192" ht="14.25" customHeight="1">
      <c r="O192" s="43" t="inlineStr">
        <is>
          <t>Q2’26</t>
        </is>
      </c>
      <c r="P192" s="43" t="n">
        <v>2</v>
      </c>
      <c r="Q192" s="43" t="n">
        <v>8</v>
      </c>
      <c r="R192" s="43" t="n">
        <v>2</v>
      </c>
      <c r="S192" s="45" t="n">
        <v>1770.56</v>
      </c>
      <c r="T192">
        <f>(S191+S192+S193)=O3</f>
        <v/>
      </c>
      <c r="X192" s="84">
        <f>MAX(S189-S192,0)</f>
        <v/>
      </c>
      <c r="Y192" s="83" t="n">
        <v>0</v>
      </c>
      <c r="AA192" s="84" t="n">
        <v>4</v>
      </c>
      <c r="AB192" s="84" t="inlineStr">
        <is>
          <t>B</t>
        </is>
      </c>
      <c r="AC192" s="84" t="inlineStr">
        <is>
          <t>B+</t>
        </is>
      </c>
      <c r="AD192" s="84" t="n">
        <v>22</v>
      </c>
      <c r="AE192" s="84" t="n">
        <v>16</v>
      </c>
      <c r="AF192" s="84" t="n">
        <v>0.76</v>
      </c>
      <c r="AG192" s="84" t="n">
        <v>0.8100000000000001</v>
      </c>
      <c r="AH192" s="84" t="n">
        <v>0</v>
      </c>
      <c r="AI192" s="84" t="n">
        <v>0</v>
      </c>
      <c r="AJ192" s="84">
        <f>SUMIFS(AH$8:AH$1039,$O$8:$O$1039,O192,$AB$8:$AB$1039,AB192,$R$8:$R$1039,R192,$AA$8:$AA$1039,"&lt;="&amp;AA192)</f>
        <v/>
      </c>
      <c r="AK192" s="84">
        <f>D21</f>
        <v/>
      </c>
      <c r="AL192" s="84">
        <f>D27</f>
        <v/>
      </c>
      <c r="AM192" s="84">
        <f>MAX(0,AJ192-AK192)</f>
        <v/>
      </c>
      <c r="AN192" s="84">
        <f>IF(AM192=0,AH192,IF(AM192&gt;=AH192,0,AH192-AM192))</f>
        <v/>
      </c>
      <c r="AO192" s="84">
        <f>IF(AM192&gt;=AH192,AI192,AI192*AM192/AH192)</f>
        <v/>
      </c>
      <c r="AP192">
        <f t="array" ref="AP192">INDEX($AU$8:$BB$25,6*(R192-1)+MATCH(AB192,$AS$8:$AS$13,0),MATCH(O192,$AU$7:$BB$7,0))</f>
        <v/>
      </c>
    </row>
    <row r="193" ht="14.25" customHeight="1">
      <c r="O193" s="43" t="inlineStr">
        <is>
          <t>Q2’26</t>
        </is>
      </c>
      <c r="P193" s="43" t="n">
        <v>2</v>
      </c>
      <c r="Q193" s="43" t="n">
        <v>8</v>
      </c>
      <c r="R193" s="43" t="n">
        <v>3</v>
      </c>
      <c r="S193" s="45" t="n">
        <v>0</v>
      </c>
      <c r="T193">
        <f>(S191+S192+S193)=O3</f>
        <v/>
      </c>
      <c r="X193" s="84">
        <f>MAX(S190-S193,0)</f>
        <v/>
      </c>
      <c r="Y193" s="83" t="n">
        <v>0</v>
      </c>
      <c r="AA193" s="84" t="n">
        <v>4</v>
      </c>
      <c r="AB193" s="84" t="inlineStr">
        <is>
          <t>B</t>
        </is>
      </c>
      <c r="AC193" s="84" t="inlineStr">
        <is>
          <t>B+</t>
        </is>
      </c>
      <c r="AD193" s="84" t="n">
        <v>22</v>
      </c>
      <c r="AE193" s="84" t="n">
        <v>16</v>
      </c>
      <c r="AF193" s="84" t="n">
        <v>0.76</v>
      </c>
      <c r="AG193" s="84" t="n">
        <v>0.8100000000000001</v>
      </c>
      <c r="AH193" s="84" t="n">
        <v>0</v>
      </c>
      <c r="AI193" s="84" t="n">
        <v>0</v>
      </c>
      <c r="AJ193" s="84">
        <f>SUMIFS(AH$8:AH$1039,$O$8:$O$1039,O193,$AB$8:$AB$1039,AB193,$R$8:$R$1039,R193,$AA$8:$AA$1039,"&lt;="&amp;AA193)</f>
        <v/>
      </c>
      <c r="AK193" s="84">
        <f>E21</f>
        <v/>
      </c>
      <c r="AL193" s="84">
        <f>E27</f>
        <v/>
      </c>
      <c r="AM193" s="84">
        <f>MAX(0,AJ193-AK193)</f>
        <v/>
      </c>
      <c r="AN193" s="84">
        <f>IF(AM193=0,AH193,IF(AM193&gt;=AH193,0,AH193-AM193))</f>
        <v/>
      </c>
      <c r="AO193" s="84">
        <f>IF(AM193&gt;=AH193,AI193,AI193*AM193/AH193)</f>
        <v/>
      </c>
      <c r="AP193">
        <f t="array" ref="AP193">INDEX($AU$8:$BB$25,6*(R193-1)+MATCH(AB193,$AS$8:$AS$13,0),MATCH(O193,$AU$7:$BB$7,0))</f>
        <v/>
      </c>
    </row>
    <row r="194" ht="14.25" customHeight="1">
      <c r="O194" s="43" t="inlineStr">
        <is>
          <t>Q2’26</t>
        </is>
      </c>
      <c r="P194" s="43" t="n">
        <v>2</v>
      </c>
      <c r="Q194" s="43" t="n">
        <v>9</v>
      </c>
      <c r="R194" s="43" t="n">
        <v>1</v>
      </c>
      <c r="S194" s="45" t="n">
        <v>3429.440000000001</v>
      </c>
      <c r="T194">
        <f>(S194+S195+S196)=O3</f>
        <v/>
      </c>
      <c r="X194" s="84">
        <f>MAX(S191-S194,0)</f>
        <v/>
      </c>
      <c r="Y194" s="83" t="n">
        <v>0</v>
      </c>
      <c r="AA194" s="84" t="n">
        <v>4</v>
      </c>
      <c r="AB194" s="84" t="inlineStr">
        <is>
          <t>E</t>
        </is>
      </c>
      <c r="AC194" s="84" t="inlineStr">
        <is>
          <t>E+</t>
        </is>
      </c>
      <c r="AD194" s="84" t="n">
        <v>7</v>
      </c>
      <c r="AE194" s="84" t="n">
        <v>6</v>
      </c>
      <c r="AF194" s="84" t="n">
        <v>0.76</v>
      </c>
      <c r="AG194" s="84" t="n">
        <v>0.84</v>
      </c>
      <c r="AH194" s="84" t="n">
        <v>0</v>
      </c>
      <c r="AI194" s="84" t="n">
        <v>0</v>
      </c>
      <c r="AJ194" s="84">
        <f>SUMIFS(AH$8:AH$1039,$O$8:$O$1039,O194,$AB$8:$AB$1039,AB194,$R$8:$R$1039,R194,$AA$8:$AA$1039,"&lt;="&amp;AA194)</f>
        <v/>
      </c>
      <c r="AK194" s="84">
        <f>C24</f>
        <v/>
      </c>
      <c r="AL194" s="84">
        <f>C30</f>
        <v/>
      </c>
      <c r="AM194" s="84">
        <f>MAX(0,AJ194-AK194)</f>
        <v/>
      </c>
      <c r="AN194" s="84">
        <f>IF(AM194=0,AH194,IF(AM194&gt;=AH194,0,AH194-AM194))</f>
        <v/>
      </c>
      <c r="AO194" s="84">
        <f>IF(AM194&gt;=AH194,AI194,AI194*AM194/AH194)</f>
        <v/>
      </c>
      <c r="AP194">
        <f t="array" ref="AP194">INDEX($AU$8:$BB$25,6*(R194-1)+MATCH(AB194,$AS$8:$AS$13,0),MATCH(O194,$AU$7:$BB$7,0))</f>
        <v/>
      </c>
    </row>
    <row r="195" ht="14.25" customHeight="1">
      <c r="O195" s="43" t="inlineStr">
        <is>
          <t>Q2’26</t>
        </is>
      </c>
      <c r="P195" s="43" t="n">
        <v>2</v>
      </c>
      <c r="Q195" s="43" t="n">
        <v>9</v>
      </c>
      <c r="R195" s="43" t="n">
        <v>2</v>
      </c>
      <c r="S195" s="45" t="n">
        <v>1770.559999999999</v>
      </c>
      <c r="T195">
        <f>(S194+S195+S196)=O3</f>
        <v/>
      </c>
      <c r="X195" s="84">
        <f>MAX(S192-S195,0)</f>
        <v/>
      </c>
      <c r="Y195" s="83" t="n">
        <v>0</v>
      </c>
      <c r="AA195" s="84" t="n">
        <v>4</v>
      </c>
      <c r="AB195" s="84" t="inlineStr">
        <is>
          <t>E</t>
        </is>
      </c>
      <c r="AC195" s="84" t="inlineStr">
        <is>
          <t>E+</t>
        </is>
      </c>
      <c r="AD195" s="84" t="n">
        <v>7</v>
      </c>
      <c r="AE195" s="84" t="n">
        <v>6</v>
      </c>
      <c r="AF195" s="84" t="n">
        <v>0.76</v>
      </c>
      <c r="AG195" s="84" t="n">
        <v>0.84</v>
      </c>
      <c r="AH195" s="84" t="n">
        <v>0</v>
      </c>
      <c r="AI195" s="84" t="n">
        <v>0</v>
      </c>
      <c r="AJ195" s="84">
        <f>SUMIFS(AH$8:AH$1039,$O$8:$O$1039,O195,$AB$8:$AB$1039,AB195,$R$8:$R$1039,R195,$AA$8:$AA$1039,"&lt;="&amp;AA195)</f>
        <v/>
      </c>
      <c r="AK195" s="84">
        <f>D24</f>
        <v/>
      </c>
      <c r="AL195" s="84">
        <f>D30</f>
        <v/>
      </c>
      <c r="AM195" s="84">
        <f>MAX(0,AJ195-AK195)</f>
        <v/>
      </c>
      <c r="AN195" s="84">
        <f>IF(AM195=0,AH195,IF(AM195&gt;=AH195,0,AH195-AM195))</f>
        <v/>
      </c>
      <c r="AO195" s="84">
        <f>IF(AM195&gt;=AH195,AI195,AI195*AM195/AH195)</f>
        <v/>
      </c>
      <c r="AP195">
        <f t="array" ref="AP195">INDEX($AU$8:$BB$25,6*(R195-1)+MATCH(AB195,$AS$8:$AS$13,0),MATCH(O195,$AU$7:$BB$7,0))</f>
        <v/>
      </c>
    </row>
    <row r="196" ht="14.25" customHeight="1">
      <c r="O196" s="43" t="inlineStr">
        <is>
          <t>Q2’26</t>
        </is>
      </c>
      <c r="P196" s="43" t="n">
        <v>2</v>
      </c>
      <c r="Q196" s="43" t="n">
        <v>9</v>
      </c>
      <c r="R196" s="43" t="n">
        <v>3</v>
      </c>
      <c r="S196" s="45" t="n">
        <v>0</v>
      </c>
      <c r="T196">
        <f>(S194+S195+S196)=O3</f>
        <v/>
      </c>
      <c r="X196" s="84">
        <f>MAX(S193-S196,0)</f>
        <v/>
      </c>
      <c r="Y196" s="83" t="n">
        <v>0</v>
      </c>
      <c r="AA196" s="84" t="n">
        <v>4</v>
      </c>
      <c r="AB196" s="84" t="inlineStr">
        <is>
          <t>E</t>
        </is>
      </c>
      <c r="AC196" s="84" t="inlineStr">
        <is>
          <t>E+</t>
        </is>
      </c>
      <c r="AD196" s="84" t="n">
        <v>7</v>
      </c>
      <c r="AE196" s="84" t="n">
        <v>6</v>
      </c>
      <c r="AF196" s="84" t="n">
        <v>0.76</v>
      </c>
      <c r="AG196" s="84" t="n">
        <v>0.84</v>
      </c>
      <c r="AH196" s="84" t="n">
        <v>0</v>
      </c>
      <c r="AI196" s="84" t="n">
        <v>0</v>
      </c>
      <c r="AJ196" s="84">
        <f>SUMIFS(AH$8:AH$1039,$O$8:$O$1039,O196,$AB$8:$AB$1039,AB196,$R$8:$R$1039,R196,$AA$8:$AA$1039,"&lt;="&amp;AA196)</f>
        <v/>
      </c>
      <c r="AK196" s="84">
        <f>E24</f>
        <v/>
      </c>
      <c r="AL196" s="84">
        <f>E30</f>
        <v/>
      </c>
      <c r="AM196" s="84">
        <f>MAX(0,AJ196-AK196)</f>
        <v/>
      </c>
      <c r="AN196" s="84">
        <f>IF(AM196=0,AH196,IF(AM196&gt;=AH196,0,AH196-AM196))</f>
        <v/>
      </c>
      <c r="AO196" s="84">
        <f>IF(AM196&gt;=AH196,AI196,AI196*AM196/AH196)</f>
        <v/>
      </c>
      <c r="AP196">
        <f t="array" ref="AP196">INDEX($AU$8:$BB$25,6*(R196-1)+MATCH(AB196,$AS$8:$AS$13,0),MATCH(O196,$AU$7:$BB$7,0))</f>
        <v/>
      </c>
    </row>
    <row r="197" ht="14.25" customHeight="1">
      <c r="O197" s="43" t="inlineStr">
        <is>
          <t>Q2’26</t>
        </is>
      </c>
      <c r="P197" s="43" t="n">
        <v>2</v>
      </c>
      <c r="Q197" s="43" t="n">
        <v>10</v>
      </c>
      <c r="R197" s="43" t="n">
        <v>1</v>
      </c>
      <c r="S197" s="45" t="n">
        <v>3429.440000000001</v>
      </c>
      <c r="T197">
        <f>(S197+S198+S199)=O3</f>
        <v/>
      </c>
      <c r="X197" s="84">
        <f>MAX(S194-S197,0)</f>
        <v/>
      </c>
      <c r="Y197" s="83" t="n">
        <v>0</v>
      </c>
      <c r="AA197" s="84" t="n">
        <v>6</v>
      </c>
      <c r="AB197" s="84" t="inlineStr">
        <is>
          <t>E</t>
        </is>
      </c>
      <c r="AC197" s="84" t="inlineStr">
        <is>
          <t>E+</t>
        </is>
      </c>
      <c r="AD197" s="84" t="n">
        <v>9</v>
      </c>
      <c r="AE197" s="84" t="n">
        <v>7</v>
      </c>
      <c r="AF197" s="84" t="n">
        <v>0.76</v>
      </c>
      <c r="AG197" s="84" t="n">
        <v>0.84</v>
      </c>
      <c r="AH197" s="84" t="n">
        <v>0</v>
      </c>
      <c r="AI197" s="84" t="n">
        <v>0</v>
      </c>
      <c r="AJ197" s="84">
        <f>SUMIFS(AH$8:AH$1039,$O$8:$O$1039,O197,$AB$8:$AB$1039,AB197,$R$8:$R$1039,R197,$AA$8:$AA$1039,"&lt;="&amp;AA197)</f>
        <v/>
      </c>
      <c r="AK197" s="84">
        <f>C24</f>
        <v/>
      </c>
      <c r="AL197" s="84">
        <f>C30</f>
        <v/>
      </c>
      <c r="AM197" s="84">
        <f>MAX(0,AJ197-AK197)</f>
        <v/>
      </c>
      <c r="AN197" s="84">
        <f>IF(AM197=0,AH197,IF(AM197&gt;=AH197,0,AH197-AM197))</f>
        <v/>
      </c>
      <c r="AO197" s="84">
        <f>IF(AM197&gt;=AH197,AI197,AI197*AM197/AH197)</f>
        <v/>
      </c>
      <c r="AP197">
        <f t="array" ref="AP197">INDEX($AU$8:$BB$25,6*(R197-1)+MATCH(AB197,$AS$8:$AS$13,0),MATCH(O197,$AU$7:$BB$7,0))</f>
        <v/>
      </c>
    </row>
    <row r="198" ht="14.25" customHeight="1">
      <c r="O198" s="43" t="inlineStr">
        <is>
          <t>Q2’26</t>
        </is>
      </c>
      <c r="P198" s="43" t="n">
        <v>2</v>
      </c>
      <c r="Q198" s="43" t="n">
        <v>10</v>
      </c>
      <c r="R198" s="43" t="n">
        <v>2</v>
      </c>
      <c r="S198" s="45" t="n">
        <v>1770.559999999999</v>
      </c>
      <c r="T198">
        <f>(S197+S198+S199)=O3</f>
        <v/>
      </c>
      <c r="X198" s="84">
        <f>MAX(S195-S198,0)</f>
        <v/>
      </c>
      <c r="Y198" s="83" t="n">
        <v>0</v>
      </c>
      <c r="AA198" s="84" t="n">
        <v>6</v>
      </c>
      <c r="AB198" s="84" t="inlineStr">
        <is>
          <t>E</t>
        </is>
      </c>
      <c r="AC198" s="84" t="inlineStr">
        <is>
          <t>E+</t>
        </is>
      </c>
      <c r="AD198" s="84" t="n">
        <v>9</v>
      </c>
      <c r="AE198" s="84" t="n">
        <v>7</v>
      </c>
      <c r="AF198" s="84" t="n">
        <v>0.76</v>
      </c>
      <c r="AG198" s="84" t="n">
        <v>0.84</v>
      </c>
      <c r="AH198" s="84" t="n">
        <v>0</v>
      </c>
      <c r="AI198" s="84" t="n">
        <v>0</v>
      </c>
      <c r="AJ198" s="84">
        <f>SUMIFS(AH$8:AH$1039,$O$8:$O$1039,O198,$AB$8:$AB$1039,AB198,$R$8:$R$1039,R198,$AA$8:$AA$1039,"&lt;="&amp;AA198)</f>
        <v/>
      </c>
      <c r="AK198" s="84">
        <f>D24</f>
        <v/>
      </c>
      <c r="AL198" s="84">
        <f>D30</f>
        <v/>
      </c>
      <c r="AM198" s="84">
        <f>MAX(0,AJ198-AK198)</f>
        <v/>
      </c>
      <c r="AN198" s="84">
        <f>IF(AM198=0,AH198,IF(AM198&gt;=AH198,0,AH198-AM198))</f>
        <v/>
      </c>
      <c r="AO198" s="84">
        <f>IF(AM198&gt;=AH198,AI198,AI198*AM198/AH198)</f>
        <v/>
      </c>
      <c r="AP198">
        <f t="array" ref="AP198">INDEX($AU$8:$BB$25,6*(R198-1)+MATCH(AB198,$AS$8:$AS$13,0),MATCH(O198,$AU$7:$BB$7,0))</f>
        <v/>
      </c>
    </row>
    <row r="199" ht="14.25" customHeight="1">
      <c r="O199" s="43" t="inlineStr">
        <is>
          <t>Q2’26</t>
        </is>
      </c>
      <c r="P199" s="43" t="n">
        <v>2</v>
      </c>
      <c r="Q199" s="43" t="n">
        <v>10</v>
      </c>
      <c r="R199" s="43" t="n">
        <v>3</v>
      </c>
      <c r="S199" s="45" t="n">
        <v>-0</v>
      </c>
      <c r="T199">
        <f>(S197+S198+S199)=O3</f>
        <v/>
      </c>
      <c r="X199" s="84">
        <f>MAX(S196-S199,0)</f>
        <v/>
      </c>
      <c r="Y199" s="83" t="n">
        <v>0</v>
      </c>
      <c r="AA199" s="84" t="n">
        <v>6</v>
      </c>
      <c r="AB199" s="84" t="inlineStr">
        <is>
          <t>E</t>
        </is>
      </c>
      <c r="AC199" s="84" t="inlineStr">
        <is>
          <t>E+</t>
        </is>
      </c>
      <c r="AD199" s="84" t="n">
        <v>9</v>
      </c>
      <c r="AE199" s="84" t="n">
        <v>7</v>
      </c>
      <c r="AF199" s="84" t="n">
        <v>0.76</v>
      </c>
      <c r="AG199" s="84" t="n">
        <v>0.84</v>
      </c>
      <c r="AH199" s="84" t="n">
        <v>0</v>
      </c>
      <c r="AI199" s="84" t="n">
        <v>0</v>
      </c>
      <c r="AJ199" s="84">
        <f>SUMIFS(AH$8:AH$1039,$O$8:$O$1039,O199,$AB$8:$AB$1039,AB199,$R$8:$R$1039,R199,$AA$8:$AA$1039,"&lt;="&amp;AA199)</f>
        <v/>
      </c>
      <c r="AK199" s="84">
        <f>E24</f>
        <v/>
      </c>
      <c r="AL199" s="84">
        <f>E30</f>
        <v/>
      </c>
      <c r="AM199" s="84">
        <f>MAX(0,AJ199-AK199)</f>
        <v/>
      </c>
      <c r="AN199" s="84">
        <f>IF(AM199=0,AH199,IF(AM199&gt;=AH199,0,AH199-AM199))</f>
        <v/>
      </c>
      <c r="AO199" s="84">
        <f>IF(AM199&gt;=AH199,AI199,AI199*AM199/AH199)</f>
        <v/>
      </c>
      <c r="AP199">
        <f t="array" ref="AP199">INDEX($AU$8:$BB$25,6*(R199-1)+MATCH(AB199,$AS$8:$AS$13,0),MATCH(O199,$AU$7:$BB$7,0))</f>
        <v/>
      </c>
    </row>
    <row r="200" ht="14.25" customHeight="1">
      <c r="O200" s="43" t="inlineStr">
        <is>
          <t>Q2’26</t>
        </is>
      </c>
      <c r="P200" s="43" t="n">
        <v>2</v>
      </c>
      <c r="Q200" s="43" t="n">
        <v>11</v>
      </c>
      <c r="R200" s="43" t="n">
        <v>1</v>
      </c>
      <c r="S200" s="45" t="n">
        <v>3429.440000000001</v>
      </c>
      <c r="T200">
        <f>(S200+S201+S202)=O3</f>
        <v/>
      </c>
      <c r="X200" s="84">
        <f>MAX(S197-S200,0)</f>
        <v/>
      </c>
      <c r="Y200" s="83" t="n">
        <v>0</v>
      </c>
      <c r="AA200" s="84" t="n">
        <v>2</v>
      </c>
      <c r="AB200" s="84" t="inlineStr">
        <is>
          <t>E</t>
        </is>
      </c>
      <c r="AC200" s="84" t="inlineStr">
        <is>
          <t>E+</t>
        </is>
      </c>
      <c r="AD200" s="84" t="n">
        <v>20</v>
      </c>
      <c r="AE200" s="84" t="n">
        <v>19</v>
      </c>
      <c r="AF200" s="84" t="n">
        <v>0.76</v>
      </c>
      <c r="AG200" s="84" t="n">
        <v>0.84</v>
      </c>
      <c r="AH200" s="84" t="n">
        <v>0</v>
      </c>
      <c r="AI200" s="84" t="n">
        <v>0</v>
      </c>
      <c r="AJ200" s="84">
        <f>SUMIFS(AH$8:AH$1039,$O$8:$O$1039,O200,$AB$8:$AB$1039,AB200,$R$8:$R$1039,R200,$AA$8:$AA$1039,"&lt;="&amp;AA200)</f>
        <v/>
      </c>
      <c r="AK200" s="84">
        <f>C24</f>
        <v/>
      </c>
      <c r="AL200" s="84">
        <f>C30</f>
        <v/>
      </c>
      <c r="AM200" s="84">
        <f>MAX(0,AJ200-AK200)</f>
        <v/>
      </c>
      <c r="AN200" s="84">
        <f>IF(AM200=0,AH200,IF(AM200&gt;=AH200,0,AH200-AM200))</f>
        <v/>
      </c>
      <c r="AO200" s="84">
        <f>IF(AM200&gt;=AH200,AI200,AI200*AM200/AH200)</f>
        <v/>
      </c>
      <c r="AP200">
        <f t="array" ref="AP200">INDEX($AU$8:$BB$25,6*(R200-1)+MATCH(AB200,$AS$8:$AS$13,0),MATCH(O200,$AU$7:$BB$7,0))</f>
        <v/>
      </c>
    </row>
    <row r="201" ht="14.25" customHeight="1">
      <c r="O201" s="43" t="inlineStr">
        <is>
          <t>Q2’26</t>
        </is>
      </c>
      <c r="P201" s="43" t="n">
        <v>2</v>
      </c>
      <c r="Q201" s="43" t="n">
        <v>11</v>
      </c>
      <c r="R201" s="43" t="n">
        <v>2</v>
      </c>
      <c r="S201" s="45" t="n">
        <v>1770.559999999999</v>
      </c>
      <c r="T201">
        <f>(S200+S201+S202)=O3</f>
        <v/>
      </c>
      <c r="X201" s="84">
        <f>MAX(S198-S201,0)</f>
        <v/>
      </c>
      <c r="Y201" s="83" t="n">
        <v>0</v>
      </c>
      <c r="AA201" s="84" t="n">
        <v>2</v>
      </c>
      <c r="AB201" s="84" t="inlineStr">
        <is>
          <t>E</t>
        </is>
      </c>
      <c r="AC201" s="84" t="inlineStr">
        <is>
          <t>E+</t>
        </is>
      </c>
      <c r="AD201" s="84" t="n">
        <v>20</v>
      </c>
      <c r="AE201" s="84" t="n">
        <v>19</v>
      </c>
      <c r="AF201" s="84" t="n">
        <v>0.76</v>
      </c>
      <c r="AG201" s="84" t="n">
        <v>0.84</v>
      </c>
      <c r="AH201" s="84" t="n">
        <v>0</v>
      </c>
      <c r="AI201" s="84" t="n">
        <v>0</v>
      </c>
      <c r="AJ201" s="84">
        <f>SUMIFS(AH$8:AH$1039,$O$8:$O$1039,O201,$AB$8:$AB$1039,AB201,$R$8:$R$1039,R201,$AA$8:$AA$1039,"&lt;="&amp;AA201)</f>
        <v/>
      </c>
      <c r="AK201" s="84">
        <f>D24</f>
        <v/>
      </c>
      <c r="AL201" s="84">
        <f>D30</f>
        <v/>
      </c>
      <c r="AM201" s="84">
        <f>MAX(0,AJ201-AK201)</f>
        <v/>
      </c>
      <c r="AN201" s="84">
        <f>IF(AM201=0,AH201,IF(AM201&gt;=AH201,0,AH201-AM201))</f>
        <v/>
      </c>
      <c r="AO201" s="84">
        <f>IF(AM201&gt;=AH201,AI201,AI201*AM201/AH201)</f>
        <v/>
      </c>
      <c r="AP201">
        <f t="array" ref="AP201">INDEX($AU$8:$BB$25,6*(R201-1)+MATCH(AB201,$AS$8:$AS$13,0),MATCH(O201,$AU$7:$BB$7,0))</f>
        <v/>
      </c>
    </row>
    <row r="202" ht="14.25" customHeight="1">
      <c r="O202" s="43" t="inlineStr">
        <is>
          <t>Q2’26</t>
        </is>
      </c>
      <c r="P202" s="43" t="n">
        <v>2</v>
      </c>
      <c r="Q202" s="43" t="n">
        <v>11</v>
      </c>
      <c r="R202" s="43" t="n">
        <v>3</v>
      </c>
      <c r="S202" s="45" t="n">
        <v>-0</v>
      </c>
      <c r="T202">
        <f>(S200+S201+S202)=O3</f>
        <v/>
      </c>
      <c r="X202" s="84">
        <f>MAX(S199-S202,0)</f>
        <v/>
      </c>
      <c r="Y202" s="83" t="n">
        <v>0</v>
      </c>
      <c r="AA202" s="84" t="n">
        <v>2</v>
      </c>
      <c r="AB202" s="84" t="inlineStr">
        <is>
          <t>E</t>
        </is>
      </c>
      <c r="AC202" s="84" t="inlineStr">
        <is>
          <t>E+</t>
        </is>
      </c>
      <c r="AD202" s="84" t="n">
        <v>20</v>
      </c>
      <c r="AE202" s="84" t="n">
        <v>19</v>
      </c>
      <c r="AF202" s="84" t="n">
        <v>0.76</v>
      </c>
      <c r="AG202" s="84" t="n">
        <v>0.84</v>
      </c>
      <c r="AH202" s="84" t="n">
        <v>0</v>
      </c>
      <c r="AI202" s="84" t="n">
        <v>0</v>
      </c>
      <c r="AJ202" s="84">
        <f>SUMIFS(AH$8:AH$1039,$O$8:$O$1039,O202,$AB$8:$AB$1039,AB202,$R$8:$R$1039,R202,$AA$8:$AA$1039,"&lt;="&amp;AA202)</f>
        <v/>
      </c>
      <c r="AK202" s="84">
        <f>E24</f>
        <v/>
      </c>
      <c r="AL202" s="84">
        <f>E30</f>
        <v/>
      </c>
      <c r="AM202" s="84">
        <f>MAX(0,AJ202-AK202)</f>
        <v/>
      </c>
      <c r="AN202" s="84">
        <f>IF(AM202=0,AH202,IF(AM202&gt;=AH202,0,AH202-AM202))</f>
        <v/>
      </c>
      <c r="AO202" s="84">
        <f>IF(AM202&gt;=AH202,AI202,AI202*AM202/AH202)</f>
        <v/>
      </c>
      <c r="AP202">
        <f t="array" ref="AP202">INDEX($AU$8:$BB$25,6*(R202-1)+MATCH(AB202,$AS$8:$AS$13,0),MATCH(O202,$AU$7:$BB$7,0))</f>
        <v/>
      </c>
    </row>
    <row r="203" ht="14.25" customHeight="1">
      <c r="O203" s="43" t="inlineStr">
        <is>
          <t>Q2’26</t>
        </is>
      </c>
      <c r="P203" s="43" t="n">
        <v>2</v>
      </c>
      <c r="Q203" s="43" t="n">
        <v>12</v>
      </c>
      <c r="R203" s="43" t="n">
        <v>1</v>
      </c>
      <c r="S203" s="45" t="n">
        <v>3429.440000000001</v>
      </c>
      <c r="T203">
        <f>(S203+S204+S205)=O3</f>
        <v/>
      </c>
      <c r="X203" s="84">
        <f>MAX(S200-S203,0)</f>
        <v/>
      </c>
      <c r="Y203" s="83" t="n">
        <v>0</v>
      </c>
      <c r="AA203" s="84" t="n">
        <v>7</v>
      </c>
      <c r="AB203" s="84" t="inlineStr">
        <is>
          <t>F</t>
        </is>
      </c>
      <c r="AC203" s="84" t="inlineStr">
        <is>
          <t>F+</t>
        </is>
      </c>
      <c r="AD203" s="84" t="n">
        <v>21</v>
      </c>
      <c r="AE203" s="84" t="n">
        <v>18</v>
      </c>
      <c r="AF203" s="84" t="n">
        <v>0.8</v>
      </c>
      <c r="AG203" s="84" t="n">
        <v>0.9</v>
      </c>
      <c r="AH203" s="84" t="n">
        <v>0</v>
      </c>
      <c r="AI203" s="84" t="n">
        <v>0</v>
      </c>
      <c r="AJ203" s="84">
        <f>SUMIFS(AH$8:AH$1039,$O$8:$O$1039,O203,$AB$8:$AB$1039,AB203,$R$8:$R$1039,R203,$AA$8:$AA$1039,"&lt;="&amp;AA203)</f>
        <v/>
      </c>
      <c r="AK203" s="84">
        <f>C25</f>
        <v/>
      </c>
      <c r="AL203" s="84">
        <f>C31</f>
        <v/>
      </c>
      <c r="AM203" s="84">
        <f>MAX(0,AJ203-AK203)</f>
        <v/>
      </c>
      <c r="AN203" s="84">
        <f>IF(AM203=0,AH203,IF(AM203&gt;=AH203,0,AH203-AM203))</f>
        <v/>
      </c>
      <c r="AO203" s="84">
        <f>IF(AM203&gt;=AH203,AI203,AI203*AM203/AH203)</f>
        <v/>
      </c>
      <c r="AP203">
        <f t="array" ref="AP203">INDEX($AU$8:$BB$25,6*(R203-1)+MATCH(AB203,$AS$8:$AS$13,0),MATCH(O203,$AU$7:$BB$7,0))</f>
        <v/>
      </c>
    </row>
    <row r="204" ht="14.25" customHeight="1">
      <c r="O204" s="43" t="inlineStr">
        <is>
          <t>Q2’26</t>
        </is>
      </c>
      <c r="P204" s="43" t="n">
        <v>2</v>
      </c>
      <c r="Q204" s="43" t="n">
        <v>12</v>
      </c>
      <c r="R204" s="43" t="n">
        <v>2</v>
      </c>
      <c r="S204" s="45" t="n">
        <v>1770.559999999999</v>
      </c>
      <c r="T204">
        <f>(S203+S204+S205)=O3</f>
        <v/>
      </c>
      <c r="X204" s="84">
        <f>MAX(S201-S204,0)</f>
        <v/>
      </c>
      <c r="Y204" s="83" t="n">
        <v>0</v>
      </c>
      <c r="AA204" s="84" t="n">
        <v>7</v>
      </c>
      <c r="AB204" s="84" t="inlineStr">
        <is>
          <t>F</t>
        </is>
      </c>
      <c r="AC204" s="84" t="inlineStr">
        <is>
          <t>F+</t>
        </is>
      </c>
      <c r="AD204" s="84" t="n">
        <v>21</v>
      </c>
      <c r="AE204" s="84" t="n">
        <v>18</v>
      </c>
      <c r="AF204" s="84" t="n">
        <v>0.8</v>
      </c>
      <c r="AG204" s="84" t="n">
        <v>0.9</v>
      </c>
      <c r="AH204" s="84" t="n">
        <v>0</v>
      </c>
      <c r="AI204" s="84" t="n">
        <v>0</v>
      </c>
      <c r="AJ204" s="84">
        <f>SUMIFS(AH$8:AH$1039,$O$8:$O$1039,O204,$AB$8:$AB$1039,AB204,$R$8:$R$1039,R204,$AA$8:$AA$1039,"&lt;="&amp;AA204)</f>
        <v/>
      </c>
      <c r="AK204" s="84">
        <f>D25</f>
        <v/>
      </c>
      <c r="AL204" s="84">
        <f>D31</f>
        <v/>
      </c>
      <c r="AM204" s="84">
        <f>MAX(0,AJ204-AK204)</f>
        <v/>
      </c>
      <c r="AN204" s="84">
        <f>IF(AM204=0,AH204,IF(AM204&gt;=AH204,0,AH204-AM204))</f>
        <v/>
      </c>
      <c r="AO204" s="84">
        <f>IF(AM204&gt;=AH204,AI204,AI204*AM204/AH204)</f>
        <v/>
      </c>
      <c r="AP204">
        <f t="array" ref="AP204">INDEX($AU$8:$BB$25,6*(R204-1)+MATCH(AB204,$AS$8:$AS$13,0),MATCH(O204,$AU$7:$BB$7,0))</f>
        <v/>
      </c>
    </row>
    <row r="205" ht="14.25" customHeight="1">
      <c r="O205" s="43" t="inlineStr">
        <is>
          <t>Q2’26</t>
        </is>
      </c>
      <c r="P205" s="43" t="n">
        <v>2</v>
      </c>
      <c r="Q205" s="43" t="n">
        <v>12</v>
      </c>
      <c r="R205" s="43" t="n">
        <v>3</v>
      </c>
      <c r="S205" s="45" t="n">
        <v>-0</v>
      </c>
      <c r="T205">
        <f>(S203+S204+S205)=O3</f>
        <v/>
      </c>
      <c r="X205" s="84">
        <f>MAX(S202-S205,0)</f>
        <v/>
      </c>
      <c r="Y205" s="83" t="n">
        <v>0</v>
      </c>
      <c r="AA205" s="84" t="n">
        <v>7</v>
      </c>
      <c r="AB205" s="84" t="inlineStr">
        <is>
          <t>F</t>
        </is>
      </c>
      <c r="AC205" s="84" t="inlineStr">
        <is>
          <t>F+</t>
        </is>
      </c>
      <c r="AD205" s="84" t="n">
        <v>21</v>
      </c>
      <c r="AE205" s="84" t="n">
        <v>18</v>
      </c>
      <c r="AF205" s="84" t="n">
        <v>0.8</v>
      </c>
      <c r="AG205" s="84" t="n">
        <v>0.9</v>
      </c>
      <c r="AH205" s="84" t="n">
        <v>0</v>
      </c>
      <c r="AI205" s="84" t="n">
        <v>0</v>
      </c>
      <c r="AJ205" s="84">
        <f>SUMIFS(AH$8:AH$1039,$O$8:$O$1039,O205,$AB$8:$AB$1039,AB205,$R$8:$R$1039,R205,$AA$8:$AA$1039,"&lt;="&amp;AA205)</f>
        <v/>
      </c>
      <c r="AK205" s="84">
        <f>E25</f>
        <v/>
      </c>
      <c r="AL205" s="84">
        <f>E31</f>
        <v/>
      </c>
      <c r="AM205" s="84">
        <f>MAX(0,AJ205-AK205)</f>
        <v/>
      </c>
      <c r="AN205" s="84">
        <f>IF(AM205=0,AH205,IF(AM205&gt;=AH205,0,AH205-AM205))</f>
        <v/>
      </c>
      <c r="AO205" s="84">
        <f>IF(AM205&gt;=AH205,AI205,AI205*AM205/AH205)</f>
        <v/>
      </c>
      <c r="AP205">
        <f t="array" ref="AP205">INDEX($AU$8:$BB$25,6*(R205-1)+MATCH(AB205,$AS$8:$AS$13,0),MATCH(O205,$AU$7:$BB$7,0))</f>
        <v/>
      </c>
    </row>
    <row r="206" ht="14.25" customHeight="1">
      <c r="O206" s="43" t="inlineStr">
        <is>
          <t>Q2’26</t>
        </is>
      </c>
      <c r="P206" s="43" t="n">
        <v>2</v>
      </c>
      <c r="Q206" s="43" t="n">
        <v>13</v>
      </c>
      <c r="R206" s="43" t="n">
        <v>1</v>
      </c>
      <c r="S206" s="45" t="n">
        <v>3429.440000000001</v>
      </c>
      <c r="T206">
        <f>(S206+S207+S208)=O3</f>
        <v/>
      </c>
      <c r="X206" s="84">
        <f>MAX(S203-S206,0)</f>
        <v/>
      </c>
      <c r="Y206" s="83" t="n">
        <v>0</v>
      </c>
      <c r="AA206" s="84" t="n">
        <v>8</v>
      </c>
      <c r="AB206" s="84" t="inlineStr">
        <is>
          <t>E</t>
        </is>
      </c>
      <c r="AC206" s="84" t="inlineStr">
        <is>
          <t>E+</t>
        </is>
      </c>
      <c r="AD206" s="84" t="n">
        <v>12</v>
      </c>
      <c r="AE206" s="84" t="n">
        <v>9</v>
      </c>
      <c r="AF206" s="84" t="n">
        <v>0.76</v>
      </c>
      <c r="AG206" s="84" t="n">
        <v>0.84</v>
      </c>
      <c r="AH206" s="84" t="n">
        <v>0</v>
      </c>
      <c r="AI206" s="84" t="n">
        <v>0</v>
      </c>
      <c r="AJ206" s="84">
        <f>SUMIFS(AH$8:AH$1039,$O$8:$O$1039,O206,$AB$8:$AB$1039,AB206,$R$8:$R$1039,R206,$AA$8:$AA$1039,"&lt;="&amp;AA206)</f>
        <v/>
      </c>
      <c r="AK206" s="84">
        <f>C24</f>
        <v/>
      </c>
      <c r="AL206" s="84">
        <f>C30</f>
        <v/>
      </c>
      <c r="AM206" s="84">
        <f>MAX(0,AJ206-AK206)</f>
        <v/>
      </c>
      <c r="AN206" s="84">
        <f>IF(AM206=0,AH206,IF(AM206&gt;=AH206,0,AH206-AM206))</f>
        <v/>
      </c>
      <c r="AO206" s="84">
        <f>IF(AM206&gt;=AH206,AI206,AI206*AM206/AH206)</f>
        <v/>
      </c>
      <c r="AP206">
        <f t="array" ref="AP206">INDEX($AU$8:$BB$25,6*(R206-1)+MATCH(AB206,$AS$8:$AS$13,0),MATCH(O206,$AU$7:$BB$7,0))</f>
        <v/>
      </c>
    </row>
    <row r="207" ht="14.25" customHeight="1">
      <c r="O207" s="43" t="inlineStr">
        <is>
          <t>Q2’26</t>
        </is>
      </c>
      <c r="P207" s="43" t="n">
        <v>2</v>
      </c>
      <c r="Q207" s="43" t="n">
        <v>13</v>
      </c>
      <c r="R207" s="43" t="n">
        <v>2</v>
      </c>
      <c r="S207" s="45" t="n">
        <v>1770.559999999999</v>
      </c>
      <c r="T207">
        <f>(S206+S207+S208)=O3</f>
        <v/>
      </c>
      <c r="X207" s="84">
        <f>MAX(S204-S207,0)</f>
        <v/>
      </c>
      <c r="Y207" s="83" t="n">
        <v>0</v>
      </c>
      <c r="AA207" s="84" t="n">
        <v>8</v>
      </c>
      <c r="AB207" s="84" t="inlineStr">
        <is>
          <t>E</t>
        </is>
      </c>
      <c r="AC207" s="84" t="inlineStr">
        <is>
          <t>E+</t>
        </is>
      </c>
      <c r="AD207" s="84" t="n">
        <v>12</v>
      </c>
      <c r="AE207" s="84" t="n">
        <v>9</v>
      </c>
      <c r="AF207" s="84" t="n">
        <v>0.76</v>
      </c>
      <c r="AG207" s="84" t="n">
        <v>0.84</v>
      </c>
      <c r="AH207" s="84" t="n">
        <v>0</v>
      </c>
      <c r="AI207" s="84" t="n">
        <v>0</v>
      </c>
      <c r="AJ207" s="84">
        <f>SUMIFS(AH$8:AH$1039,$O$8:$O$1039,O207,$AB$8:$AB$1039,AB207,$R$8:$R$1039,R207,$AA$8:$AA$1039,"&lt;="&amp;AA207)</f>
        <v/>
      </c>
      <c r="AK207" s="84">
        <f>D24</f>
        <v/>
      </c>
      <c r="AL207" s="84">
        <f>D30</f>
        <v/>
      </c>
      <c r="AM207" s="84">
        <f>MAX(0,AJ207-AK207)</f>
        <v/>
      </c>
      <c r="AN207" s="84">
        <f>IF(AM207=0,AH207,IF(AM207&gt;=AH207,0,AH207-AM207))</f>
        <v/>
      </c>
      <c r="AO207" s="84">
        <f>IF(AM207&gt;=AH207,AI207,AI207*AM207/AH207)</f>
        <v/>
      </c>
      <c r="AP207">
        <f t="array" ref="AP207">INDEX($AU$8:$BB$25,6*(R207-1)+MATCH(AB207,$AS$8:$AS$13,0),MATCH(O207,$AU$7:$BB$7,0))</f>
        <v/>
      </c>
    </row>
    <row r="208" ht="14.25" customHeight="1">
      <c r="O208" s="43" t="inlineStr">
        <is>
          <t>Q2’26</t>
        </is>
      </c>
      <c r="P208" s="43" t="n">
        <v>2</v>
      </c>
      <c r="Q208" s="43" t="n">
        <v>13</v>
      </c>
      <c r="R208" s="43" t="n">
        <v>3</v>
      </c>
      <c r="S208" s="45" t="n">
        <v>-0</v>
      </c>
      <c r="T208">
        <f>(S206+S207+S208)=O3</f>
        <v/>
      </c>
      <c r="X208" s="84">
        <f>MAX(S205-S208,0)</f>
        <v/>
      </c>
      <c r="Y208" s="83" t="n">
        <v>0</v>
      </c>
      <c r="AA208" s="84" t="n">
        <v>8</v>
      </c>
      <c r="AB208" s="84" t="inlineStr">
        <is>
          <t>E</t>
        </is>
      </c>
      <c r="AC208" s="84" t="inlineStr">
        <is>
          <t>E+</t>
        </is>
      </c>
      <c r="AD208" s="84" t="n">
        <v>12</v>
      </c>
      <c r="AE208" s="84" t="n">
        <v>9</v>
      </c>
      <c r="AF208" s="84" t="n">
        <v>0.76</v>
      </c>
      <c r="AG208" s="84" t="n">
        <v>0.84</v>
      </c>
      <c r="AH208" s="84" t="n">
        <v>0</v>
      </c>
      <c r="AI208" s="84" t="n">
        <v>0</v>
      </c>
      <c r="AJ208" s="84">
        <f>SUMIFS(AH$8:AH$1039,$O$8:$O$1039,O208,$AB$8:$AB$1039,AB208,$R$8:$R$1039,R208,$AA$8:$AA$1039,"&lt;="&amp;AA208)</f>
        <v/>
      </c>
      <c r="AK208" s="84">
        <f>E24</f>
        <v/>
      </c>
      <c r="AL208" s="84">
        <f>E30</f>
        <v/>
      </c>
      <c r="AM208" s="84">
        <f>MAX(0,AJ208-AK208)</f>
        <v/>
      </c>
      <c r="AN208" s="84">
        <f>IF(AM208=0,AH208,IF(AM208&gt;=AH208,0,AH208-AM208))</f>
        <v/>
      </c>
      <c r="AO208" s="84">
        <f>IF(AM208&gt;=AH208,AI208,AI208*AM208/AH208)</f>
        <v/>
      </c>
      <c r="AP208">
        <f t="array" ref="AP208">INDEX($AU$8:$BB$25,6*(R208-1)+MATCH(AB208,$AS$8:$AS$13,0),MATCH(O208,$AU$7:$BB$7,0))</f>
        <v/>
      </c>
    </row>
    <row r="209" ht="14.25" customHeight="1">
      <c r="O209" s="43" t="inlineStr">
        <is>
          <t>Q2’26</t>
        </is>
      </c>
      <c r="P209" s="43" t="n">
        <v>2</v>
      </c>
      <c r="Q209" s="43" t="n">
        <v>14</v>
      </c>
      <c r="R209" s="43" t="n">
        <v>1</v>
      </c>
      <c r="S209" s="45" t="n">
        <v>3429.440000000004</v>
      </c>
      <c r="T209">
        <f>(S209+S210+S211)=O3</f>
        <v/>
      </c>
      <c r="X209" s="84">
        <f>MAX(S206-S209,0)</f>
        <v/>
      </c>
      <c r="Y209" s="83" t="n">
        <v>0</v>
      </c>
      <c r="AA209" s="84" t="n">
        <v>5</v>
      </c>
      <c r="AB209" s="84" t="inlineStr">
        <is>
          <t>E</t>
        </is>
      </c>
      <c r="AC209" s="84" t="inlineStr">
        <is>
          <t>E+</t>
        </is>
      </c>
      <c r="AD209" s="84" t="n">
        <v>15</v>
      </c>
      <c r="AE209" s="84" t="n">
        <v>12</v>
      </c>
      <c r="AF209" s="84" t="n">
        <v>0.76</v>
      </c>
      <c r="AG209" s="84" t="n">
        <v>0.84</v>
      </c>
      <c r="AH209" s="84" t="n">
        <v>0</v>
      </c>
      <c r="AI209" s="84" t="n">
        <v>0</v>
      </c>
      <c r="AJ209" s="84">
        <f>SUMIFS(AH$8:AH$1039,$O$8:$O$1039,O209,$AB$8:$AB$1039,AB209,$R$8:$R$1039,R209,$AA$8:$AA$1039,"&lt;="&amp;AA209)</f>
        <v/>
      </c>
      <c r="AK209" s="84">
        <f>C24</f>
        <v/>
      </c>
      <c r="AL209" s="84">
        <f>C30</f>
        <v/>
      </c>
      <c r="AM209" s="84">
        <f>MAX(0,AJ209-AK209)</f>
        <v/>
      </c>
      <c r="AN209" s="84">
        <f>IF(AM209=0,AH209,IF(AM209&gt;=AH209,0,AH209-AM209))</f>
        <v/>
      </c>
      <c r="AO209" s="84">
        <f>IF(AM209&gt;=AH209,AI209,AI209*AM209/AH209)</f>
        <v/>
      </c>
      <c r="AP209">
        <f t="array" ref="AP209">INDEX($AU$8:$BB$25,6*(R209-1)+MATCH(AB209,$AS$8:$AS$13,0),MATCH(O209,$AU$7:$BB$7,0))</f>
        <v/>
      </c>
    </row>
    <row r="210" ht="14.25" customHeight="1">
      <c r="O210" s="43" t="inlineStr">
        <is>
          <t>Q2’26</t>
        </is>
      </c>
      <c r="P210" s="43" t="n">
        <v>2</v>
      </c>
      <c r="Q210" s="43" t="n">
        <v>14</v>
      </c>
      <c r="R210" s="43" t="n">
        <v>2</v>
      </c>
      <c r="S210" s="45" t="n">
        <v>1770.559999999996</v>
      </c>
      <c r="T210">
        <f>(S209+S210+S211)=O3</f>
        <v/>
      </c>
      <c r="X210" s="84">
        <f>MAX(S207-S210,0)</f>
        <v/>
      </c>
      <c r="Y210" s="83" t="n">
        <v>0</v>
      </c>
      <c r="AA210" s="84" t="n">
        <v>5</v>
      </c>
      <c r="AB210" s="84" t="inlineStr">
        <is>
          <t>E</t>
        </is>
      </c>
      <c r="AC210" s="84" t="inlineStr">
        <is>
          <t>E+</t>
        </is>
      </c>
      <c r="AD210" s="84" t="n">
        <v>15</v>
      </c>
      <c r="AE210" s="84" t="n">
        <v>12</v>
      </c>
      <c r="AF210" s="84" t="n">
        <v>0.76</v>
      </c>
      <c r="AG210" s="84" t="n">
        <v>0.84</v>
      </c>
      <c r="AH210" s="84" t="n">
        <v>0</v>
      </c>
      <c r="AI210" s="84" t="n">
        <v>0</v>
      </c>
      <c r="AJ210" s="84">
        <f>SUMIFS(AH$8:AH$1039,$O$8:$O$1039,O210,$AB$8:$AB$1039,AB210,$R$8:$R$1039,R210,$AA$8:$AA$1039,"&lt;="&amp;AA210)</f>
        <v/>
      </c>
      <c r="AK210" s="84">
        <f>D24</f>
        <v/>
      </c>
      <c r="AL210" s="84">
        <f>D30</f>
        <v/>
      </c>
      <c r="AM210" s="84">
        <f>MAX(0,AJ210-AK210)</f>
        <v/>
      </c>
      <c r="AN210" s="84">
        <f>IF(AM210=0,AH210,IF(AM210&gt;=AH210,0,AH210-AM210))</f>
        <v/>
      </c>
      <c r="AO210" s="84">
        <f>IF(AM210&gt;=AH210,AI210,AI210*AM210/AH210)</f>
        <v/>
      </c>
      <c r="AP210">
        <f t="array" ref="AP210">INDEX($AU$8:$BB$25,6*(R210-1)+MATCH(AB210,$AS$8:$AS$13,0),MATCH(O210,$AU$7:$BB$7,0))</f>
        <v/>
      </c>
    </row>
    <row r="211" ht="14.25" customHeight="1">
      <c r="O211" s="43" t="inlineStr">
        <is>
          <t>Q2’26</t>
        </is>
      </c>
      <c r="P211" s="43" t="n">
        <v>2</v>
      </c>
      <c r="Q211" s="43" t="n">
        <v>14</v>
      </c>
      <c r="R211" s="43" t="n">
        <v>3</v>
      </c>
      <c r="S211" s="45" t="n">
        <v>-0</v>
      </c>
      <c r="T211">
        <f>(S209+S210+S211)=O3</f>
        <v/>
      </c>
      <c r="X211" s="84">
        <f>MAX(S208-S211,0)</f>
        <v/>
      </c>
      <c r="Y211" s="83" t="n">
        <v>0</v>
      </c>
      <c r="AA211" s="84" t="n">
        <v>5</v>
      </c>
      <c r="AB211" s="84" t="inlineStr">
        <is>
          <t>E</t>
        </is>
      </c>
      <c r="AC211" s="84" t="inlineStr">
        <is>
          <t>E+</t>
        </is>
      </c>
      <c r="AD211" s="84" t="n">
        <v>15</v>
      </c>
      <c r="AE211" s="84" t="n">
        <v>12</v>
      </c>
      <c r="AF211" s="84" t="n">
        <v>0.76</v>
      </c>
      <c r="AG211" s="84" t="n">
        <v>0.84</v>
      </c>
      <c r="AH211" s="84" t="n">
        <v>0</v>
      </c>
      <c r="AI211" s="84" t="n">
        <v>0</v>
      </c>
      <c r="AJ211" s="84">
        <f>SUMIFS(AH$8:AH$1039,$O$8:$O$1039,O211,$AB$8:$AB$1039,AB211,$R$8:$R$1039,R211,$AA$8:$AA$1039,"&lt;="&amp;AA211)</f>
        <v/>
      </c>
      <c r="AK211" s="84">
        <f>E24</f>
        <v/>
      </c>
      <c r="AL211" s="84">
        <f>E30</f>
        <v/>
      </c>
      <c r="AM211" s="84">
        <f>MAX(0,AJ211-AK211)</f>
        <v/>
      </c>
      <c r="AN211" s="84">
        <f>IF(AM211=0,AH211,IF(AM211&gt;=AH211,0,AH211-AM211))</f>
        <v/>
      </c>
      <c r="AO211" s="84">
        <f>IF(AM211&gt;=AH211,AI211,AI211*AM211/AH211)</f>
        <v/>
      </c>
      <c r="AP211">
        <f t="array" ref="AP211">INDEX($AU$8:$BB$25,6*(R211-1)+MATCH(AB211,$AS$8:$AS$13,0),MATCH(O211,$AU$7:$BB$7,0))</f>
        <v/>
      </c>
    </row>
    <row r="212" ht="14.25" customHeight="1">
      <c r="O212" s="43" t="inlineStr">
        <is>
          <t>Q2’26</t>
        </is>
      </c>
      <c r="P212" s="43" t="n">
        <v>2</v>
      </c>
      <c r="Q212" s="43" t="n">
        <v>15</v>
      </c>
      <c r="R212" s="43" t="n">
        <v>1</v>
      </c>
      <c r="S212" s="45" t="n">
        <v>3429.440000000004</v>
      </c>
      <c r="T212">
        <f>(S212+S213+S214)=O3</f>
        <v/>
      </c>
      <c r="X212" s="84">
        <f>MAX(S209-S212,0)</f>
        <v/>
      </c>
      <c r="Y212" s="83" t="n">
        <v>0</v>
      </c>
      <c r="AA212" s="84" t="n">
        <v>7</v>
      </c>
      <c r="AB212" s="84" t="inlineStr">
        <is>
          <t>E</t>
        </is>
      </c>
      <c r="AC212" s="84" t="inlineStr">
        <is>
          <t>E+</t>
        </is>
      </c>
      <c r="AD212" s="84" t="n">
        <v>13</v>
      </c>
      <c r="AE212" s="84" t="n">
        <v>10</v>
      </c>
      <c r="AF212" s="84" t="n">
        <v>0.76</v>
      </c>
      <c r="AG212" s="84" t="n">
        <v>0.84</v>
      </c>
      <c r="AH212" s="84" t="n">
        <v>0</v>
      </c>
      <c r="AI212" s="84" t="n">
        <v>0</v>
      </c>
      <c r="AJ212" s="84">
        <f>SUMIFS(AH$8:AH$1039,$O$8:$O$1039,O212,$AB$8:$AB$1039,AB212,$R$8:$R$1039,R212,$AA$8:$AA$1039,"&lt;="&amp;AA212)</f>
        <v/>
      </c>
      <c r="AK212" s="84">
        <f>C24</f>
        <v/>
      </c>
      <c r="AL212" s="84">
        <f>C30</f>
        <v/>
      </c>
      <c r="AM212" s="84">
        <f>MAX(0,AJ212-AK212)</f>
        <v/>
      </c>
      <c r="AN212" s="84">
        <f>IF(AM212=0,AH212,IF(AM212&gt;=AH212,0,AH212-AM212))</f>
        <v/>
      </c>
      <c r="AO212" s="84">
        <f>IF(AM212&gt;=AH212,AI212,AI212*AM212/AH212)</f>
        <v/>
      </c>
      <c r="AP212">
        <f t="array" ref="AP212">INDEX($AU$8:$BB$25,6*(R212-1)+MATCH(AB212,$AS$8:$AS$13,0),MATCH(O212,$AU$7:$BB$7,0))</f>
        <v/>
      </c>
    </row>
    <row r="213" ht="14.25" customHeight="1">
      <c r="O213" s="43" t="inlineStr">
        <is>
          <t>Q2’26</t>
        </is>
      </c>
      <c r="P213" s="43" t="n">
        <v>2</v>
      </c>
      <c r="Q213" s="43" t="n">
        <v>15</v>
      </c>
      <c r="R213" s="43" t="n">
        <v>2</v>
      </c>
      <c r="S213" s="45" t="n">
        <v>1770.559999999996</v>
      </c>
      <c r="T213">
        <f>(S212+S213+S214)=O3</f>
        <v/>
      </c>
      <c r="X213" s="84">
        <f>MAX(S210-S213,0)</f>
        <v/>
      </c>
      <c r="Y213" s="83" t="n">
        <v>0</v>
      </c>
      <c r="AA213" s="84" t="n">
        <v>7</v>
      </c>
      <c r="AB213" s="84" t="inlineStr">
        <is>
          <t>E</t>
        </is>
      </c>
      <c r="AC213" s="84" t="inlineStr">
        <is>
          <t>E+</t>
        </is>
      </c>
      <c r="AD213" s="84" t="n">
        <v>13</v>
      </c>
      <c r="AE213" s="84" t="n">
        <v>10</v>
      </c>
      <c r="AF213" s="84" t="n">
        <v>0.76</v>
      </c>
      <c r="AG213" s="84" t="n">
        <v>0.84</v>
      </c>
      <c r="AH213" s="84" t="n">
        <v>0</v>
      </c>
      <c r="AI213" s="84" t="n">
        <v>0</v>
      </c>
      <c r="AJ213" s="84">
        <f>SUMIFS(AH$8:AH$1039,$O$8:$O$1039,O213,$AB$8:$AB$1039,AB213,$R$8:$R$1039,R213,$AA$8:$AA$1039,"&lt;="&amp;AA213)</f>
        <v/>
      </c>
      <c r="AK213" s="84">
        <f>D24</f>
        <v/>
      </c>
      <c r="AL213" s="84">
        <f>D30</f>
        <v/>
      </c>
      <c r="AM213" s="84">
        <f>MAX(0,AJ213-AK213)</f>
        <v/>
      </c>
      <c r="AN213" s="84">
        <f>IF(AM213=0,AH213,IF(AM213&gt;=AH213,0,AH213-AM213))</f>
        <v/>
      </c>
      <c r="AO213" s="84">
        <f>IF(AM213&gt;=AH213,AI213,AI213*AM213/AH213)</f>
        <v/>
      </c>
      <c r="AP213">
        <f t="array" ref="AP213">INDEX($AU$8:$BB$25,6*(R213-1)+MATCH(AB213,$AS$8:$AS$13,0),MATCH(O213,$AU$7:$BB$7,0))</f>
        <v/>
      </c>
    </row>
    <row r="214" ht="14.25" customHeight="1">
      <c r="O214" s="43" t="inlineStr">
        <is>
          <t>Q2’26</t>
        </is>
      </c>
      <c r="P214" s="43" t="n">
        <v>2</v>
      </c>
      <c r="Q214" s="43" t="n">
        <v>15</v>
      </c>
      <c r="R214" s="43" t="n">
        <v>3</v>
      </c>
      <c r="S214" s="45" t="n">
        <v>-0</v>
      </c>
      <c r="T214">
        <f>(S212+S213+S214)=O3</f>
        <v/>
      </c>
      <c r="X214" s="84">
        <f>MAX(S211-S214,0)</f>
        <v/>
      </c>
      <c r="Y214" s="83" t="n">
        <v>0</v>
      </c>
      <c r="AA214" s="84" t="n">
        <v>7</v>
      </c>
      <c r="AB214" s="84" t="inlineStr">
        <is>
          <t>E</t>
        </is>
      </c>
      <c r="AC214" s="84" t="inlineStr">
        <is>
          <t>E+</t>
        </is>
      </c>
      <c r="AD214" s="84" t="n">
        <v>13</v>
      </c>
      <c r="AE214" s="84" t="n">
        <v>10</v>
      </c>
      <c r="AF214" s="84" t="n">
        <v>0.76</v>
      </c>
      <c r="AG214" s="84" t="n">
        <v>0.84</v>
      </c>
      <c r="AH214" s="84" t="n">
        <v>0</v>
      </c>
      <c r="AI214" s="84" t="n">
        <v>0</v>
      </c>
      <c r="AJ214" s="84">
        <f>SUMIFS(AH$8:AH$1039,$O$8:$O$1039,O214,$AB$8:$AB$1039,AB214,$R$8:$R$1039,R214,$AA$8:$AA$1039,"&lt;="&amp;AA214)</f>
        <v/>
      </c>
      <c r="AK214" s="84">
        <f>E24</f>
        <v/>
      </c>
      <c r="AL214" s="84">
        <f>E30</f>
        <v/>
      </c>
      <c r="AM214" s="84">
        <f>MAX(0,AJ214-AK214)</f>
        <v/>
      </c>
      <c r="AN214" s="84">
        <f>IF(AM214=0,AH214,IF(AM214&gt;=AH214,0,AH214-AM214))</f>
        <v/>
      </c>
      <c r="AO214" s="84">
        <f>IF(AM214&gt;=AH214,AI214,AI214*AM214/AH214)</f>
        <v/>
      </c>
      <c r="AP214">
        <f t="array" ref="AP214">INDEX($AU$8:$BB$25,6*(R214-1)+MATCH(AB214,$AS$8:$AS$13,0),MATCH(O214,$AU$7:$BB$7,0))</f>
        <v/>
      </c>
    </row>
    <row r="215" ht="14.25" customHeight="1">
      <c r="O215" s="43" t="inlineStr">
        <is>
          <t>Q2’26</t>
        </is>
      </c>
      <c r="P215" s="43" t="n">
        <v>3</v>
      </c>
      <c r="Q215" s="43" t="n">
        <v>1</v>
      </c>
      <c r="R215" s="43" t="n">
        <v>1</v>
      </c>
      <c r="S215" s="45" t="n">
        <v>59.0485157475</v>
      </c>
      <c r="T215">
        <f>(S215+S216+S217)=O4</f>
        <v/>
      </c>
      <c r="X215" s="84" t="n">
        <v>0</v>
      </c>
      <c r="Y215" s="83" t="n">
        <v>0</v>
      </c>
      <c r="AA215" s="84" t="n">
        <v>1</v>
      </c>
      <c r="AB215" s="84" t="inlineStr">
        <is>
          <t>C</t>
        </is>
      </c>
      <c r="AC215" s="84" t="inlineStr">
        <is>
          <t>C+</t>
        </is>
      </c>
      <c r="AD215" s="84" t="n">
        <v>21</v>
      </c>
      <c r="AE215" s="84" t="n">
        <v>20</v>
      </c>
      <c r="AF215" s="84" t="n">
        <v>0.8</v>
      </c>
      <c r="AG215" s="84" t="n">
        <v>0.86</v>
      </c>
      <c r="AH215" s="84" t="n">
        <v>0</v>
      </c>
      <c r="AI215" s="84" t="n">
        <v>0</v>
      </c>
      <c r="AJ215" s="84">
        <f>SUMIFS(AH$8:AH$1039,$O$8:$O$1039,O215,$AB$8:$AB$1039,AB215,$R$8:$R$1039,R215,$AA$8:$AA$1039,"&lt;="&amp;AA215)</f>
        <v/>
      </c>
      <c r="AK215" s="84">
        <f>C22</f>
        <v/>
      </c>
      <c r="AL215" s="84">
        <f>C28</f>
        <v/>
      </c>
      <c r="AM215" s="84">
        <f>MAX(0,AJ215-AK215)</f>
        <v/>
      </c>
      <c r="AN215" s="84">
        <f>IF(AM215=0,AH215,IF(AM215&gt;=AH215,0,AH215-AM215))</f>
        <v/>
      </c>
      <c r="AO215" s="84">
        <f>IF(AM215&gt;=AH215,AI215,AI215*AM215/AH215)</f>
        <v/>
      </c>
      <c r="AP215">
        <f t="array" ref="AP215">INDEX($AU$8:$BB$25,6*(R215-1)+MATCH(AB215,$AS$8:$AS$13,0),MATCH(O215,$AU$7:$BB$7,0))</f>
        <v/>
      </c>
    </row>
    <row r="216" ht="14.25" customHeight="1">
      <c r="O216" s="43" t="inlineStr">
        <is>
          <t>Q2’26</t>
        </is>
      </c>
      <c r="P216" s="43" t="n">
        <v>3</v>
      </c>
      <c r="Q216" s="43" t="n">
        <v>1</v>
      </c>
      <c r="R216" s="43" t="n">
        <v>2</v>
      </c>
      <c r="S216" s="45" t="n">
        <v>1121.844705882354</v>
      </c>
      <c r="T216">
        <f>(S215+S216+S217)=O4</f>
        <v/>
      </c>
      <c r="X216" s="84" t="n">
        <v>0</v>
      </c>
      <c r="Y216" s="83" t="n">
        <v>0</v>
      </c>
      <c r="AA216" s="84" t="n">
        <v>1</v>
      </c>
      <c r="AB216" s="84" t="inlineStr">
        <is>
          <t>C</t>
        </is>
      </c>
      <c r="AC216" s="84" t="inlineStr">
        <is>
          <t>C+</t>
        </is>
      </c>
      <c r="AD216" s="84" t="n">
        <v>21</v>
      </c>
      <c r="AE216" s="84" t="n">
        <v>20</v>
      </c>
      <c r="AF216" s="84" t="n">
        <v>0.8</v>
      </c>
      <c r="AG216" s="84" t="n">
        <v>0.86</v>
      </c>
      <c r="AH216" s="84" t="n">
        <v>0</v>
      </c>
      <c r="AI216" s="84" t="n">
        <v>0</v>
      </c>
      <c r="AJ216" s="84">
        <f>SUMIFS(AH$8:AH$1039,$O$8:$O$1039,O216,$AB$8:$AB$1039,AB216,$R$8:$R$1039,R216,$AA$8:$AA$1039,"&lt;="&amp;AA216)</f>
        <v/>
      </c>
      <c r="AK216" s="84">
        <f>D22</f>
        <v/>
      </c>
      <c r="AL216" s="84">
        <f>D28</f>
        <v/>
      </c>
      <c r="AM216" s="84">
        <f>MAX(0,AJ216-AK216)</f>
        <v/>
      </c>
      <c r="AN216" s="84">
        <f>IF(AM216=0,AH216,IF(AM216&gt;=AH216,0,AH216-AM216))</f>
        <v/>
      </c>
      <c r="AO216" s="84">
        <f>IF(AM216&gt;=AH216,AI216,AI216*AM216/AH216)</f>
        <v/>
      </c>
      <c r="AP216">
        <f t="array" ref="AP216">INDEX($AU$8:$BB$25,6*(R216-1)+MATCH(AB216,$AS$8:$AS$13,0),MATCH(O216,$AU$7:$BB$7,0))</f>
        <v/>
      </c>
    </row>
    <row r="217" ht="14.25" customHeight="1">
      <c r="O217" s="43" t="inlineStr">
        <is>
          <t>Q2’26</t>
        </is>
      </c>
      <c r="P217" s="43" t="n">
        <v>3</v>
      </c>
      <c r="Q217" s="43" t="n">
        <v>1</v>
      </c>
      <c r="R217" s="43" t="n">
        <v>3</v>
      </c>
      <c r="S217" s="45" t="n">
        <v>3319.106778370147</v>
      </c>
      <c r="T217">
        <f>(S215+S216+S217)=O4</f>
        <v/>
      </c>
      <c r="X217" s="84" t="n">
        <v>0</v>
      </c>
      <c r="Y217" s="83" t="n">
        <v>0</v>
      </c>
      <c r="AA217" s="84" t="n">
        <v>1</v>
      </c>
      <c r="AB217" s="84" t="inlineStr">
        <is>
          <t>C</t>
        </is>
      </c>
      <c r="AC217" s="84" t="inlineStr">
        <is>
          <t>C+</t>
        </is>
      </c>
      <c r="AD217" s="84" t="n">
        <v>21</v>
      </c>
      <c r="AE217" s="84" t="n">
        <v>20</v>
      </c>
      <c r="AF217" s="84" t="n">
        <v>0.8</v>
      </c>
      <c r="AG217" s="84" t="n">
        <v>0.86</v>
      </c>
      <c r="AH217" s="84" t="n">
        <v>0</v>
      </c>
      <c r="AI217" s="84" t="n">
        <v>0</v>
      </c>
      <c r="AJ217" s="84">
        <f>SUMIFS(AH$8:AH$1039,$O$8:$O$1039,O217,$AB$8:$AB$1039,AB217,$R$8:$R$1039,R217,$AA$8:$AA$1039,"&lt;="&amp;AA217)</f>
        <v/>
      </c>
      <c r="AK217" s="84">
        <f>E22</f>
        <v/>
      </c>
      <c r="AL217" s="84">
        <f>E28</f>
        <v/>
      </c>
      <c r="AM217" s="84">
        <f>MAX(0,AJ217-AK217)</f>
        <v/>
      </c>
      <c r="AN217" s="84">
        <f>IF(AM217=0,AH217,IF(AM217&gt;=AH217,0,AH217-AM217))</f>
        <v/>
      </c>
      <c r="AO217" s="84">
        <f>IF(AM217&gt;=AH217,AI217,AI217*AM217/AH217)</f>
        <v/>
      </c>
      <c r="AP217">
        <f t="array" ref="AP217">INDEX($AU$8:$BB$25,6*(R217-1)+MATCH(AB217,$AS$8:$AS$13,0),MATCH(O217,$AU$7:$BB$7,0))</f>
        <v/>
      </c>
    </row>
    <row r="218" ht="14.25" customHeight="1">
      <c r="O218" s="43" t="inlineStr">
        <is>
          <t>Q2’26</t>
        </is>
      </c>
      <c r="P218" s="43" t="n">
        <v>3</v>
      </c>
      <c r="Q218" s="43" t="n">
        <v>2</v>
      </c>
      <c r="R218" s="43" t="n">
        <v>1</v>
      </c>
      <c r="S218" s="45" t="n">
        <v>59.0485157475</v>
      </c>
      <c r="T218">
        <f>(S218+S219+S220)=O4</f>
        <v/>
      </c>
      <c r="X218" s="84">
        <f>MAX(S215-S218,0)</f>
        <v/>
      </c>
      <c r="Y218" s="83" t="n">
        <v>0</v>
      </c>
      <c r="AA218" s="84" t="n">
        <v>8</v>
      </c>
      <c r="AB218" s="84" t="inlineStr">
        <is>
          <t>D</t>
        </is>
      </c>
      <c r="AC218" s="84" t="inlineStr">
        <is>
          <t>D+</t>
        </is>
      </c>
      <c r="AD218" s="84" t="n">
        <v>9</v>
      </c>
      <c r="AE218" s="84" t="n">
        <v>7</v>
      </c>
      <c r="AF218" s="84" t="n">
        <v>0.8</v>
      </c>
      <c r="AG218" s="84" t="n">
        <v>0.88</v>
      </c>
      <c r="AH218" s="84" t="n">
        <v>0</v>
      </c>
      <c r="AI218" s="84" t="n">
        <v>0</v>
      </c>
      <c r="AJ218" s="84">
        <f>SUMIFS(AH$8:AH$1039,$O$8:$O$1039,O218,$AB$8:$AB$1039,AB218,$R$8:$R$1039,R218,$AA$8:$AA$1039,"&lt;="&amp;AA218)</f>
        <v/>
      </c>
      <c r="AK218" s="84">
        <f>C23</f>
        <v/>
      </c>
      <c r="AL218" s="84">
        <f>C29</f>
        <v/>
      </c>
      <c r="AM218" s="84">
        <f>MAX(0,AJ218-AK218)</f>
        <v/>
      </c>
      <c r="AN218" s="84">
        <f>IF(AM218=0,AH218,IF(AM218&gt;=AH218,0,AH218-AM218))</f>
        <v/>
      </c>
      <c r="AO218" s="84">
        <f>IF(AM218&gt;=AH218,AI218,AI218*AM218/AH218)</f>
        <v/>
      </c>
      <c r="AP218">
        <f t="array" ref="AP218">INDEX($AU$8:$BB$25,6*(R218-1)+MATCH(AB218,$AS$8:$AS$13,0),MATCH(O218,$AU$7:$BB$7,0))</f>
        <v/>
      </c>
    </row>
    <row r="219" ht="14.25" customHeight="1">
      <c r="O219" s="43" t="inlineStr">
        <is>
          <t>Q2’26</t>
        </is>
      </c>
      <c r="P219" s="43" t="n">
        <v>3</v>
      </c>
      <c r="Q219" s="43" t="n">
        <v>2</v>
      </c>
      <c r="R219" s="43" t="n">
        <v>2</v>
      </c>
      <c r="S219" s="45" t="n">
        <v>1121.844705882354</v>
      </c>
      <c r="T219">
        <f>(S218+S219+S220)=O4</f>
        <v/>
      </c>
      <c r="X219" s="84">
        <f>MAX(S216-S219,0)</f>
        <v/>
      </c>
      <c r="Y219" s="83" t="n">
        <v>0</v>
      </c>
      <c r="AA219" s="84" t="n">
        <v>8</v>
      </c>
      <c r="AB219" s="84" t="inlineStr">
        <is>
          <t>D</t>
        </is>
      </c>
      <c r="AC219" s="84" t="inlineStr">
        <is>
          <t>D+</t>
        </is>
      </c>
      <c r="AD219" s="84" t="n">
        <v>9</v>
      </c>
      <c r="AE219" s="84" t="n">
        <v>7</v>
      </c>
      <c r="AF219" s="84" t="n">
        <v>0.8</v>
      </c>
      <c r="AG219" s="84" t="n">
        <v>0.88</v>
      </c>
      <c r="AH219" s="84" t="n">
        <v>0</v>
      </c>
      <c r="AI219" s="84" t="n">
        <v>0</v>
      </c>
      <c r="AJ219" s="84">
        <f>SUMIFS(AH$8:AH$1039,$O$8:$O$1039,O219,$AB$8:$AB$1039,AB219,$R$8:$R$1039,R219,$AA$8:$AA$1039,"&lt;="&amp;AA219)</f>
        <v/>
      </c>
      <c r="AK219" s="84">
        <f>D23</f>
        <v/>
      </c>
      <c r="AL219" s="84">
        <f>D29</f>
        <v/>
      </c>
      <c r="AM219" s="84">
        <f>MAX(0,AJ219-AK219)</f>
        <v/>
      </c>
      <c r="AN219" s="84">
        <f>IF(AM219=0,AH219,IF(AM219&gt;=AH219,0,AH219-AM219))</f>
        <v/>
      </c>
      <c r="AO219" s="84">
        <f>IF(AM219&gt;=AH219,AI219,AI219*AM219/AH219)</f>
        <v/>
      </c>
      <c r="AP219">
        <f t="array" ref="AP219">INDEX($AU$8:$BB$25,6*(R219-1)+MATCH(AB219,$AS$8:$AS$13,0),MATCH(O219,$AU$7:$BB$7,0))</f>
        <v/>
      </c>
    </row>
    <row r="220" ht="14.25" customHeight="1">
      <c r="O220" s="43" t="inlineStr">
        <is>
          <t>Q2’26</t>
        </is>
      </c>
      <c r="P220" s="43" t="n">
        <v>3</v>
      </c>
      <c r="Q220" s="43" t="n">
        <v>2</v>
      </c>
      <c r="R220" s="43" t="n">
        <v>3</v>
      </c>
      <c r="S220" s="45" t="n">
        <v>3319.106778370147</v>
      </c>
      <c r="T220">
        <f>(S218+S219+S220)=O4</f>
        <v/>
      </c>
      <c r="X220" s="84">
        <f>MAX(S217-S220,0)</f>
        <v/>
      </c>
      <c r="Y220" s="83" t="n">
        <v>0</v>
      </c>
      <c r="AA220" s="84" t="n">
        <v>8</v>
      </c>
      <c r="AB220" s="84" t="inlineStr">
        <is>
          <t>D</t>
        </is>
      </c>
      <c r="AC220" s="84" t="inlineStr">
        <is>
          <t>D+</t>
        </is>
      </c>
      <c r="AD220" s="84" t="n">
        <v>9</v>
      </c>
      <c r="AE220" s="84" t="n">
        <v>7</v>
      </c>
      <c r="AF220" s="84" t="n">
        <v>0.8</v>
      </c>
      <c r="AG220" s="84" t="n">
        <v>0.88</v>
      </c>
      <c r="AH220" s="84" t="n">
        <v>0</v>
      </c>
      <c r="AI220" s="84" t="n">
        <v>0</v>
      </c>
      <c r="AJ220" s="84">
        <f>SUMIFS(AH$8:AH$1039,$O$8:$O$1039,O220,$AB$8:$AB$1039,AB220,$R$8:$R$1039,R220,$AA$8:$AA$1039,"&lt;="&amp;AA220)</f>
        <v/>
      </c>
      <c r="AK220" s="84">
        <f>E23</f>
        <v/>
      </c>
      <c r="AL220" s="84">
        <f>E29</f>
        <v/>
      </c>
      <c r="AM220" s="84">
        <f>MAX(0,AJ220-AK220)</f>
        <v/>
      </c>
      <c r="AN220" s="84">
        <f>IF(AM220=0,AH220,IF(AM220&gt;=AH220,0,AH220-AM220))</f>
        <v/>
      </c>
      <c r="AO220" s="84">
        <f>IF(AM220&gt;=AH220,AI220,AI220*AM220/AH220)</f>
        <v/>
      </c>
      <c r="AP220">
        <f t="array" ref="AP220">INDEX($AU$8:$BB$25,6*(R220-1)+MATCH(AB220,$AS$8:$AS$13,0),MATCH(O220,$AU$7:$BB$7,0))</f>
        <v/>
      </c>
    </row>
    <row r="221" ht="14.25" customHeight="1">
      <c r="O221" s="43" t="inlineStr">
        <is>
          <t>Q2’26</t>
        </is>
      </c>
      <c r="P221" s="43" t="n">
        <v>3</v>
      </c>
      <c r="Q221" s="43" t="n">
        <v>3</v>
      </c>
      <c r="R221" s="43" t="n">
        <v>1</v>
      </c>
      <c r="S221" s="45" t="n">
        <v>59.0485157475</v>
      </c>
      <c r="T221">
        <f>(S221+S222+S223)=O4</f>
        <v/>
      </c>
      <c r="X221" s="84">
        <f>MAX(S218-S221,0)</f>
        <v/>
      </c>
      <c r="Y221" s="83" t="n">
        <v>0</v>
      </c>
      <c r="AA221" s="84" t="n">
        <v>1</v>
      </c>
      <c r="AB221" s="84" t="inlineStr">
        <is>
          <t>E</t>
        </is>
      </c>
      <c r="AC221" s="84" t="inlineStr">
        <is>
          <t>E+</t>
        </is>
      </c>
      <c r="AD221" s="84" t="n">
        <v>24</v>
      </c>
      <c r="AE221" s="84" t="n">
        <v>23</v>
      </c>
      <c r="AF221" s="84" t="n">
        <v>0.76</v>
      </c>
      <c r="AG221" s="84" t="n">
        <v>0.84</v>
      </c>
      <c r="AH221" s="84" t="n">
        <v>0</v>
      </c>
      <c r="AI221" s="84" t="n">
        <v>0</v>
      </c>
      <c r="AJ221" s="84">
        <f>SUMIFS(AH$8:AH$1039,$O$8:$O$1039,O221,$AB$8:$AB$1039,AB221,$R$8:$R$1039,R221,$AA$8:$AA$1039,"&lt;="&amp;AA221)</f>
        <v/>
      </c>
      <c r="AK221" s="84">
        <f>C24</f>
        <v/>
      </c>
      <c r="AL221" s="84">
        <f>C30</f>
        <v/>
      </c>
      <c r="AM221" s="84">
        <f>MAX(0,AJ221-AK221)</f>
        <v/>
      </c>
      <c r="AN221" s="84">
        <f>IF(AM221=0,AH221,IF(AM221&gt;=AH221,0,AH221-AM221))</f>
        <v/>
      </c>
      <c r="AO221" s="84">
        <f>IF(AM221&gt;=AH221,AI221,AI221*AM221/AH221)</f>
        <v/>
      </c>
      <c r="AP221">
        <f t="array" ref="AP221">INDEX($AU$8:$BB$25,6*(R221-1)+MATCH(AB221,$AS$8:$AS$13,0),MATCH(O221,$AU$7:$BB$7,0))</f>
        <v/>
      </c>
    </row>
    <row r="222" ht="14.25" customHeight="1">
      <c r="O222" s="43" t="inlineStr">
        <is>
          <t>Q2’26</t>
        </is>
      </c>
      <c r="P222" s="43" t="n">
        <v>3</v>
      </c>
      <c r="Q222" s="43" t="n">
        <v>3</v>
      </c>
      <c r="R222" s="43" t="n">
        <v>2</v>
      </c>
      <c r="S222" s="45" t="n">
        <v>1121.844705882354</v>
      </c>
      <c r="T222">
        <f>(S221+S222+S223)=O4</f>
        <v/>
      </c>
      <c r="X222" s="84">
        <f>MAX(S219-S222,0)</f>
        <v/>
      </c>
      <c r="Y222" s="83" t="n">
        <v>0</v>
      </c>
      <c r="AA222" s="84" t="n">
        <v>1</v>
      </c>
      <c r="AB222" s="84" t="inlineStr">
        <is>
          <t>E</t>
        </is>
      </c>
      <c r="AC222" s="84" t="inlineStr">
        <is>
          <t>E+</t>
        </is>
      </c>
      <c r="AD222" s="84" t="n">
        <v>24</v>
      </c>
      <c r="AE222" s="84" t="n">
        <v>23</v>
      </c>
      <c r="AF222" s="84" t="n">
        <v>0.76</v>
      </c>
      <c r="AG222" s="84" t="n">
        <v>0.84</v>
      </c>
      <c r="AH222" s="84" t="n">
        <v>0</v>
      </c>
      <c r="AI222" s="84" t="n">
        <v>0</v>
      </c>
      <c r="AJ222" s="84">
        <f>SUMIFS(AH$8:AH$1039,$O$8:$O$1039,O222,$AB$8:$AB$1039,AB222,$R$8:$R$1039,R222,$AA$8:$AA$1039,"&lt;="&amp;AA222)</f>
        <v/>
      </c>
      <c r="AK222" s="84">
        <f>D24</f>
        <v/>
      </c>
      <c r="AL222" s="84">
        <f>D30</f>
        <v/>
      </c>
      <c r="AM222" s="84">
        <f>MAX(0,AJ222-AK222)</f>
        <v/>
      </c>
      <c r="AN222" s="84">
        <f>IF(AM222=0,AH222,IF(AM222&gt;=AH222,0,AH222-AM222))</f>
        <v/>
      </c>
      <c r="AO222" s="84">
        <f>IF(AM222&gt;=AH222,AI222,AI222*AM222/AH222)</f>
        <v/>
      </c>
      <c r="AP222">
        <f t="array" ref="AP222">INDEX($AU$8:$BB$25,6*(R222-1)+MATCH(AB222,$AS$8:$AS$13,0),MATCH(O222,$AU$7:$BB$7,0))</f>
        <v/>
      </c>
    </row>
    <row r="223" ht="14.25" customHeight="1">
      <c r="O223" s="43" t="inlineStr">
        <is>
          <t>Q2’26</t>
        </is>
      </c>
      <c r="P223" s="43" t="n">
        <v>3</v>
      </c>
      <c r="Q223" s="43" t="n">
        <v>3</v>
      </c>
      <c r="R223" s="43" t="n">
        <v>3</v>
      </c>
      <c r="S223" s="45" t="n">
        <v>3319.106778370146</v>
      </c>
      <c r="T223">
        <f>(S221+S222+S223)=O4</f>
        <v/>
      </c>
      <c r="X223" s="84">
        <f>MAX(S220-S223,0)</f>
        <v/>
      </c>
      <c r="Y223" s="83" t="n">
        <v>0</v>
      </c>
      <c r="AA223" s="84" t="n">
        <v>1</v>
      </c>
      <c r="AB223" s="84" t="inlineStr">
        <is>
          <t>E</t>
        </is>
      </c>
      <c r="AC223" s="84" t="inlineStr">
        <is>
          <t>E+</t>
        </is>
      </c>
      <c r="AD223" s="84" t="n">
        <v>24</v>
      </c>
      <c r="AE223" s="84" t="n">
        <v>23</v>
      </c>
      <c r="AF223" s="84" t="n">
        <v>0.76</v>
      </c>
      <c r="AG223" s="84" t="n">
        <v>0.84</v>
      </c>
      <c r="AH223" s="84" t="n">
        <v>0</v>
      </c>
      <c r="AI223" s="84" t="n">
        <v>0</v>
      </c>
      <c r="AJ223" s="84">
        <f>SUMIFS(AH$8:AH$1039,$O$8:$O$1039,O223,$AB$8:$AB$1039,AB223,$R$8:$R$1039,R223,$AA$8:$AA$1039,"&lt;="&amp;AA223)</f>
        <v/>
      </c>
      <c r="AK223" s="84">
        <f>E24</f>
        <v/>
      </c>
      <c r="AL223" s="84">
        <f>E30</f>
        <v/>
      </c>
      <c r="AM223" s="84">
        <f>MAX(0,AJ223-AK223)</f>
        <v/>
      </c>
      <c r="AN223" s="84">
        <f>IF(AM223=0,AH223,IF(AM223&gt;=AH223,0,AH223-AM223))</f>
        <v/>
      </c>
      <c r="AO223" s="84">
        <f>IF(AM223&gt;=AH223,AI223,AI223*AM223/AH223)</f>
        <v/>
      </c>
      <c r="AP223">
        <f t="array" ref="AP223">INDEX($AU$8:$BB$25,6*(R223-1)+MATCH(AB223,$AS$8:$AS$13,0),MATCH(O223,$AU$7:$BB$7,0))</f>
        <v/>
      </c>
    </row>
    <row r="224" ht="14.25" customHeight="1">
      <c r="O224" s="43" t="inlineStr">
        <is>
          <t>Q2’26</t>
        </is>
      </c>
      <c r="P224" s="43" t="n">
        <v>3</v>
      </c>
      <c r="Q224" s="43" t="n">
        <v>4</v>
      </c>
      <c r="R224" s="43" t="n">
        <v>1</v>
      </c>
      <c r="S224" s="45" t="n">
        <v>59.0485157475</v>
      </c>
      <c r="T224">
        <f>(S224+S225+S226)=O4</f>
        <v/>
      </c>
      <c r="X224" s="84">
        <f>MAX(S221-S224,0)</f>
        <v/>
      </c>
      <c r="Y224" s="83" t="n">
        <v>0</v>
      </c>
      <c r="AA224" s="84" t="n">
        <v>9</v>
      </c>
      <c r="AB224" s="84" t="inlineStr">
        <is>
          <t>E</t>
        </is>
      </c>
      <c r="AC224" s="84" t="inlineStr">
        <is>
          <t>E+</t>
        </is>
      </c>
      <c r="AD224" s="84" t="n">
        <v>15</v>
      </c>
      <c r="AE224" s="84" t="n">
        <v>11</v>
      </c>
      <c r="AF224" s="84" t="n">
        <v>0.76</v>
      </c>
      <c r="AG224" s="84" t="n">
        <v>0.84</v>
      </c>
      <c r="AH224" s="84" t="n">
        <v>0</v>
      </c>
      <c r="AI224" s="84" t="n">
        <v>0</v>
      </c>
      <c r="AJ224" s="84">
        <f>SUMIFS(AH$8:AH$1039,$O$8:$O$1039,O224,$AB$8:$AB$1039,AB224,$R$8:$R$1039,R224,$AA$8:$AA$1039,"&lt;="&amp;AA224)</f>
        <v/>
      </c>
      <c r="AK224" s="84">
        <f>C24</f>
        <v/>
      </c>
      <c r="AL224" s="84">
        <f>C30</f>
        <v/>
      </c>
      <c r="AM224" s="84">
        <f>MAX(0,AJ224-AK224)</f>
        <v/>
      </c>
      <c r="AN224" s="84">
        <f>IF(AM224=0,AH224,IF(AM224&gt;=AH224,0,AH224-AM224))</f>
        <v/>
      </c>
      <c r="AO224" s="84">
        <f>IF(AM224&gt;=AH224,AI224,AI224*AM224/AH224)</f>
        <v/>
      </c>
      <c r="AP224">
        <f t="array" ref="AP224">INDEX($AU$8:$BB$25,6*(R224-1)+MATCH(AB224,$AS$8:$AS$13,0),MATCH(O224,$AU$7:$BB$7,0))</f>
        <v/>
      </c>
    </row>
    <row r="225" ht="14.25" customHeight="1">
      <c r="O225" s="43" t="inlineStr">
        <is>
          <t>Q2’26</t>
        </is>
      </c>
      <c r="P225" s="43" t="n">
        <v>3</v>
      </c>
      <c r="Q225" s="43" t="n">
        <v>4</v>
      </c>
      <c r="R225" s="43" t="n">
        <v>2</v>
      </c>
      <c r="S225" s="45" t="n">
        <v>1121.844705882354</v>
      </c>
      <c r="T225">
        <f>(S224+S225+S226)=O4</f>
        <v/>
      </c>
      <c r="X225" s="84">
        <f>MAX(S222-S225,0)</f>
        <v/>
      </c>
      <c r="Y225" s="83" t="n">
        <v>0</v>
      </c>
      <c r="AA225" s="84" t="n">
        <v>9</v>
      </c>
      <c r="AB225" s="84" t="inlineStr">
        <is>
          <t>E</t>
        </is>
      </c>
      <c r="AC225" s="84" t="inlineStr">
        <is>
          <t>E+</t>
        </is>
      </c>
      <c r="AD225" s="84" t="n">
        <v>15</v>
      </c>
      <c r="AE225" s="84" t="n">
        <v>11</v>
      </c>
      <c r="AF225" s="84" t="n">
        <v>0.76</v>
      </c>
      <c r="AG225" s="84" t="n">
        <v>0.84</v>
      </c>
      <c r="AH225" s="84" t="n">
        <v>0</v>
      </c>
      <c r="AI225" s="84" t="n">
        <v>0</v>
      </c>
      <c r="AJ225" s="84">
        <f>SUMIFS(AH$8:AH$1039,$O$8:$O$1039,O225,$AB$8:$AB$1039,AB225,$R$8:$R$1039,R225,$AA$8:$AA$1039,"&lt;="&amp;AA225)</f>
        <v/>
      </c>
      <c r="AK225" s="84">
        <f>D24</f>
        <v/>
      </c>
      <c r="AL225" s="84">
        <f>D30</f>
        <v/>
      </c>
      <c r="AM225" s="84">
        <f>MAX(0,AJ225-AK225)</f>
        <v/>
      </c>
      <c r="AN225" s="84">
        <f>IF(AM225=0,AH225,IF(AM225&gt;=AH225,0,AH225-AM225))</f>
        <v/>
      </c>
      <c r="AO225" s="84">
        <f>IF(AM225&gt;=AH225,AI225,AI225*AM225/AH225)</f>
        <v/>
      </c>
      <c r="AP225">
        <f t="array" ref="AP225">INDEX($AU$8:$BB$25,6*(R225-1)+MATCH(AB225,$AS$8:$AS$13,0),MATCH(O225,$AU$7:$BB$7,0))</f>
        <v/>
      </c>
    </row>
    <row r="226" ht="14.25" customHeight="1">
      <c r="O226" s="43" t="inlineStr">
        <is>
          <t>Q2’26</t>
        </is>
      </c>
      <c r="P226" s="43" t="n">
        <v>3</v>
      </c>
      <c r="Q226" s="43" t="n">
        <v>4</v>
      </c>
      <c r="R226" s="43" t="n">
        <v>3</v>
      </c>
      <c r="S226" s="45" t="n">
        <v>3319.106778370146</v>
      </c>
      <c r="T226">
        <f>(S224+S225+S226)=O4</f>
        <v/>
      </c>
      <c r="X226" s="84">
        <f>MAX(S223-S226,0)</f>
        <v/>
      </c>
      <c r="Y226" s="83" t="n">
        <v>0</v>
      </c>
      <c r="AA226" s="84" t="n">
        <v>9</v>
      </c>
      <c r="AB226" s="84" t="inlineStr">
        <is>
          <t>E</t>
        </is>
      </c>
      <c r="AC226" s="84" t="inlineStr">
        <is>
          <t>E+</t>
        </is>
      </c>
      <c r="AD226" s="84" t="n">
        <v>15</v>
      </c>
      <c r="AE226" s="84" t="n">
        <v>11</v>
      </c>
      <c r="AF226" s="84" t="n">
        <v>0.76</v>
      </c>
      <c r="AG226" s="84" t="n">
        <v>0.84</v>
      </c>
      <c r="AH226" s="84" t="n">
        <v>0</v>
      </c>
      <c r="AI226" s="84" t="n">
        <v>0</v>
      </c>
      <c r="AJ226" s="84">
        <f>SUMIFS(AH$8:AH$1039,$O$8:$O$1039,O226,$AB$8:$AB$1039,AB226,$R$8:$R$1039,R226,$AA$8:$AA$1039,"&lt;="&amp;AA226)</f>
        <v/>
      </c>
      <c r="AK226" s="84">
        <f>E24</f>
        <v/>
      </c>
      <c r="AL226" s="84">
        <f>E30</f>
        <v/>
      </c>
      <c r="AM226" s="84">
        <f>MAX(0,AJ226-AK226)</f>
        <v/>
      </c>
      <c r="AN226" s="84">
        <f>IF(AM226=0,AH226,IF(AM226&gt;=AH226,0,AH226-AM226))</f>
        <v/>
      </c>
      <c r="AO226" s="84">
        <f>IF(AM226&gt;=AH226,AI226,AI226*AM226/AH226)</f>
        <v/>
      </c>
      <c r="AP226">
        <f t="array" ref="AP226">INDEX($AU$8:$BB$25,6*(R226-1)+MATCH(AB226,$AS$8:$AS$13,0),MATCH(O226,$AU$7:$BB$7,0))</f>
        <v/>
      </c>
    </row>
    <row r="227" ht="14.25" customHeight="1">
      <c r="O227" s="43" t="inlineStr">
        <is>
          <t>Q2’26</t>
        </is>
      </c>
      <c r="P227" s="43" t="n">
        <v>3</v>
      </c>
      <c r="Q227" s="43" t="n">
        <v>5</v>
      </c>
      <c r="R227" s="43" t="n">
        <v>1</v>
      </c>
      <c r="S227" s="45" t="n">
        <v>59.0485157475</v>
      </c>
      <c r="T227">
        <f>(S227+S228+S229)=O4</f>
        <v/>
      </c>
      <c r="X227" s="84">
        <f>MAX(S224-S227,0)</f>
        <v/>
      </c>
      <c r="Y227" s="83" t="n">
        <v>0</v>
      </c>
      <c r="AA227" s="84" t="n">
        <v>6</v>
      </c>
      <c r="AB227" s="84" t="inlineStr">
        <is>
          <t>F</t>
        </is>
      </c>
      <c r="AC227" s="84" t="inlineStr">
        <is>
          <t>F+</t>
        </is>
      </c>
      <c r="AD227" s="84" t="n">
        <v>16</v>
      </c>
      <c r="AE227" s="84" t="n">
        <v>14</v>
      </c>
      <c r="AF227" s="84" t="n">
        <v>0.8</v>
      </c>
      <c r="AG227" s="84" t="n">
        <v>0.9</v>
      </c>
      <c r="AH227" s="84" t="n">
        <v>0</v>
      </c>
      <c r="AI227" s="84" t="n">
        <v>0</v>
      </c>
      <c r="AJ227" s="84">
        <f>SUMIFS(AH$8:AH$1039,$O$8:$O$1039,O227,$AB$8:$AB$1039,AB227,$R$8:$R$1039,R227,$AA$8:$AA$1039,"&lt;="&amp;AA227)</f>
        <v/>
      </c>
      <c r="AK227" s="84">
        <f>C25</f>
        <v/>
      </c>
      <c r="AL227" s="84">
        <f>C31</f>
        <v/>
      </c>
      <c r="AM227" s="84">
        <f>MAX(0,AJ227-AK227)</f>
        <v/>
      </c>
      <c r="AN227" s="84">
        <f>IF(AM227=0,AH227,IF(AM227&gt;=AH227,0,AH227-AM227))</f>
        <v/>
      </c>
      <c r="AO227" s="84">
        <f>IF(AM227&gt;=AH227,AI227,AI227*AM227/AH227)</f>
        <v/>
      </c>
      <c r="AP227">
        <f t="array" ref="AP227">INDEX($AU$8:$BB$25,6*(R227-1)+MATCH(AB227,$AS$8:$AS$13,0),MATCH(O227,$AU$7:$BB$7,0))</f>
        <v/>
      </c>
    </row>
    <row r="228" ht="14.25" customHeight="1">
      <c r="O228" s="43" t="inlineStr">
        <is>
          <t>Q2’26</t>
        </is>
      </c>
      <c r="P228" s="43" t="n">
        <v>3</v>
      </c>
      <c r="Q228" s="43" t="n">
        <v>5</v>
      </c>
      <c r="R228" s="43" t="n">
        <v>2</v>
      </c>
      <c r="S228" s="45" t="n">
        <v>1121.844705882354</v>
      </c>
      <c r="T228">
        <f>(S227+S228+S229)=O4</f>
        <v/>
      </c>
      <c r="X228" s="84">
        <f>MAX(S225-S228,0)</f>
        <v/>
      </c>
      <c r="Y228" s="83" t="n">
        <v>0</v>
      </c>
      <c r="AA228" s="84" t="n">
        <v>6</v>
      </c>
      <c r="AB228" s="84" t="inlineStr">
        <is>
          <t>F</t>
        </is>
      </c>
      <c r="AC228" s="84" t="inlineStr">
        <is>
          <t>F+</t>
        </is>
      </c>
      <c r="AD228" s="84" t="n">
        <v>16</v>
      </c>
      <c r="AE228" s="84" t="n">
        <v>14</v>
      </c>
      <c r="AF228" s="84" t="n">
        <v>0.8</v>
      </c>
      <c r="AG228" s="84" t="n">
        <v>0.9</v>
      </c>
      <c r="AH228" s="84" t="n">
        <v>0</v>
      </c>
      <c r="AI228" s="84" t="n">
        <v>0</v>
      </c>
      <c r="AJ228" s="84">
        <f>SUMIFS(AH$8:AH$1039,$O$8:$O$1039,O228,$AB$8:$AB$1039,AB228,$R$8:$R$1039,R228,$AA$8:$AA$1039,"&lt;="&amp;AA228)</f>
        <v/>
      </c>
      <c r="AK228" s="84">
        <f>D25</f>
        <v/>
      </c>
      <c r="AL228" s="84">
        <f>D31</f>
        <v/>
      </c>
      <c r="AM228" s="84">
        <f>MAX(0,AJ228-AK228)</f>
        <v/>
      </c>
      <c r="AN228" s="84">
        <f>IF(AM228=0,AH228,IF(AM228&gt;=AH228,0,AH228-AM228))</f>
        <v/>
      </c>
      <c r="AO228" s="84">
        <f>IF(AM228&gt;=AH228,AI228,AI228*AM228/AH228)</f>
        <v/>
      </c>
      <c r="AP228">
        <f t="array" ref="AP228">INDEX($AU$8:$BB$25,6*(R228-1)+MATCH(AB228,$AS$8:$AS$13,0),MATCH(O228,$AU$7:$BB$7,0))</f>
        <v/>
      </c>
    </row>
    <row r="229" ht="14.25" customHeight="1">
      <c r="O229" s="43" t="inlineStr">
        <is>
          <t>Q2’26</t>
        </is>
      </c>
      <c r="P229" s="43" t="n">
        <v>3</v>
      </c>
      <c r="Q229" s="43" t="n">
        <v>5</v>
      </c>
      <c r="R229" s="43" t="n">
        <v>3</v>
      </c>
      <c r="S229" s="45" t="n">
        <v>3319.106778370146</v>
      </c>
      <c r="T229">
        <f>(S227+S228+S229)=O4</f>
        <v/>
      </c>
      <c r="X229" s="84">
        <f>MAX(S226-S229,0)</f>
        <v/>
      </c>
      <c r="Y229" s="83" t="n">
        <v>0</v>
      </c>
      <c r="AA229" s="84" t="n">
        <v>6</v>
      </c>
      <c r="AB229" s="84" t="inlineStr">
        <is>
          <t>F</t>
        </is>
      </c>
      <c r="AC229" s="84" t="inlineStr">
        <is>
          <t>F+</t>
        </is>
      </c>
      <c r="AD229" s="84" t="n">
        <v>16</v>
      </c>
      <c r="AE229" s="84" t="n">
        <v>14</v>
      </c>
      <c r="AF229" s="84" t="n">
        <v>0.8</v>
      </c>
      <c r="AG229" s="84" t="n">
        <v>0.9</v>
      </c>
      <c r="AH229" s="84" t="n">
        <v>0</v>
      </c>
      <c r="AI229" s="84" t="n">
        <v>0</v>
      </c>
      <c r="AJ229" s="84">
        <f>SUMIFS(AH$8:AH$1039,$O$8:$O$1039,O229,$AB$8:$AB$1039,AB229,$R$8:$R$1039,R229,$AA$8:$AA$1039,"&lt;="&amp;AA229)</f>
        <v/>
      </c>
      <c r="AK229" s="84">
        <f>E25</f>
        <v/>
      </c>
      <c r="AL229" s="84">
        <f>E31</f>
        <v/>
      </c>
      <c r="AM229" s="84">
        <f>MAX(0,AJ229-AK229)</f>
        <v/>
      </c>
      <c r="AN229" s="84">
        <f>IF(AM229=0,AH229,IF(AM229&gt;=AH229,0,AH229-AM229))</f>
        <v/>
      </c>
      <c r="AO229" s="84">
        <f>IF(AM229&gt;=AH229,AI229,AI229*AM229/AH229)</f>
        <v/>
      </c>
      <c r="AP229">
        <f t="array" ref="AP229">INDEX($AU$8:$BB$25,6*(R229-1)+MATCH(AB229,$AS$8:$AS$13,0),MATCH(O229,$AU$7:$BB$7,0))</f>
        <v/>
      </c>
    </row>
    <row r="230" ht="14.25" customHeight="1">
      <c r="O230" s="43" t="inlineStr">
        <is>
          <t>Q2’26</t>
        </is>
      </c>
      <c r="P230" s="43" t="n">
        <v>3</v>
      </c>
      <c r="Q230" s="43" t="n">
        <v>6</v>
      </c>
      <c r="R230" s="43" t="n">
        <v>1</v>
      </c>
      <c r="S230" s="45" t="n">
        <v>59.0485157475</v>
      </c>
      <c r="T230">
        <f>(S230+S231+S232)=O4</f>
        <v/>
      </c>
      <c r="X230" s="84">
        <f>MAX(S227-S230,0)</f>
        <v/>
      </c>
      <c r="Y230" s="83" t="n">
        <v>0</v>
      </c>
      <c r="AA230" s="84" t="n">
        <v>1</v>
      </c>
      <c r="AB230" s="84" t="inlineStr">
        <is>
          <t>D</t>
        </is>
      </c>
      <c r="AC230" s="84" t="inlineStr">
        <is>
          <t>D+</t>
        </is>
      </c>
      <c r="AD230" s="84" t="n">
        <v>12</v>
      </c>
      <c r="AE230" s="84" t="n">
        <v>11</v>
      </c>
      <c r="AF230" s="84" t="n">
        <v>0.8</v>
      </c>
      <c r="AG230" s="84" t="n">
        <v>0.88</v>
      </c>
      <c r="AH230" s="84" t="n">
        <v>0</v>
      </c>
      <c r="AI230" s="84" t="n">
        <v>0</v>
      </c>
      <c r="AJ230" s="84">
        <f>SUMIFS(AH$8:AH$1039,$O$8:$O$1039,O230,$AB$8:$AB$1039,AB230,$R$8:$R$1039,R230,$AA$8:$AA$1039,"&lt;="&amp;AA230)</f>
        <v/>
      </c>
      <c r="AK230" s="84">
        <f>C23</f>
        <v/>
      </c>
      <c r="AL230" s="84">
        <f>C29</f>
        <v/>
      </c>
      <c r="AM230" s="84">
        <f>MAX(0,AJ230-AK230)</f>
        <v/>
      </c>
      <c r="AN230" s="84">
        <f>IF(AM230=0,AH230,IF(AM230&gt;=AH230,0,AH230-AM230))</f>
        <v/>
      </c>
      <c r="AO230" s="84">
        <f>IF(AM230&gt;=AH230,AI230,AI230*AM230/AH230)</f>
        <v/>
      </c>
      <c r="AP230">
        <f t="array" ref="AP230">INDEX($AU$8:$BB$25,6*(R230-1)+MATCH(AB230,$AS$8:$AS$13,0),MATCH(O230,$AU$7:$BB$7,0))</f>
        <v/>
      </c>
    </row>
    <row r="231" ht="14.25" customHeight="1">
      <c r="O231" s="43" t="inlineStr">
        <is>
          <t>Q2’26</t>
        </is>
      </c>
      <c r="P231" s="43" t="n">
        <v>3</v>
      </c>
      <c r="Q231" s="43" t="n">
        <v>6</v>
      </c>
      <c r="R231" s="43" t="n">
        <v>2</v>
      </c>
      <c r="S231" s="45" t="n">
        <v>1121.844705882354</v>
      </c>
      <c r="T231">
        <f>(S230+S231+S232)=O4</f>
        <v/>
      </c>
      <c r="X231" s="84">
        <f>MAX(S228-S231,0)</f>
        <v/>
      </c>
      <c r="Y231" s="83" t="n">
        <v>0</v>
      </c>
      <c r="AA231" s="84" t="n">
        <v>1</v>
      </c>
      <c r="AB231" s="84" t="inlineStr">
        <is>
          <t>D</t>
        </is>
      </c>
      <c r="AC231" s="84" t="inlineStr">
        <is>
          <t>D+</t>
        </is>
      </c>
      <c r="AD231" s="84" t="n">
        <v>12</v>
      </c>
      <c r="AE231" s="84" t="n">
        <v>11</v>
      </c>
      <c r="AF231" s="84" t="n">
        <v>0.8</v>
      </c>
      <c r="AG231" s="84" t="n">
        <v>0.88</v>
      </c>
      <c r="AH231" s="84" t="n">
        <v>0</v>
      </c>
      <c r="AI231" s="84" t="n">
        <v>0</v>
      </c>
      <c r="AJ231" s="84">
        <f>SUMIFS(AH$8:AH$1039,$O$8:$O$1039,O231,$AB$8:$AB$1039,AB231,$R$8:$R$1039,R231,$AA$8:$AA$1039,"&lt;="&amp;AA231)</f>
        <v/>
      </c>
      <c r="AK231" s="84">
        <f>D23</f>
        <v/>
      </c>
      <c r="AL231" s="84">
        <f>D29</f>
        <v/>
      </c>
      <c r="AM231" s="84">
        <f>MAX(0,AJ231-AK231)</f>
        <v/>
      </c>
      <c r="AN231" s="84">
        <f>IF(AM231=0,AH231,IF(AM231&gt;=AH231,0,AH231-AM231))</f>
        <v/>
      </c>
      <c r="AO231" s="84">
        <f>IF(AM231&gt;=AH231,AI231,AI231*AM231/AH231)</f>
        <v/>
      </c>
      <c r="AP231">
        <f t="array" ref="AP231">INDEX($AU$8:$BB$25,6*(R231-1)+MATCH(AB231,$AS$8:$AS$13,0),MATCH(O231,$AU$7:$BB$7,0))</f>
        <v/>
      </c>
    </row>
    <row r="232" ht="14.25" customHeight="1">
      <c r="O232" s="43" t="inlineStr">
        <is>
          <t>Q2’26</t>
        </is>
      </c>
      <c r="P232" s="43" t="n">
        <v>3</v>
      </c>
      <c r="Q232" s="43" t="n">
        <v>6</v>
      </c>
      <c r="R232" s="43" t="n">
        <v>3</v>
      </c>
      <c r="S232" s="45" t="n">
        <v>3319.106778370147</v>
      </c>
      <c r="T232">
        <f>(S230+S231+S232)=O4</f>
        <v/>
      </c>
      <c r="X232" s="84">
        <f>MAX(S229-S232,0)</f>
        <v/>
      </c>
      <c r="Y232" s="83" t="n">
        <v>0</v>
      </c>
      <c r="AA232" s="84" t="n">
        <v>1</v>
      </c>
      <c r="AB232" s="84" t="inlineStr">
        <is>
          <t>D</t>
        </is>
      </c>
      <c r="AC232" s="84" t="inlineStr">
        <is>
          <t>D+</t>
        </is>
      </c>
      <c r="AD232" s="84" t="n">
        <v>12</v>
      </c>
      <c r="AE232" s="84" t="n">
        <v>11</v>
      </c>
      <c r="AF232" s="84" t="n">
        <v>0.8</v>
      </c>
      <c r="AG232" s="84" t="n">
        <v>0.88</v>
      </c>
      <c r="AH232" s="84" t="n">
        <v>0</v>
      </c>
      <c r="AI232" s="84" t="n">
        <v>0</v>
      </c>
      <c r="AJ232" s="84">
        <f>SUMIFS(AH$8:AH$1039,$O$8:$O$1039,O232,$AB$8:$AB$1039,AB232,$R$8:$R$1039,R232,$AA$8:$AA$1039,"&lt;="&amp;AA232)</f>
        <v/>
      </c>
      <c r="AK232" s="84">
        <f>E23</f>
        <v/>
      </c>
      <c r="AL232" s="84">
        <f>E29</f>
        <v/>
      </c>
      <c r="AM232" s="84">
        <f>MAX(0,AJ232-AK232)</f>
        <v/>
      </c>
      <c r="AN232" s="84">
        <f>IF(AM232=0,AH232,IF(AM232&gt;=AH232,0,AH232-AM232))</f>
        <v/>
      </c>
      <c r="AO232" s="84">
        <f>IF(AM232&gt;=AH232,AI232,AI232*AM232/AH232)</f>
        <v/>
      </c>
      <c r="AP232">
        <f t="array" ref="AP232">INDEX($AU$8:$BB$25,6*(R232-1)+MATCH(AB232,$AS$8:$AS$13,0),MATCH(O232,$AU$7:$BB$7,0))</f>
        <v/>
      </c>
    </row>
    <row r="233" ht="14.25" customHeight="1">
      <c r="O233" s="43" t="inlineStr">
        <is>
          <t>Q2’26</t>
        </is>
      </c>
      <c r="P233" s="43" t="n">
        <v>3</v>
      </c>
      <c r="Q233" s="43" t="n">
        <v>7</v>
      </c>
      <c r="R233" s="43" t="n">
        <v>1</v>
      </c>
      <c r="S233" s="45" t="n">
        <v>59.0485157475</v>
      </c>
      <c r="T233">
        <f>(S233+S234+S235)=O4</f>
        <v/>
      </c>
      <c r="X233" s="84">
        <f>MAX(S230-S233,0)</f>
        <v/>
      </c>
      <c r="Y233" s="83" t="n">
        <v>0</v>
      </c>
      <c r="AA233" s="84" t="n">
        <v>3</v>
      </c>
      <c r="AB233" s="84" t="inlineStr">
        <is>
          <t>C</t>
        </is>
      </c>
      <c r="AC233" s="84" t="inlineStr">
        <is>
          <t>C+</t>
        </is>
      </c>
      <c r="AD233" s="84" t="n">
        <v>24</v>
      </c>
      <c r="AE233" s="84" t="n">
        <v>21</v>
      </c>
      <c r="AF233" s="84" t="n">
        <v>0.8</v>
      </c>
      <c r="AG233" s="84" t="n">
        <v>0.86</v>
      </c>
      <c r="AH233" s="84" t="n">
        <v>0</v>
      </c>
      <c r="AI233" s="84" t="n">
        <v>0</v>
      </c>
      <c r="AJ233" s="84">
        <f>SUMIFS(AH$8:AH$1039,$O$8:$O$1039,O233,$AB$8:$AB$1039,AB233,$R$8:$R$1039,R233,$AA$8:$AA$1039,"&lt;="&amp;AA233)</f>
        <v/>
      </c>
      <c r="AK233" s="84">
        <f>C22</f>
        <v/>
      </c>
      <c r="AL233" s="84">
        <f>C28</f>
        <v/>
      </c>
      <c r="AM233" s="84">
        <f>MAX(0,AJ233-AK233)</f>
        <v/>
      </c>
      <c r="AN233" s="84">
        <f>IF(AM233=0,AH233,IF(AM233&gt;=AH233,0,AH233-AM233))</f>
        <v/>
      </c>
      <c r="AO233" s="84">
        <f>IF(AM233&gt;=AH233,AI233,AI233*AM233/AH233)</f>
        <v/>
      </c>
      <c r="AP233">
        <f t="array" ref="AP233">INDEX($AU$8:$BB$25,6*(R233-1)+MATCH(AB233,$AS$8:$AS$13,0),MATCH(O233,$AU$7:$BB$7,0))</f>
        <v/>
      </c>
    </row>
    <row r="234" ht="14.25" customHeight="1">
      <c r="O234" s="43" t="inlineStr">
        <is>
          <t>Q2’26</t>
        </is>
      </c>
      <c r="P234" s="43" t="n">
        <v>3</v>
      </c>
      <c r="Q234" s="43" t="n">
        <v>7</v>
      </c>
      <c r="R234" s="43" t="n">
        <v>2</v>
      </c>
      <c r="S234" s="45" t="n">
        <v>1121.844705882354</v>
      </c>
      <c r="T234">
        <f>(S233+S234+S235)=O4</f>
        <v/>
      </c>
      <c r="X234" s="84">
        <f>MAX(S231-S234,0)</f>
        <v/>
      </c>
      <c r="Y234" s="83" t="n">
        <v>0</v>
      </c>
      <c r="AA234" s="84" t="n">
        <v>3</v>
      </c>
      <c r="AB234" s="84" t="inlineStr">
        <is>
          <t>C</t>
        </is>
      </c>
      <c r="AC234" s="84" t="inlineStr">
        <is>
          <t>C+</t>
        </is>
      </c>
      <c r="AD234" s="84" t="n">
        <v>24</v>
      </c>
      <c r="AE234" s="84" t="n">
        <v>21</v>
      </c>
      <c r="AF234" s="84" t="n">
        <v>0.8</v>
      </c>
      <c r="AG234" s="84" t="n">
        <v>0.86</v>
      </c>
      <c r="AH234" s="84" t="n">
        <v>0</v>
      </c>
      <c r="AI234" s="84" t="n">
        <v>0</v>
      </c>
      <c r="AJ234" s="84">
        <f>SUMIFS(AH$8:AH$1039,$O$8:$O$1039,O234,$AB$8:$AB$1039,AB234,$R$8:$R$1039,R234,$AA$8:$AA$1039,"&lt;="&amp;AA234)</f>
        <v/>
      </c>
      <c r="AK234" s="84">
        <f>D22</f>
        <v/>
      </c>
      <c r="AL234" s="84">
        <f>D28</f>
        <v/>
      </c>
      <c r="AM234" s="84">
        <f>MAX(0,AJ234-AK234)</f>
        <v/>
      </c>
      <c r="AN234" s="84">
        <f>IF(AM234=0,AH234,IF(AM234&gt;=AH234,0,AH234-AM234))</f>
        <v/>
      </c>
      <c r="AO234" s="84">
        <f>IF(AM234&gt;=AH234,AI234,AI234*AM234/AH234)</f>
        <v/>
      </c>
      <c r="AP234">
        <f t="array" ref="AP234">INDEX($AU$8:$BB$25,6*(R234-1)+MATCH(AB234,$AS$8:$AS$13,0),MATCH(O234,$AU$7:$BB$7,0))</f>
        <v/>
      </c>
    </row>
    <row r="235" ht="14.25" customHeight="1">
      <c r="O235" s="43" t="inlineStr">
        <is>
          <t>Q2’26</t>
        </is>
      </c>
      <c r="P235" s="43" t="n">
        <v>3</v>
      </c>
      <c r="Q235" s="43" t="n">
        <v>7</v>
      </c>
      <c r="R235" s="43" t="n">
        <v>3</v>
      </c>
      <c r="S235" s="45" t="n">
        <v>3319.106778370146</v>
      </c>
      <c r="T235">
        <f>(S233+S234+S235)=O4</f>
        <v/>
      </c>
      <c r="X235" s="84">
        <f>MAX(S232-S235,0)</f>
        <v/>
      </c>
      <c r="Y235" s="83" t="n">
        <v>0</v>
      </c>
      <c r="AA235" s="84" t="n">
        <v>3</v>
      </c>
      <c r="AB235" s="84" t="inlineStr">
        <is>
          <t>C</t>
        </is>
      </c>
      <c r="AC235" s="84" t="inlineStr">
        <is>
          <t>C+</t>
        </is>
      </c>
      <c r="AD235" s="84" t="n">
        <v>24</v>
      </c>
      <c r="AE235" s="84" t="n">
        <v>21</v>
      </c>
      <c r="AF235" s="84" t="n">
        <v>0.8</v>
      </c>
      <c r="AG235" s="84" t="n">
        <v>0.86</v>
      </c>
      <c r="AH235" s="84" t="n">
        <v>0</v>
      </c>
      <c r="AI235" s="84" t="n">
        <v>0</v>
      </c>
      <c r="AJ235" s="84">
        <f>SUMIFS(AH$8:AH$1039,$O$8:$O$1039,O235,$AB$8:$AB$1039,AB235,$R$8:$R$1039,R235,$AA$8:$AA$1039,"&lt;="&amp;AA235)</f>
        <v/>
      </c>
      <c r="AK235" s="84">
        <f>E22</f>
        <v/>
      </c>
      <c r="AL235" s="84">
        <f>E28</f>
        <v/>
      </c>
      <c r="AM235" s="84">
        <f>MAX(0,AJ235-AK235)</f>
        <v/>
      </c>
      <c r="AN235" s="84">
        <f>IF(AM235=0,AH235,IF(AM235&gt;=AH235,0,AH235-AM235))</f>
        <v/>
      </c>
      <c r="AO235" s="84">
        <f>IF(AM235&gt;=AH235,AI235,AI235*AM235/AH235)</f>
        <v/>
      </c>
      <c r="AP235">
        <f t="array" ref="AP235">INDEX($AU$8:$BB$25,6*(R235-1)+MATCH(AB235,$AS$8:$AS$13,0),MATCH(O235,$AU$7:$BB$7,0))</f>
        <v/>
      </c>
    </row>
    <row r="236" ht="14.25" customHeight="1">
      <c r="O236" s="43" t="inlineStr">
        <is>
          <t>Q2’26</t>
        </is>
      </c>
      <c r="P236" s="43" t="n">
        <v>3</v>
      </c>
      <c r="Q236" s="43" t="n">
        <v>8</v>
      </c>
      <c r="R236" s="43" t="n">
        <v>1</v>
      </c>
      <c r="S236" s="45" t="n">
        <v>59.0485157475</v>
      </c>
      <c r="T236">
        <f>(S236+S237+S238)=O4</f>
        <v/>
      </c>
      <c r="X236" s="84">
        <f>MAX(S233-S236,0)</f>
        <v/>
      </c>
      <c r="Y236" s="83" t="n">
        <v>0</v>
      </c>
      <c r="AA236" s="84" t="n">
        <v>5</v>
      </c>
      <c r="AB236" s="84" t="inlineStr">
        <is>
          <t>C</t>
        </is>
      </c>
      <c r="AC236" s="84" t="inlineStr">
        <is>
          <t>C+</t>
        </is>
      </c>
      <c r="AD236" s="84" t="n">
        <v>19</v>
      </c>
      <c r="AE236" s="84" t="n">
        <v>13</v>
      </c>
      <c r="AF236" s="84" t="n">
        <v>0.8</v>
      </c>
      <c r="AG236" s="84" t="n">
        <v>0.86</v>
      </c>
      <c r="AH236" s="84" t="n">
        <v>0</v>
      </c>
      <c r="AI236" s="84" t="n">
        <v>0</v>
      </c>
      <c r="AJ236" s="84">
        <f>SUMIFS(AH$8:AH$1039,$O$8:$O$1039,O236,$AB$8:$AB$1039,AB236,$R$8:$R$1039,R236,$AA$8:$AA$1039,"&lt;="&amp;AA236)</f>
        <v/>
      </c>
      <c r="AK236" s="84">
        <f>C22</f>
        <v/>
      </c>
      <c r="AL236" s="84">
        <f>C28</f>
        <v/>
      </c>
      <c r="AM236" s="84">
        <f>MAX(0,AJ236-AK236)</f>
        <v/>
      </c>
      <c r="AN236" s="84">
        <f>IF(AM236=0,AH236,IF(AM236&gt;=AH236,0,AH236-AM236))</f>
        <v/>
      </c>
      <c r="AO236" s="84">
        <f>IF(AM236&gt;=AH236,AI236,AI236*AM236/AH236)</f>
        <v/>
      </c>
      <c r="AP236">
        <f t="array" ref="AP236">INDEX($AU$8:$BB$25,6*(R236-1)+MATCH(AB236,$AS$8:$AS$13,0),MATCH(O236,$AU$7:$BB$7,0))</f>
        <v/>
      </c>
    </row>
    <row r="237" ht="14.25" customHeight="1">
      <c r="O237" s="43" t="inlineStr">
        <is>
          <t>Q2’26</t>
        </is>
      </c>
      <c r="P237" s="43" t="n">
        <v>3</v>
      </c>
      <c r="Q237" s="43" t="n">
        <v>8</v>
      </c>
      <c r="R237" s="43" t="n">
        <v>2</v>
      </c>
      <c r="S237" s="45" t="n">
        <v>1121.844705882354</v>
      </c>
      <c r="T237">
        <f>(S236+S237+S238)=O4</f>
        <v/>
      </c>
      <c r="X237" s="84">
        <f>MAX(S234-S237,0)</f>
        <v/>
      </c>
      <c r="Y237" s="83" t="n">
        <v>0</v>
      </c>
      <c r="AA237" s="84" t="n">
        <v>5</v>
      </c>
      <c r="AB237" s="84" t="inlineStr">
        <is>
          <t>C</t>
        </is>
      </c>
      <c r="AC237" s="84" t="inlineStr">
        <is>
          <t>C+</t>
        </is>
      </c>
      <c r="AD237" s="84" t="n">
        <v>19</v>
      </c>
      <c r="AE237" s="84" t="n">
        <v>13</v>
      </c>
      <c r="AF237" s="84" t="n">
        <v>0.8</v>
      </c>
      <c r="AG237" s="84" t="n">
        <v>0.86</v>
      </c>
      <c r="AH237" s="84" t="n">
        <v>0</v>
      </c>
      <c r="AI237" s="84" t="n">
        <v>0</v>
      </c>
      <c r="AJ237" s="84">
        <f>SUMIFS(AH$8:AH$1039,$O$8:$O$1039,O237,$AB$8:$AB$1039,AB237,$R$8:$R$1039,R237,$AA$8:$AA$1039,"&lt;="&amp;AA237)</f>
        <v/>
      </c>
      <c r="AK237" s="84">
        <f>D22</f>
        <v/>
      </c>
      <c r="AL237" s="84">
        <f>D28</f>
        <v/>
      </c>
      <c r="AM237" s="84">
        <f>MAX(0,AJ237-AK237)</f>
        <v/>
      </c>
      <c r="AN237" s="84">
        <f>IF(AM237=0,AH237,IF(AM237&gt;=AH237,0,AH237-AM237))</f>
        <v/>
      </c>
      <c r="AO237" s="84">
        <f>IF(AM237&gt;=AH237,AI237,AI237*AM237/AH237)</f>
        <v/>
      </c>
      <c r="AP237">
        <f t="array" ref="AP237">INDEX($AU$8:$BB$25,6*(R237-1)+MATCH(AB237,$AS$8:$AS$13,0),MATCH(O237,$AU$7:$BB$7,0))</f>
        <v/>
      </c>
    </row>
    <row r="238" ht="14.25" customHeight="1">
      <c r="O238" s="43" t="inlineStr">
        <is>
          <t>Q2’26</t>
        </is>
      </c>
      <c r="P238" s="43" t="n">
        <v>3</v>
      </c>
      <c r="Q238" s="43" t="n">
        <v>8</v>
      </c>
      <c r="R238" s="43" t="n">
        <v>3</v>
      </c>
      <c r="S238" s="45" t="n">
        <v>3319.106778370146</v>
      </c>
      <c r="T238">
        <f>(S236+S237+S238)=O4</f>
        <v/>
      </c>
      <c r="X238" s="84">
        <f>MAX(S235-S238,0)</f>
        <v/>
      </c>
      <c r="Y238" s="83" t="n">
        <v>0</v>
      </c>
      <c r="AA238" s="84" t="n">
        <v>5</v>
      </c>
      <c r="AB238" s="84" t="inlineStr">
        <is>
          <t>C</t>
        </is>
      </c>
      <c r="AC238" s="84" t="inlineStr">
        <is>
          <t>C+</t>
        </is>
      </c>
      <c r="AD238" s="84" t="n">
        <v>19</v>
      </c>
      <c r="AE238" s="84" t="n">
        <v>13</v>
      </c>
      <c r="AF238" s="84" t="n">
        <v>0.8</v>
      </c>
      <c r="AG238" s="84" t="n">
        <v>0.86</v>
      </c>
      <c r="AH238" s="84" t="n">
        <v>0</v>
      </c>
      <c r="AI238" s="84" t="n">
        <v>0</v>
      </c>
      <c r="AJ238" s="84">
        <f>SUMIFS(AH$8:AH$1039,$O$8:$O$1039,O238,$AB$8:$AB$1039,AB238,$R$8:$R$1039,R238,$AA$8:$AA$1039,"&lt;="&amp;AA238)</f>
        <v/>
      </c>
      <c r="AK238" s="84">
        <f>E22</f>
        <v/>
      </c>
      <c r="AL238" s="84">
        <f>E28</f>
        <v/>
      </c>
      <c r="AM238" s="84">
        <f>MAX(0,AJ238-AK238)</f>
        <v/>
      </c>
      <c r="AN238" s="84">
        <f>IF(AM238=0,AH238,IF(AM238&gt;=AH238,0,AH238-AM238))</f>
        <v/>
      </c>
      <c r="AO238" s="84">
        <f>IF(AM238&gt;=AH238,AI238,AI238*AM238/AH238)</f>
        <v/>
      </c>
      <c r="AP238">
        <f t="array" ref="AP238">INDEX($AU$8:$BB$25,6*(R238-1)+MATCH(AB238,$AS$8:$AS$13,0),MATCH(O238,$AU$7:$BB$7,0))</f>
        <v/>
      </c>
    </row>
    <row r="239" ht="14.25" customHeight="1">
      <c r="O239" s="43" t="inlineStr">
        <is>
          <t>Q2’26</t>
        </is>
      </c>
      <c r="P239" s="43" t="n">
        <v>3</v>
      </c>
      <c r="Q239" s="43" t="n">
        <v>9</v>
      </c>
      <c r="R239" s="43" t="n">
        <v>1</v>
      </c>
      <c r="S239" s="45" t="n">
        <v>59.0485157475</v>
      </c>
      <c r="T239">
        <f>(S239+S240+S241)=O4</f>
        <v/>
      </c>
      <c r="X239" s="84">
        <f>MAX(S236-S239,0)</f>
        <v/>
      </c>
      <c r="Y239" s="83" t="n">
        <v>0</v>
      </c>
      <c r="AA239" s="84" t="n">
        <v>3</v>
      </c>
      <c r="AB239" s="84" t="inlineStr">
        <is>
          <t>D</t>
        </is>
      </c>
      <c r="AC239" s="84" t="inlineStr">
        <is>
          <t>D+</t>
        </is>
      </c>
      <c r="AD239" s="84" t="n">
        <v>15</v>
      </c>
      <c r="AE239" s="84" t="n">
        <v>13</v>
      </c>
      <c r="AF239" s="84" t="n">
        <v>0.8</v>
      </c>
      <c r="AG239" s="84" t="n">
        <v>0.88</v>
      </c>
      <c r="AH239" s="84" t="n">
        <v>0</v>
      </c>
      <c r="AI239" s="84" t="n">
        <v>0</v>
      </c>
      <c r="AJ239" s="84">
        <f>SUMIFS(AH$8:AH$1039,$O$8:$O$1039,O239,$AB$8:$AB$1039,AB239,$R$8:$R$1039,R239,$AA$8:$AA$1039,"&lt;="&amp;AA239)</f>
        <v/>
      </c>
      <c r="AK239" s="84">
        <f>C23</f>
        <v/>
      </c>
      <c r="AL239" s="84">
        <f>C29</f>
        <v/>
      </c>
      <c r="AM239" s="84">
        <f>MAX(0,AJ239-AK239)</f>
        <v/>
      </c>
      <c r="AN239" s="84">
        <f>IF(AM239=0,AH239,IF(AM239&gt;=AH239,0,AH239-AM239))</f>
        <v/>
      </c>
      <c r="AO239" s="84">
        <f>IF(AM239&gt;=AH239,AI239,AI239*AM239/AH239)</f>
        <v/>
      </c>
      <c r="AP239">
        <f t="array" ref="AP239">INDEX($AU$8:$BB$25,6*(R239-1)+MATCH(AB239,$AS$8:$AS$13,0),MATCH(O239,$AU$7:$BB$7,0))</f>
        <v/>
      </c>
    </row>
    <row r="240" ht="14.25" customHeight="1">
      <c r="O240" s="43" t="inlineStr">
        <is>
          <t>Q2’26</t>
        </is>
      </c>
      <c r="P240" s="43" t="n">
        <v>3</v>
      </c>
      <c r="Q240" s="43" t="n">
        <v>9</v>
      </c>
      <c r="R240" s="43" t="n">
        <v>2</v>
      </c>
      <c r="S240" s="45" t="n">
        <v>1121.844705882354</v>
      </c>
      <c r="T240">
        <f>(S239+S240+S241)=O4</f>
        <v/>
      </c>
      <c r="X240" s="84">
        <f>MAX(S237-S240,0)</f>
        <v/>
      </c>
      <c r="Y240" s="83" t="n">
        <v>0</v>
      </c>
      <c r="AA240" s="84" t="n">
        <v>3</v>
      </c>
      <c r="AB240" s="84" t="inlineStr">
        <is>
          <t>D</t>
        </is>
      </c>
      <c r="AC240" s="84" t="inlineStr">
        <is>
          <t>D+</t>
        </is>
      </c>
      <c r="AD240" s="84" t="n">
        <v>15</v>
      </c>
      <c r="AE240" s="84" t="n">
        <v>13</v>
      </c>
      <c r="AF240" s="84" t="n">
        <v>0.8</v>
      </c>
      <c r="AG240" s="84" t="n">
        <v>0.88</v>
      </c>
      <c r="AH240" s="84" t="n">
        <v>0</v>
      </c>
      <c r="AI240" s="84" t="n">
        <v>0</v>
      </c>
      <c r="AJ240" s="84">
        <f>SUMIFS(AH$8:AH$1039,$O$8:$O$1039,O240,$AB$8:$AB$1039,AB240,$R$8:$R$1039,R240,$AA$8:$AA$1039,"&lt;="&amp;AA240)</f>
        <v/>
      </c>
      <c r="AK240" s="84">
        <f>D23</f>
        <v/>
      </c>
      <c r="AL240" s="84">
        <f>D29</f>
        <v/>
      </c>
      <c r="AM240" s="84">
        <f>MAX(0,AJ240-AK240)</f>
        <v/>
      </c>
      <c r="AN240" s="84">
        <f>IF(AM240=0,AH240,IF(AM240&gt;=AH240,0,AH240-AM240))</f>
        <v/>
      </c>
      <c r="AO240" s="84">
        <f>IF(AM240&gt;=AH240,AI240,AI240*AM240/AH240)</f>
        <v/>
      </c>
      <c r="AP240">
        <f t="array" ref="AP240">INDEX($AU$8:$BB$25,6*(R240-1)+MATCH(AB240,$AS$8:$AS$13,0),MATCH(O240,$AU$7:$BB$7,0))</f>
        <v/>
      </c>
    </row>
    <row r="241" ht="14.25" customHeight="1">
      <c r="O241" s="43" t="inlineStr">
        <is>
          <t>Q2’26</t>
        </is>
      </c>
      <c r="P241" s="43" t="n">
        <v>3</v>
      </c>
      <c r="Q241" s="43" t="n">
        <v>9</v>
      </c>
      <c r="R241" s="43" t="n">
        <v>3</v>
      </c>
      <c r="S241" s="45" t="n">
        <v>3319.106778370146</v>
      </c>
      <c r="T241">
        <f>(S239+S240+S241)=O4</f>
        <v/>
      </c>
      <c r="X241" s="84">
        <f>MAX(S238-S241,0)</f>
        <v/>
      </c>
      <c r="Y241" s="83" t="n">
        <v>0</v>
      </c>
      <c r="AA241" s="84" t="n">
        <v>3</v>
      </c>
      <c r="AB241" s="84" t="inlineStr">
        <is>
          <t>D</t>
        </is>
      </c>
      <c r="AC241" s="84" t="inlineStr">
        <is>
          <t>D+</t>
        </is>
      </c>
      <c r="AD241" s="84" t="n">
        <v>15</v>
      </c>
      <c r="AE241" s="84" t="n">
        <v>13</v>
      </c>
      <c r="AF241" s="84" t="n">
        <v>0.8</v>
      </c>
      <c r="AG241" s="84" t="n">
        <v>0.88</v>
      </c>
      <c r="AH241" s="84" t="n">
        <v>0</v>
      </c>
      <c r="AI241" s="84" t="n">
        <v>0</v>
      </c>
      <c r="AJ241" s="84">
        <f>SUMIFS(AH$8:AH$1039,$O$8:$O$1039,O241,$AB$8:$AB$1039,AB241,$R$8:$R$1039,R241,$AA$8:$AA$1039,"&lt;="&amp;AA241)</f>
        <v/>
      </c>
      <c r="AK241" s="84">
        <f>E23</f>
        <v/>
      </c>
      <c r="AL241" s="84">
        <f>E29</f>
        <v/>
      </c>
      <c r="AM241" s="84">
        <f>MAX(0,AJ241-AK241)</f>
        <v/>
      </c>
      <c r="AN241" s="84">
        <f>IF(AM241=0,AH241,IF(AM241&gt;=AH241,0,AH241-AM241))</f>
        <v/>
      </c>
      <c r="AO241" s="84">
        <f>IF(AM241&gt;=AH241,AI241,AI241*AM241/AH241)</f>
        <v/>
      </c>
      <c r="AP241">
        <f t="array" ref="AP241">INDEX($AU$8:$BB$25,6*(R241-1)+MATCH(AB241,$AS$8:$AS$13,0),MATCH(O241,$AU$7:$BB$7,0))</f>
        <v/>
      </c>
    </row>
    <row r="242" ht="14.25" customHeight="1">
      <c r="O242" s="43" t="inlineStr">
        <is>
          <t>Q2’26</t>
        </is>
      </c>
      <c r="P242" s="43" t="n">
        <v>3</v>
      </c>
      <c r="Q242" s="43" t="n">
        <v>10</v>
      </c>
      <c r="R242" s="43" t="n">
        <v>1</v>
      </c>
      <c r="S242" s="45" t="n">
        <v>59.0485157475</v>
      </c>
      <c r="T242">
        <f>(S242+S243+S244)=O4</f>
        <v/>
      </c>
      <c r="X242" s="84">
        <f>MAX(S239-S242,0)</f>
        <v/>
      </c>
      <c r="Y242" s="83" t="n">
        <v>0</v>
      </c>
      <c r="AA242" s="84" t="n">
        <v>5</v>
      </c>
      <c r="AB242" s="84" t="inlineStr">
        <is>
          <t>D</t>
        </is>
      </c>
      <c r="AC242" s="84" t="inlineStr">
        <is>
          <t>D+</t>
        </is>
      </c>
      <c r="AD242" s="84" t="n">
        <v>24</v>
      </c>
      <c r="AE242" s="84" t="n">
        <v>20</v>
      </c>
      <c r="AF242" s="84" t="n">
        <v>0.8</v>
      </c>
      <c r="AG242" s="84" t="n">
        <v>0.88</v>
      </c>
      <c r="AH242" s="84" t="n">
        <v>0</v>
      </c>
      <c r="AI242" s="84" t="n">
        <v>0</v>
      </c>
      <c r="AJ242" s="84">
        <f>SUMIFS(AH$8:AH$1039,$O$8:$O$1039,O242,$AB$8:$AB$1039,AB242,$R$8:$R$1039,R242,$AA$8:$AA$1039,"&lt;="&amp;AA242)</f>
        <v/>
      </c>
      <c r="AK242" s="84">
        <f>C23</f>
        <v/>
      </c>
      <c r="AL242" s="84">
        <f>C29</f>
        <v/>
      </c>
      <c r="AM242" s="84">
        <f>MAX(0,AJ242-AK242)</f>
        <v/>
      </c>
      <c r="AN242" s="84">
        <f>IF(AM242=0,AH242,IF(AM242&gt;=AH242,0,AH242-AM242))</f>
        <v/>
      </c>
      <c r="AO242" s="84">
        <f>IF(AM242&gt;=AH242,AI242,AI242*AM242/AH242)</f>
        <v/>
      </c>
      <c r="AP242">
        <f t="array" ref="AP242">INDEX($AU$8:$BB$25,6*(R242-1)+MATCH(AB242,$AS$8:$AS$13,0),MATCH(O242,$AU$7:$BB$7,0))</f>
        <v/>
      </c>
    </row>
    <row r="243" ht="14.25" customHeight="1">
      <c r="O243" s="43" t="inlineStr">
        <is>
          <t>Q2’26</t>
        </is>
      </c>
      <c r="P243" s="43" t="n">
        <v>3</v>
      </c>
      <c r="Q243" s="43" t="n">
        <v>10</v>
      </c>
      <c r="R243" s="43" t="n">
        <v>2</v>
      </c>
      <c r="S243" s="45" t="n">
        <v>1121.844705882354</v>
      </c>
      <c r="T243">
        <f>(S242+S243+S244)=O4</f>
        <v/>
      </c>
      <c r="X243" s="84">
        <f>MAX(S240-S243,0)</f>
        <v/>
      </c>
      <c r="Y243" s="83" t="n">
        <v>0</v>
      </c>
      <c r="AA243" s="84" t="n">
        <v>5</v>
      </c>
      <c r="AB243" s="84" t="inlineStr">
        <is>
          <t>D</t>
        </is>
      </c>
      <c r="AC243" s="84" t="inlineStr">
        <is>
          <t>D+</t>
        </is>
      </c>
      <c r="AD243" s="84" t="n">
        <v>24</v>
      </c>
      <c r="AE243" s="84" t="n">
        <v>20</v>
      </c>
      <c r="AF243" s="84" t="n">
        <v>0.8</v>
      </c>
      <c r="AG243" s="84" t="n">
        <v>0.88</v>
      </c>
      <c r="AH243" s="84" t="n">
        <v>0</v>
      </c>
      <c r="AI243" s="84" t="n">
        <v>0</v>
      </c>
      <c r="AJ243" s="84">
        <f>SUMIFS(AH$8:AH$1039,$O$8:$O$1039,O243,$AB$8:$AB$1039,AB243,$R$8:$R$1039,R243,$AA$8:$AA$1039,"&lt;="&amp;AA243)</f>
        <v/>
      </c>
      <c r="AK243" s="84">
        <f>D23</f>
        <v/>
      </c>
      <c r="AL243" s="84">
        <f>D29</f>
        <v/>
      </c>
      <c r="AM243" s="84">
        <f>MAX(0,AJ243-AK243)</f>
        <v/>
      </c>
      <c r="AN243" s="84">
        <f>IF(AM243=0,AH243,IF(AM243&gt;=AH243,0,AH243-AM243))</f>
        <v/>
      </c>
      <c r="AO243" s="84">
        <f>IF(AM243&gt;=AH243,AI243,AI243*AM243/AH243)</f>
        <v/>
      </c>
      <c r="AP243">
        <f t="array" ref="AP243">INDEX($AU$8:$BB$25,6*(R243-1)+MATCH(AB243,$AS$8:$AS$13,0),MATCH(O243,$AU$7:$BB$7,0))</f>
        <v/>
      </c>
    </row>
    <row r="244" ht="14.25" customHeight="1">
      <c r="O244" s="43" t="inlineStr">
        <is>
          <t>Q2’26</t>
        </is>
      </c>
      <c r="P244" s="43" t="n">
        <v>3</v>
      </c>
      <c r="Q244" s="43" t="n">
        <v>10</v>
      </c>
      <c r="R244" s="43" t="n">
        <v>3</v>
      </c>
      <c r="S244" s="45" t="n">
        <v>3319.106778370146</v>
      </c>
      <c r="T244">
        <f>(S242+S243+S244)=O4</f>
        <v/>
      </c>
      <c r="X244" s="84">
        <f>MAX(S241-S244,0)</f>
        <v/>
      </c>
      <c r="Y244" s="83" t="n">
        <v>0</v>
      </c>
      <c r="AA244" s="84" t="n">
        <v>5</v>
      </c>
      <c r="AB244" s="84" t="inlineStr">
        <is>
          <t>D</t>
        </is>
      </c>
      <c r="AC244" s="84" t="inlineStr">
        <is>
          <t>D+</t>
        </is>
      </c>
      <c r="AD244" s="84" t="n">
        <v>24</v>
      </c>
      <c r="AE244" s="84" t="n">
        <v>20</v>
      </c>
      <c r="AF244" s="84" t="n">
        <v>0.8</v>
      </c>
      <c r="AG244" s="84" t="n">
        <v>0.88</v>
      </c>
      <c r="AH244" s="84" t="n">
        <v>0</v>
      </c>
      <c r="AI244" s="84" t="n">
        <v>0</v>
      </c>
      <c r="AJ244" s="84">
        <f>SUMIFS(AH$8:AH$1039,$O$8:$O$1039,O244,$AB$8:$AB$1039,AB244,$R$8:$R$1039,R244,$AA$8:$AA$1039,"&lt;="&amp;AA244)</f>
        <v/>
      </c>
      <c r="AK244" s="84">
        <f>E23</f>
        <v/>
      </c>
      <c r="AL244" s="84">
        <f>E29</f>
        <v/>
      </c>
      <c r="AM244" s="84">
        <f>MAX(0,AJ244-AK244)</f>
        <v/>
      </c>
      <c r="AN244" s="84">
        <f>IF(AM244=0,AH244,IF(AM244&gt;=AH244,0,AH244-AM244))</f>
        <v/>
      </c>
      <c r="AO244" s="84">
        <f>IF(AM244&gt;=AH244,AI244,AI244*AM244/AH244)</f>
        <v/>
      </c>
      <c r="AP244">
        <f t="array" ref="AP244">INDEX($AU$8:$BB$25,6*(R244-1)+MATCH(AB244,$AS$8:$AS$13,0),MATCH(O244,$AU$7:$BB$7,0))</f>
        <v/>
      </c>
    </row>
    <row r="245" ht="14.25" customHeight="1">
      <c r="O245" s="43" t="inlineStr">
        <is>
          <t>Q2’26</t>
        </is>
      </c>
      <c r="P245" s="43" t="n">
        <v>3</v>
      </c>
      <c r="Q245" s="43" t="n">
        <v>11</v>
      </c>
      <c r="R245" s="43" t="n">
        <v>1</v>
      </c>
      <c r="S245" s="45" t="n">
        <v>59.0485157475</v>
      </c>
      <c r="T245">
        <f>(S245+S246+S247)=O4</f>
        <v/>
      </c>
      <c r="X245" s="84">
        <f>MAX(S242-S245,0)</f>
        <v/>
      </c>
      <c r="Y245" s="83" t="n">
        <v>0</v>
      </c>
      <c r="AA245" s="84" t="n">
        <v>3</v>
      </c>
      <c r="AB245" s="84" t="inlineStr">
        <is>
          <t>E</t>
        </is>
      </c>
      <c r="AC245" s="84" t="inlineStr">
        <is>
          <t>E+</t>
        </is>
      </c>
      <c r="AD245" s="84" t="n">
        <v>17</v>
      </c>
      <c r="AE245" s="84" t="n">
        <v>15</v>
      </c>
      <c r="AF245" s="84" t="n">
        <v>0.76</v>
      </c>
      <c r="AG245" s="84" t="n">
        <v>0.84</v>
      </c>
      <c r="AH245" s="84" t="n">
        <v>0</v>
      </c>
      <c r="AI245" s="84" t="n">
        <v>0</v>
      </c>
      <c r="AJ245" s="84">
        <f>SUMIFS(AH$8:AH$1039,$O$8:$O$1039,O245,$AB$8:$AB$1039,AB245,$R$8:$R$1039,R245,$AA$8:$AA$1039,"&lt;="&amp;AA245)</f>
        <v/>
      </c>
      <c r="AK245" s="84">
        <f>C24</f>
        <v/>
      </c>
      <c r="AL245" s="84">
        <f>C30</f>
        <v/>
      </c>
      <c r="AM245" s="84">
        <f>MAX(0,AJ245-AK245)</f>
        <v/>
      </c>
      <c r="AN245" s="84">
        <f>IF(AM245=0,AH245,IF(AM245&gt;=AH245,0,AH245-AM245))</f>
        <v/>
      </c>
      <c r="AO245" s="84">
        <f>IF(AM245&gt;=AH245,AI245,AI245*AM245/AH245)</f>
        <v/>
      </c>
      <c r="AP245">
        <f t="array" ref="AP245">INDEX($AU$8:$BB$25,6*(R245-1)+MATCH(AB245,$AS$8:$AS$13,0),MATCH(O245,$AU$7:$BB$7,0))</f>
        <v/>
      </c>
    </row>
    <row r="246" ht="14.25" customHeight="1">
      <c r="O246" s="43" t="inlineStr">
        <is>
          <t>Q2’26</t>
        </is>
      </c>
      <c r="P246" s="43" t="n">
        <v>3</v>
      </c>
      <c r="Q246" s="43" t="n">
        <v>11</v>
      </c>
      <c r="R246" s="43" t="n">
        <v>2</v>
      </c>
      <c r="S246" s="45" t="n">
        <v>1121.844705882354</v>
      </c>
      <c r="T246">
        <f>(S245+S246+S247)=O4</f>
        <v/>
      </c>
      <c r="X246" s="84">
        <f>MAX(S243-S246,0)</f>
        <v/>
      </c>
      <c r="Y246" s="83" t="n">
        <v>0</v>
      </c>
      <c r="AA246" s="84" t="n">
        <v>3</v>
      </c>
      <c r="AB246" s="84" t="inlineStr">
        <is>
          <t>E</t>
        </is>
      </c>
      <c r="AC246" s="84" t="inlineStr">
        <is>
          <t>E+</t>
        </is>
      </c>
      <c r="AD246" s="84" t="n">
        <v>17</v>
      </c>
      <c r="AE246" s="84" t="n">
        <v>15</v>
      </c>
      <c r="AF246" s="84" t="n">
        <v>0.76</v>
      </c>
      <c r="AG246" s="84" t="n">
        <v>0.84</v>
      </c>
      <c r="AH246" s="84" t="n">
        <v>0</v>
      </c>
      <c r="AI246" s="84" t="n">
        <v>0</v>
      </c>
      <c r="AJ246" s="84">
        <f>SUMIFS(AH$8:AH$1039,$O$8:$O$1039,O246,$AB$8:$AB$1039,AB246,$R$8:$R$1039,R246,$AA$8:$AA$1039,"&lt;="&amp;AA246)</f>
        <v/>
      </c>
      <c r="AK246" s="84">
        <f>D24</f>
        <v/>
      </c>
      <c r="AL246" s="84">
        <f>D30</f>
        <v/>
      </c>
      <c r="AM246" s="84">
        <f>MAX(0,AJ246-AK246)</f>
        <v/>
      </c>
      <c r="AN246" s="84">
        <f>IF(AM246=0,AH246,IF(AM246&gt;=AH246,0,AH246-AM246))</f>
        <v/>
      </c>
      <c r="AO246" s="84">
        <f>IF(AM246&gt;=AH246,AI246,AI246*AM246/AH246)</f>
        <v/>
      </c>
      <c r="AP246">
        <f t="array" ref="AP246">INDEX($AU$8:$BB$25,6*(R246-1)+MATCH(AB246,$AS$8:$AS$13,0),MATCH(O246,$AU$7:$BB$7,0))</f>
        <v/>
      </c>
    </row>
    <row r="247" ht="14.25" customHeight="1">
      <c r="O247" s="43" t="inlineStr">
        <is>
          <t>Q2’26</t>
        </is>
      </c>
      <c r="P247" s="43" t="n">
        <v>3</v>
      </c>
      <c r="Q247" s="43" t="n">
        <v>11</v>
      </c>
      <c r="R247" s="43" t="n">
        <v>3</v>
      </c>
      <c r="S247" s="45" t="n">
        <v>3319.106778370146</v>
      </c>
      <c r="T247">
        <f>(S245+S246+S247)=O4</f>
        <v/>
      </c>
      <c r="X247" s="84">
        <f>MAX(S244-S247,0)</f>
        <v/>
      </c>
      <c r="Y247" s="83" t="n">
        <v>0</v>
      </c>
      <c r="AA247" s="84" t="n">
        <v>3</v>
      </c>
      <c r="AB247" s="84" t="inlineStr">
        <is>
          <t>E</t>
        </is>
      </c>
      <c r="AC247" s="84" t="inlineStr">
        <is>
          <t>E+</t>
        </is>
      </c>
      <c r="AD247" s="84" t="n">
        <v>17</v>
      </c>
      <c r="AE247" s="84" t="n">
        <v>15</v>
      </c>
      <c r="AF247" s="84" t="n">
        <v>0.76</v>
      </c>
      <c r="AG247" s="84" t="n">
        <v>0.84</v>
      </c>
      <c r="AH247" s="84" t="n">
        <v>0</v>
      </c>
      <c r="AI247" s="84" t="n">
        <v>0</v>
      </c>
      <c r="AJ247" s="84">
        <f>SUMIFS(AH$8:AH$1039,$O$8:$O$1039,O247,$AB$8:$AB$1039,AB247,$R$8:$R$1039,R247,$AA$8:$AA$1039,"&lt;="&amp;AA247)</f>
        <v/>
      </c>
      <c r="AK247" s="84">
        <f>E24</f>
        <v/>
      </c>
      <c r="AL247" s="84">
        <f>E30</f>
        <v/>
      </c>
      <c r="AM247" s="84">
        <f>MAX(0,AJ247-AK247)</f>
        <v/>
      </c>
      <c r="AN247" s="84">
        <f>IF(AM247=0,AH247,IF(AM247&gt;=AH247,0,AH247-AM247))</f>
        <v/>
      </c>
      <c r="AO247" s="84">
        <f>IF(AM247&gt;=AH247,AI247,AI247*AM247/AH247)</f>
        <v/>
      </c>
      <c r="AP247">
        <f t="array" ref="AP247">INDEX($AU$8:$BB$25,6*(R247-1)+MATCH(AB247,$AS$8:$AS$13,0),MATCH(O247,$AU$7:$BB$7,0))</f>
        <v/>
      </c>
    </row>
    <row r="248" ht="14.25" customHeight="1">
      <c r="O248" s="43" t="inlineStr">
        <is>
          <t>Q2’26</t>
        </is>
      </c>
      <c r="P248" s="43" t="n">
        <v>3</v>
      </c>
      <c r="Q248" s="43" t="n">
        <v>12</v>
      </c>
      <c r="R248" s="43" t="n">
        <v>1</v>
      </c>
      <c r="S248" s="45" t="n">
        <v>59.0485157475</v>
      </c>
      <c r="T248">
        <f>(S248+S249+S250)=O4</f>
        <v/>
      </c>
      <c r="X248" s="84">
        <f>MAX(S245-S248,0)</f>
        <v/>
      </c>
      <c r="Y248" s="83" t="n">
        <v>0</v>
      </c>
      <c r="AA248" s="84" t="n">
        <v>10</v>
      </c>
      <c r="AB248" s="84" t="inlineStr">
        <is>
          <t>E</t>
        </is>
      </c>
      <c r="AC248" s="84" t="inlineStr">
        <is>
          <t>E+</t>
        </is>
      </c>
      <c r="AD248" s="84" t="n">
        <v>18</v>
      </c>
      <c r="AE248" s="84" t="n">
        <v>13</v>
      </c>
      <c r="AF248" s="84" t="n">
        <v>0.76</v>
      </c>
      <c r="AG248" s="84" t="n">
        <v>0.84</v>
      </c>
      <c r="AH248" s="84" t="n">
        <v>0</v>
      </c>
      <c r="AI248" s="84" t="n">
        <v>0</v>
      </c>
      <c r="AJ248" s="84">
        <f>SUMIFS(AH$8:AH$1039,$O$8:$O$1039,O248,$AB$8:$AB$1039,AB248,$R$8:$R$1039,R248,$AA$8:$AA$1039,"&lt;="&amp;AA248)</f>
        <v/>
      </c>
      <c r="AK248" s="84">
        <f>C24</f>
        <v/>
      </c>
      <c r="AL248" s="84">
        <f>C30</f>
        <v/>
      </c>
      <c r="AM248" s="84">
        <f>MAX(0,AJ248-AK248)</f>
        <v/>
      </c>
      <c r="AN248" s="84">
        <f>IF(AM248=0,AH248,IF(AM248&gt;=AH248,0,AH248-AM248))</f>
        <v/>
      </c>
      <c r="AO248" s="84">
        <f>IF(AM248&gt;=AH248,AI248,AI248*AM248/AH248)</f>
        <v/>
      </c>
      <c r="AP248">
        <f t="array" ref="AP248">INDEX($AU$8:$BB$25,6*(R248-1)+MATCH(AB248,$AS$8:$AS$13,0),MATCH(O248,$AU$7:$BB$7,0))</f>
        <v/>
      </c>
    </row>
    <row r="249" ht="14.25" customHeight="1">
      <c r="O249" s="43" t="inlineStr">
        <is>
          <t>Q2’26</t>
        </is>
      </c>
      <c r="P249" s="43" t="n">
        <v>3</v>
      </c>
      <c r="Q249" s="43" t="n">
        <v>12</v>
      </c>
      <c r="R249" s="43" t="n">
        <v>2</v>
      </c>
      <c r="S249" s="45" t="n">
        <v>1121.844705882354</v>
      </c>
      <c r="T249">
        <f>(S248+S249+S250)=O4</f>
        <v/>
      </c>
      <c r="X249" s="84">
        <f>MAX(S246-S249,0)</f>
        <v/>
      </c>
      <c r="Y249" s="83" t="n">
        <v>0</v>
      </c>
      <c r="AA249" s="84" t="n">
        <v>10</v>
      </c>
      <c r="AB249" s="84" t="inlineStr">
        <is>
          <t>E</t>
        </is>
      </c>
      <c r="AC249" s="84" t="inlineStr">
        <is>
          <t>E+</t>
        </is>
      </c>
      <c r="AD249" s="84" t="n">
        <v>18</v>
      </c>
      <c r="AE249" s="84" t="n">
        <v>13</v>
      </c>
      <c r="AF249" s="84" t="n">
        <v>0.76</v>
      </c>
      <c r="AG249" s="84" t="n">
        <v>0.84</v>
      </c>
      <c r="AH249" s="84" t="n">
        <v>0</v>
      </c>
      <c r="AI249" s="84" t="n">
        <v>0</v>
      </c>
      <c r="AJ249" s="84">
        <f>SUMIFS(AH$8:AH$1039,$O$8:$O$1039,O249,$AB$8:$AB$1039,AB249,$R$8:$R$1039,R249,$AA$8:$AA$1039,"&lt;="&amp;AA249)</f>
        <v/>
      </c>
      <c r="AK249" s="84">
        <f>D24</f>
        <v/>
      </c>
      <c r="AL249" s="84">
        <f>D30</f>
        <v/>
      </c>
      <c r="AM249" s="84">
        <f>MAX(0,AJ249-AK249)</f>
        <v/>
      </c>
      <c r="AN249" s="84">
        <f>IF(AM249=0,AH249,IF(AM249&gt;=AH249,0,AH249-AM249))</f>
        <v/>
      </c>
      <c r="AO249" s="84">
        <f>IF(AM249&gt;=AH249,AI249,AI249*AM249/AH249)</f>
        <v/>
      </c>
      <c r="AP249">
        <f t="array" ref="AP249">INDEX($AU$8:$BB$25,6*(R249-1)+MATCH(AB249,$AS$8:$AS$13,0),MATCH(O249,$AU$7:$BB$7,0))</f>
        <v/>
      </c>
    </row>
    <row r="250" ht="14.25" customHeight="1">
      <c r="O250" s="43" t="inlineStr">
        <is>
          <t>Q2’26</t>
        </is>
      </c>
      <c r="P250" s="43" t="n">
        <v>3</v>
      </c>
      <c r="Q250" s="43" t="n">
        <v>12</v>
      </c>
      <c r="R250" s="43" t="n">
        <v>3</v>
      </c>
      <c r="S250" s="45" t="n">
        <v>3319.106778370146</v>
      </c>
      <c r="T250">
        <f>(S248+S249+S250)=O4</f>
        <v/>
      </c>
      <c r="X250" s="84">
        <f>MAX(S247-S250,0)</f>
        <v/>
      </c>
      <c r="Y250" s="83" t="n">
        <v>0</v>
      </c>
      <c r="AA250" s="84" t="n">
        <v>10</v>
      </c>
      <c r="AB250" s="84" t="inlineStr">
        <is>
          <t>E</t>
        </is>
      </c>
      <c r="AC250" s="84" t="inlineStr">
        <is>
          <t>E+</t>
        </is>
      </c>
      <c r="AD250" s="84" t="n">
        <v>18</v>
      </c>
      <c r="AE250" s="84" t="n">
        <v>13</v>
      </c>
      <c r="AF250" s="84" t="n">
        <v>0.76</v>
      </c>
      <c r="AG250" s="84" t="n">
        <v>0.84</v>
      </c>
      <c r="AH250" s="84" t="n">
        <v>0</v>
      </c>
      <c r="AI250" s="84" t="n">
        <v>0</v>
      </c>
      <c r="AJ250" s="84">
        <f>SUMIFS(AH$8:AH$1039,$O$8:$O$1039,O250,$AB$8:$AB$1039,AB250,$R$8:$R$1039,R250,$AA$8:$AA$1039,"&lt;="&amp;AA250)</f>
        <v/>
      </c>
      <c r="AK250" s="84">
        <f>E24</f>
        <v/>
      </c>
      <c r="AL250" s="84">
        <f>E30</f>
        <v/>
      </c>
      <c r="AM250" s="84">
        <f>MAX(0,AJ250-AK250)</f>
        <v/>
      </c>
      <c r="AN250" s="84">
        <f>IF(AM250=0,AH250,IF(AM250&gt;=AH250,0,AH250-AM250))</f>
        <v/>
      </c>
      <c r="AO250" s="84">
        <f>IF(AM250&gt;=AH250,AI250,AI250*AM250/AH250)</f>
        <v/>
      </c>
      <c r="AP250">
        <f t="array" ref="AP250">INDEX($AU$8:$BB$25,6*(R250-1)+MATCH(AB250,$AS$8:$AS$13,0),MATCH(O250,$AU$7:$BB$7,0))</f>
        <v/>
      </c>
    </row>
    <row r="251" ht="14.25" customHeight="1">
      <c r="O251" s="43" t="inlineStr">
        <is>
          <t>Q2’26</t>
        </is>
      </c>
      <c r="P251" s="43" t="n">
        <v>3</v>
      </c>
      <c r="Q251" s="43" t="n">
        <v>13</v>
      </c>
      <c r="R251" s="43" t="n">
        <v>1</v>
      </c>
      <c r="S251" s="45" t="n">
        <v>59.0485157475</v>
      </c>
      <c r="T251">
        <f>(S251+S252+S253)=O4</f>
        <v/>
      </c>
      <c r="X251" s="84">
        <f>MAX(S248-S251,0)</f>
        <v/>
      </c>
      <c r="Y251" s="83" t="n">
        <v>0</v>
      </c>
      <c r="AA251" s="84" t="n">
        <v>2</v>
      </c>
      <c r="AB251" s="84" t="inlineStr">
        <is>
          <t>F</t>
        </is>
      </c>
      <c r="AC251" s="84" t="inlineStr">
        <is>
          <t>F+</t>
        </is>
      </c>
      <c r="AD251" s="84" t="n">
        <v>20</v>
      </c>
      <c r="AE251" s="84" t="n">
        <v>18</v>
      </c>
      <c r="AF251" s="84" t="n">
        <v>0.8</v>
      </c>
      <c r="AG251" s="84" t="n">
        <v>0.9</v>
      </c>
      <c r="AH251" s="84" t="n">
        <v>0</v>
      </c>
      <c r="AI251" s="84" t="n">
        <v>0</v>
      </c>
      <c r="AJ251" s="84">
        <f>SUMIFS(AH$8:AH$1039,$O$8:$O$1039,O251,$AB$8:$AB$1039,AB251,$R$8:$R$1039,R251,$AA$8:$AA$1039,"&lt;="&amp;AA251)</f>
        <v/>
      </c>
      <c r="AK251" s="84">
        <f>C25</f>
        <v/>
      </c>
      <c r="AL251" s="84">
        <f>C31</f>
        <v/>
      </c>
      <c r="AM251" s="84">
        <f>MAX(0,AJ251-AK251)</f>
        <v/>
      </c>
      <c r="AN251" s="84">
        <f>IF(AM251=0,AH251,IF(AM251&gt;=AH251,0,AH251-AM251))</f>
        <v/>
      </c>
      <c r="AO251" s="84">
        <f>IF(AM251&gt;=AH251,AI251,AI251*AM251/AH251)</f>
        <v/>
      </c>
      <c r="AP251">
        <f t="array" ref="AP251">INDEX($AU$8:$BB$25,6*(R251-1)+MATCH(AB251,$AS$8:$AS$13,0),MATCH(O251,$AU$7:$BB$7,0))</f>
        <v/>
      </c>
    </row>
    <row r="252" ht="14.25" customHeight="1">
      <c r="O252" s="43" t="inlineStr">
        <is>
          <t>Q2’26</t>
        </is>
      </c>
      <c r="P252" s="43" t="n">
        <v>3</v>
      </c>
      <c r="Q252" s="43" t="n">
        <v>13</v>
      </c>
      <c r="R252" s="43" t="n">
        <v>2</v>
      </c>
      <c r="S252" s="45" t="n">
        <v>1121.844705882354</v>
      </c>
      <c r="T252">
        <f>(S251+S252+S253)=O4</f>
        <v/>
      </c>
      <c r="X252" s="84">
        <f>MAX(S249-S252,0)</f>
        <v/>
      </c>
      <c r="Y252" s="83" t="n">
        <v>0</v>
      </c>
      <c r="AA252" s="84" t="n">
        <v>2</v>
      </c>
      <c r="AB252" s="84" t="inlineStr">
        <is>
          <t>F</t>
        </is>
      </c>
      <c r="AC252" s="84" t="inlineStr">
        <is>
          <t>F+</t>
        </is>
      </c>
      <c r="AD252" s="84" t="n">
        <v>20</v>
      </c>
      <c r="AE252" s="84" t="n">
        <v>18</v>
      </c>
      <c r="AF252" s="84" t="n">
        <v>0.8</v>
      </c>
      <c r="AG252" s="84" t="n">
        <v>0.9</v>
      </c>
      <c r="AH252" s="84" t="n">
        <v>0</v>
      </c>
      <c r="AI252" s="84" t="n">
        <v>0</v>
      </c>
      <c r="AJ252" s="84">
        <f>SUMIFS(AH$8:AH$1039,$O$8:$O$1039,O252,$AB$8:$AB$1039,AB252,$R$8:$R$1039,R252,$AA$8:$AA$1039,"&lt;="&amp;AA252)</f>
        <v/>
      </c>
      <c r="AK252" s="84">
        <f>D25</f>
        <v/>
      </c>
      <c r="AL252" s="84">
        <f>D31</f>
        <v/>
      </c>
      <c r="AM252" s="84">
        <f>MAX(0,AJ252-AK252)</f>
        <v/>
      </c>
      <c r="AN252" s="84">
        <f>IF(AM252=0,AH252,IF(AM252&gt;=AH252,0,AH252-AM252))</f>
        <v/>
      </c>
      <c r="AO252" s="84">
        <f>IF(AM252&gt;=AH252,AI252,AI252*AM252/AH252)</f>
        <v/>
      </c>
      <c r="AP252">
        <f t="array" ref="AP252">INDEX($AU$8:$BB$25,6*(R252-1)+MATCH(AB252,$AS$8:$AS$13,0),MATCH(O252,$AU$7:$BB$7,0))</f>
        <v/>
      </c>
    </row>
    <row r="253" ht="14.25" customHeight="1">
      <c r="O253" s="43" t="inlineStr">
        <is>
          <t>Q2’26</t>
        </is>
      </c>
      <c r="P253" s="43" t="n">
        <v>3</v>
      </c>
      <c r="Q253" s="43" t="n">
        <v>13</v>
      </c>
      <c r="R253" s="43" t="n">
        <v>3</v>
      </c>
      <c r="S253" s="45" t="n">
        <v>3319.106778370147</v>
      </c>
      <c r="T253">
        <f>(S251+S252+S253)=O4</f>
        <v/>
      </c>
      <c r="X253" s="84">
        <f>MAX(S250-S253,0)</f>
        <v/>
      </c>
      <c r="Y253" s="83" t="n">
        <v>0</v>
      </c>
      <c r="AA253" s="84" t="n">
        <v>2</v>
      </c>
      <c r="AB253" s="84" t="inlineStr">
        <is>
          <t>F</t>
        </is>
      </c>
      <c r="AC253" s="84" t="inlineStr">
        <is>
          <t>F+</t>
        </is>
      </c>
      <c r="AD253" s="84" t="n">
        <v>20</v>
      </c>
      <c r="AE253" s="84" t="n">
        <v>18</v>
      </c>
      <c r="AF253" s="84" t="n">
        <v>0.8</v>
      </c>
      <c r="AG253" s="84" t="n">
        <v>0.9</v>
      </c>
      <c r="AH253" s="84" t="n">
        <v>0</v>
      </c>
      <c r="AI253" s="84" t="n">
        <v>0</v>
      </c>
      <c r="AJ253" s="84">
        <f>SUMIFS(AH$8:AH$1039,$O$8:$O$1039,O253,$AB$8:$AB$1039,AB253,$R$8:$R$1039,R253,$AA$8:$AA$1039,"&lt;="&amp;AA253)</f>
        <v/>
      </c>
      <c r="AK253" s="84">
        <f>E25</f>
        <v/>
      </c>
      <c r="AL253" s="84">
        <f>E31</f>
        <v/>
      </c>
      <c r="AM253" s="84">
        <f>MAX(0,AJ253-AK253)</f>
        <v/>
      </c>
      <c r="AN253" s="84">
        <f>IF(AM253=0,AH253,IF(AM253&gt;=AH253,0,AH253-AM253))</f>
        <v/>
      </c>
      <c r="AO253" s="84">
        <f>IF(AM253&gt;=AH253,AI253,AI253*AM253/AH253)</f>
        <v/>
      </c>
      <c r="AP253">
        <f t="array" ref="AP253">INDEX($AU$8:$BB$25,6*(R253-1)+MATCH(AB253,$AS$8:$AS$13,0),MATCH(O253,$AU$7:$BB$7,0))</f>
        <v/>
      </c>
    </row>
    <row r="254" ht="14.25" customHeight="1">
      <c r="O254" s="43" t="inlineStr">
        <is>
          <t>Q2’26</t>
        </is>
      </c>
      <c r="P254" s="43" t="n">
        <v>3</v>
      </c>
      <c r="Q254" s="43" t="n">
        <v>14</v>
      </c>
      <c r="R254" s="43" t="n">
        <v>1</v>
      </c>
      <c r="S254" s="45" t="n">
        <v>59.0485157475</v>
      </c>
      <c r="T254">
        <f>(S254+S255+S256)=O4</f>
        <v/>
      </c>
      <c r="X254" s="84">
        <f>MAX(S251-S254,0)</f>
        <v/>
      </c>
      <c r="Y254" s="83" t="n">
        <v>0</v>
      </c>
      <c r="AA254" s="84" t="n">
        <v>2</v>
      </c>
      <c r="AB254" s="84" t="inlineStr">
        <is>
          <t>C</t>
        </is>
      </c>
      <c r="AC254" s="84" t="inlineStr">
        <is>
          <t>C+</t>
        </is>
      </c>
      <c r="AD254" s="84" t="n">
        <v>12</v>
      </c>
      <c r="AE254" s="84" t="n">
        <v>11</v>
      </c>
      <c r="AF254" s="84" t="n">
        <v>0.8</v>
      </c>
      <c r="AG254" s="84" t="n">
        <v>0.86</v>
      </c>
      <c r="AH254" s="84" t="n">
        <v>0</v>
      </c>
      <c r="AI254" s="84" t="n">
        <v>0</v>
      </c>
      <c r="AJ254" s="84">
        <f>SUMIFS(AH$8:AH$1039,$O$8:$O$1039,O254,$AB$8:$AB$1039,AB254,$R$8:$R$1039,R254,$AA$8:$AA$1039,"&lt;="&amp;AA254)</f>
        <v/>
      </c>
      <c r="AK254" s="84">
        <f>C22</f>
        <v/>
      </c>
      <c r="AL254" s="84">
        <f>C28</f>
        <v/>
      </c>
      <c r="AM254" s="84">
        <f>MAX(0,AJ254-AK254)</f>
        <v/>
      </c>
      <c r="AN254" s="84">
        <f>IF(AM254=0,AH254,IF(AM254&gt;=AH254,0,AH254-AM254))</f>
        <v/>
      </c>
      <c r="AO254" s="84">
        <f>IF(AM254&gt;=AH254,AI254,AI254*AM254/AH254)</f>
        <v/>
      </c>
      <c r="AP254">
        <f t="array" ref="AP254">INDEX($AU$8:$BB$25,6*(R254-1)+MATCH(AB254,$AS$8:$AS$13,0),MATCH(O254,$AU$7:$BB$7,0))</f>
        <v/>
      </c>
    </row>
    <row r="255" ht="14.25" customHeight="1">
      <c r="O255" s="43" t="inlineStr">
        <is>
          <t>Q2’26</t>
        </is>
      </c>
      <c r="P255" s="43" t="n">
        <v>3</v>
      </c>
      <c r="Q255" s="43" t="n">
        <v>14</v>
      </c>
      <c r="R255" s="43" t="n">
        <v>2</v>
      </c>
      <c r="S255" s="45" t="n">
        <v>1121.844705882354</v>
      </c>
      <c r="T255">
        <f>(S254+S255+S256)=O4</f>
        <v/>
      </c>
      <c r="X255" s="84">
        <f>MAX(S252-S255,0)</f>
        <v/>
      </c>
      <c r="Y255" s="83" t="n">
        <v>0</v>
      </c>
      <c r="AA255" s="84" t="n">
        <v>2</v>
      </c>
      <c r="AB255" s="84" t="inlineStr">
        <is>
          <t>C</t>
        </is>
      </c>
      <c r="AC255" s="84" t="inlineStr">
        <is>
          <t>C+</t>
        </is>
      </c>
      <c r="AD255" s="84" t="n">
        <v>12</v>
      </c>
      <c r="AE255" s="84" t="n">
        <v>11</v>
      </c>
      <c r="AF255" s="84" t="n">
        <v>0.8</v>
      </c>
      <c r="AG255" s="84" t="n">
        <v>0.86</v>
      </c>
      <c r="AH255" s="84" t="n">
        <v>0</v>
      </c>
      <c r="AI255" s="84" t="n">
        <v>0</v>
      </c>
      <c r="AJ255" s="84">
        <f>SUMIFS(AH$8:AH$1039,$O$8:$O$1039,O255,$AB$8:$AB$1039,AB255,$R$8:$R$1039,R255,$AA$8:$AA$1039,"&lt;="&amp;AA255)</f>
        <v/>
      </c>
      <c r="AK255" s="84">
        <f>D22</f>
        <v/>
      </c>
      <c r="AL255" s="84">
        <f>D28</f>
        <v/>
      </c>
      <c r="AM255" s="84">
        <f>MAX(0,AJ255-AK255)</f>
        <v/>
      </c>
      <c r="AN255" s="84">
        <f>IF(AM255=0,AH255,IF(AM255&gt;=AH255,0,AH255-AM255))</f>
        <v/>
      </c>
      <c r="AO255" s="84">
        <f>IF(AM255&gt;=AH255,AI255,AI255*AM255/AH255)</f>
        <v/>
      </c>
      <c r="AP255">
        <f t="array" ref="AP255">INDEX($AU$8:$BB$25,6*(R255-1)+MATCH(AB255,$AS$8:$AS$13,0),MATCH(O255,$AU$7:$BB$7,0))</f>
        <v/>
      </c>
    </row>
    <row r="256" ht="14.25" customHeight="1">
      <c r="O256" s="43" t="inlineStr">
        <is>
          <t>Q2’26</t>
        </is>
      </c>
      <c r="P256" s="43" t="n">
        <v>3</v>
      </c>
      <c r="Q256" s="43" t="n">
        <v>14</v>
      </c>
      <c r="R256" s="43" t="n">
        <v>3</v>
      </c>
      <c r="S256" s="45" t="n">
        <v>3319.106778370147</v>
      </c>
      <c r="T256">
        <f>(S254+S255+S256)=O4</f>
        <v/>
      </c>
      <c r="X256" s="84">
        <f>MAX(S253-S256,0)</f>
        <v/>
      </c>
      <c r="Y256" s="83" t="n">
        <v>0</v>
      </c>
      <c r="AA256" s="84" t="n">
        <v>2</v>
      </c>
      <c r="AB256" s="84" t="inlineStr">
        <is>
          <t>C</t>
        </is>
      </c>
      <c r="AC256" s="84" t="inlineStr">
        <is>
          <t>C+</t>
        </is>
      </c>
      <c r="AD256" s="84" t="n">
        <v>12</v>
      </c>
      <c r="AE256" s="84" t="n">
        <v>11</v>
      </c>
      <c r="AF256" s="84" t="n">
        <v>0.8</v>
      </c>
      <c r="AG256" s="84" t="n">
        <v>0.86</v>
      </c>
      <c r="AH256" s="84" t="n">
        <v>0</v>
      </c>
      <c r="AI256" s="84" t="n">
        <v>0</v>
      </c>
      <c r="AJ256" s="84">
        <f>SUMIFS(AH$8:AH$1039,$O$8:$O$1039,O256,$AB$8:$AB$1039,AB256,$R$8:$R$1039,R256,$AA$8:$AA$1039,"&lt;="&amp;AA256)</f>
        <v/>
      </c>
      <c r="AK256" s="84">
        <f>E22</f>
        <v/>
      </c>
      <c r="AL256" s="84">
        <f>E28</f>
        <v/>
      </c>
      <c r="AM256" s="84">
        <f>MAX(0,AJ256-AK256)</f>
        <v/>
      </c>
      <c r="AN256" s="84">
        <f>IF(AM256=0,AH256,IF(AM256&gt;=AH256,0,AH256-AM256))</f>
        <v/>
      </c>
      <c r="AO256" s="84">
        <f>IF(AM256&gt;=AH256,AI256,AI256*AM256/AH256)</f>
        <v/>
      </c>
      <c r="AP256">
        <f t="array" ref="AP256">INDEX($AU$8:$BB$25,6*(R256-1)+MATCH(AB256,$AS$8:$AS$13,0),MATCH(O256,$AU$7:$BB$7,0))</f>
        <v/>
      </c>
    </row>
    <row r="257" ht="14.25" customHeight="1">
      <c r="O257" s="43" t="inlineStr">
        <is>
          <t>Q2’26</t>
        </is>
      </c>
      <c r="P257" s="43" t="n">
        <v>3</v>
      </c>
      <c r="Q257" s="43" t="n">
        <v>15</v>
      </c>
      <c r="R257" s="43" t="n">
        <v>1</v>
      </c>
      <c r="S257" s="45" t="n">
        <v>59.0485157475</v>
      </c>
      <c r="T257">
        <f>(S257+S258+S259)=O4</f>
        <v/>
      </c>
      <c r="X257" s="84">
        <f>MAX(S254-S257,0)</f>
        <v/>
      </c>
      <c r="Y257" s="83" t="n">
        <v>0</v>
      </c>
      <c r="AA257" s="84" t="n">
        <v>2</v>
      </c>
      <c r="AB257" s="84" t="inlineStr">
        <is>
          <t>D</t>
        </is>
      </c>
      <c r="AC257" s="84" t="inlineStr">
        <is>
          <t>D+</t>
        </is>
      </c>
      <c r="AD257" s="84" t="n">
        <v>11</v>
      </c>
      <c r="AE257" s="84" t="n">
        <v>10</v>
      </c>
      <c r="AF257" s="84" t="n">
        <v>0.8</v>
      </c>
      <c r="AG257" s="84" t="n">
        <v>0.88</v>
      </c>
      <c r="AH257" s="84" t="n">
        <v>0</v>
      </c>
      <c r="AI257" s="84" t="n">
        <v>0</v>
      </c>
      <c r="AJ257" s="84">
        <f>SUMIFS(AH$8:AH$1039,$O$8:$O$1039,O257,$AB$8:$AB$1039,AB257,$R$8:$R$1039,R257,$AA$8:$AA$1039,"&lt;="&amp;AA257)</f>
        <v/>
      </c>
      <c r="AK257" s="84">
        <f>C23</f>
        <v/>
      </c>
      <c r="AL257" s="84">
        <f>C29</f>
        <v/>
      </c>
      <c r="AM257" s="84">
        <f>MAX(0,AJ257-AK257)</f>
        <v/>
      </c>
      <c r="AN257" s="84">
        <f>IF(AM257=0,AH257,IF(AM257&gt;=AH257,0,AH257-AM257))</f>
        <v/>
      </c>
      <c r="AO257" s="84">
        <f>IF(AM257&gt;=AH257,AI257,AI257*AM257/AH257)</f>
        <v/>
      </c>
      <c r="AP257">
        <f t="array" ref="AP257">INDEX($AU$8:$BB$25,6*(R257-1)+MATCH(AB257,$AS$8:$AS$13,0),MATCH(O257,$AU$7:$BB$7,0))</f>
        <v/>
      </c>
    </row>
    <row r="258" ht="14.25" customHeight="1">
      <c r="O258" s="43" t="inlineStr">
        <is>
          <t>Q2’26</t>
        </is>
      </c>
      <c r="P258" s="43" t="n">
        <v>3</v>
      </c>
      <c r="Q258" s="43" t="n">
        <v>15</v>
      </c>
      <c r="R258" s="43" t="n">
        <v>2</v>
      </c>
      <c r="S258" s="45" t="n">
        <v>1121.844705882354</v>
      </c>
      <c r="T258">
        <f>(S257+S258+S259)=O4</f>
        <v/>
      </c>
      <c r="X258" s="84">
        <f>MAX(S255-S258,0)</f>
        <v/>
      </c>
      <c r="Y258" s="83" t="n">
        <v>0</v>
      </c>
      <c r="AA258" s="84" t="n">
        <v>2</v>
      </c>
      <c r="AB258" s="84" t="inlineStr">
        <is>
          <t>D</t>
        </is>
      </c>
      <c r="AC258" s="84" t="inlineStr">
        <is>
          <t>D+</t>
        </is>
      </c>
      <c r="AD258" s="84" t="n">
        <v>11</v>
      </c>
      <c r="AE258" s="84" t="n">
        <v>10</v>
      </c>
      <c r="AF258" s="84" t="n">
        <v>0.8</v>
      </c>
      <c r="AG258" s="84" t="n">
        <v>0.88</v>
      </c>
      <c r="AH258" s="84" t="n">
        <v>0</v>
      </c>
      <c r="AI258" s="84" t="n">
        <v>0</v>
      </c>
      <c r="AJ258" s="84">
        <f>SUMIFS(AH$8:AH$1039,$O$8:$O$1039,O258,$AB$8:$AB$1039,AB258,$R$8:$R$1039,R258,$AA$8:$AA$1039,"&lt;="&amp;AA258)</f>
        <v/>
      </c>
      <c r="AK258" s="84">
        <f>D23</f>
        <v/>
      </c>
      <c r="AL258" s="84">
        <f>D29</f>
        <v/>
      </c>
      <c r="AM258" s="84">
        <f>MAX(0,AJ258-AK258)</f>
        <v/>
      </c>
      <c r="AN258" s="84">
        <f>IF(AM258=0,AH258,IF(AM258&gt;=AH258,0,AH258-AM258))</f>
        <v/>
      </c>
      <c r="AO258" s="84">
        <f>IF(AM258&gt;=AH258,AI258,AI258*AM258/AH258)</f>
        <v/>
      </c>
      <c r="AP258">
        <f t="array" ref="AP258">INDEX($AU$8:$BB$25,6*(R258-1)+MATCH(AB258,$AS$8:$AS$13,0),MATCH(O258,$AU$7:$BB$7,0))</f>
        <v/>
      </c>
    </row>
    <row r="259" ht="14.25" customHeight="1">
      <c r="O259" s="43" t="inlineStr">
        <is>
          <t>Q2’26</t>
        </is>
      </c>
      <c r="P259" s="43" t="n">
        <v>3</v>
      </c>
      <c r="Q259" s="43" t="n">
        <v>15</v>
      </c>
      <c r="R259" s="43" t="n">
        <v>3</v>
      </c>
      <c r="S259" s="45" t="n">
        <v>3319.106778370147</v>
      </c>
      <c r="T259">
        <f>(S257+S258+S259)=O4</f>
        <v/>
      </c>
      <c r="X259" s="84">
        <f>MAX(S256-S259,0)</f>
        <v/>
      </c>
      <c r="Y259" s="83" t="n">
        <v>0</v>
      </c>
      <c r="AA259" s="84" t="n">
        <v>2</v>
      </c>
      <c r="AB259" s="84" t="inlineStr">
        <is>
          <t>D</t>
        </is>
      </c>
      <c r="AC259" s="84" t="inlineStr">
        <is>
          <t>D+</t>
        </is>
      </c>
      <c r="AD259" s="84" t="n">
        <v>11</v>
      </c>
      <c r="AE259" s="84" t="n">
        <v>10</v>
      </c>
      <c r="AF259" s="84" t="n">
        <v>0.8</v>
      </c>
      <c r="AG259" s="84" t="n">
        <v>0.88</v>
      </c>
      <c r="AH259" s="84" t="n">
        <v>0</v>
      </c>
      <c r="AI259" s="84" t="n">
        <v>0</v>
      </c>
      <c r="AJ259" s="84">
        <f>SUMIFS(AH$8:AH$1039,$O$8:$O$1039,O259,$AB$8:$AB$1039,AB259,$R$8:$R$1039,R259,$AA$8:$AA$1039,"&lt;="&amp;AA259)</f>
        <v/>
      </c>
      <c r="AK259" s="84">
        <f>E23</f>
        <v/>
      </c>
      <c r="AL259" s="84">
        <f>E29</f>
        <v/>
      </c>
      <c r="AM259" s="84">
        <f>MAX(0,AJ259-AK259)</f>
        <v/>
      </c>
      <c r="AN259" s="84">
        <f>IF(AM259=0,AH259,IF(AM259&gt;=AH259,0,AH259-AM259))</f>
        <v/>
      </c>
      <c r="AO259" s="84">
        <f>IF(AM259&gt;=AH259,AI259,AI259*AM259/AH259)</f>
        <v/>
      </c>
      <c r="AP259">
        <f t="array" ref="AP259">INDEX($AU$8:$BB$25,6*(R259-1)+MATCH(AB259,$AS$8:$AS$13,0),MATCH(O259,$AU$7:$BB$7,0))</f>
        <v/>
      </c>
    </row>
    <row r="260" ht="14.25" customHeight="1">
      <c r="O260" s="43" t="inlineStr">
        <is>
          <t>Q2’26</t>
        </is>
      </c>
      <c r="P260" s="43" t="n">
        <v>3</v>
      </c>
      <c r="Q260" s="43" t="n">
        <v>16</v>
      </c>
      <c r="R260" s="43" t="n">
        <v>1</v>
      </c>
      <c r="S260" s="45" t="n">
        <v>59.0485157475</v>
      </c>
      <c r="T260">
        <f>(S260+S261+S262)=O4</f>
        <v/>
      </c>
      <c r="X260" s="84">
        <f>MAX(S257-S260,0)</f>
        <v/>
      </c>
      <c r="Y260" s="83" t="n">
        <v>0</v>
      </c>
      <c r="AA260" s="84" t="n">
        <v>4</v>
      </c>
      <c r="AB260" s="84" t="inlineStr">
        <is>
          <t>C</t>
        </is>
      </c>
      <c r="AC260" s="84" t="inlineStr">
        <is>
          <t>C+</t>
        </is>
      </c>
      <c r="AD260" s="84" t="n">
        <v>25</v>
      </c>
      <c r="AE260" s="84" t="n">
        <v>20</v>
      </c>
      <c r="AF260" s="84" t="n">
        <v>0.8</v>
      </c>
      <c r="AG260" s="84" t="n">
        <v>0.86</v>
      </c>
      <c r="AH260" s="84" t="n">
        <v>0</v>
      </c>
      <c r="AI260" s="84" t="n">
        <v>0</v>
      </c>
      <c r="AJ260" s="84">
        <f>SUMIFS(AH$8:AH$1039,$O$8:$O$1039,O260,$AB$8:$AB$1039,AB260,$R$8:$R$1039,R260,$AA$8:$AA$1039,"&lt;="&amp;AA260)</f>
        <v/>
      </c>
      <c r="AK260" s="84">
        <f>C22</f>
        <v/>
      </c>
      <c r="AL260" s="84">
        <f>C28</f>
        <v/>
      </c>
      <c r="AM260" s="84">
        <f>MAX(0,AJ260-AK260)</f>
        <v/>
      </c>
      <c r="AN260" s="84">
        <f>IF(AM260=0,AH260,IF(AM260&gt;=AH260,0,AH260-AM260))</f>
        <v/>
      </c>
      <c r="AO260" s="84">
        <f>IF(AM260&gt;=AH260,AI260,AI260*AM260/AH260)</f>
        <v/>
      </c>
      <c r="AP260">
        <f t="array" ref="AP260">INDEX($AU$8:$BB$25,6*(R260-1)+MATCH(AB260,$AS$8:$AS$13,0),MATCH(O260,$AU$7:$BB$7,0))</f>
        <v/>
      </c>
    </row>
    <row r="261" ht="14.25" customHeight="1">
      <c r="O261" s="43" t="inlineStr">
        <is>
          <t>Q2’26</t>
        </is>
      </c>
      <c r="P261" s="43" t="n">
        <v>3</v>
      </c>
      <c r="Q261" s="43" t="n">
        <v>16</v>
      </c>
      <c r="R261" s="43" t="n">
        <v>2</v>
      </c>
      <c r="S261" s="45" t="n">
        <v>1121.844705882354</v>
      </c>
      <c r="T261">
        <f>(S260+S261+S262)=O4</f>
        <v/>
      </c>
      <c r="X261" s="84">
        <f>MAX(S258-S261,0)</f>
        <v/>
      </c>
      <c r="Y261" s="83" t="n">
        <v>0</v>
      </c>
      <c r="AA261" s="84" t="n">
        <v>4</v>
      </c>
      <c r="AB261" s="84" t="inlineStr">
        <is>
          <t>C</t>
        </is>
      </c>
      <c r="AC261" s="84" t="inlineStr">
        <is>
          <t>C+</t>
        </is>
      </c>
      <c r="AD261" s="84" t="n">
        <v>25</v>
      </c>
      <c r="AE261" s="84" t="n">
        <v>20</v>
      </c>
      <c r="AF261" s="84" t="n">
        <v>0.8</v>
      </c>
      <c r="AG261" s="84" t="n">
        <v>0.86</v>
      </c>
      <c r="AH261" s="84" t="n">
        <v>0</v>
      </c>
      <c r="AI261" s="84" t="n">
        <v>0</v>
      </c>
      <c r="AJ261" s="84">
        <f>SUMIFS(AH$8:AH$1039,$O$8:$O$1039,O261,$AB$8:$AB$1039,AB261,$R$8:$R$1039,R261,$AA$8:$AA$1039,"&lt;="&amp;AA261)</f>
        <v/>
      </c>
      <c r="AK261" s="84">
        <f>D22</f>
        <v/>
      </c>
      <c r="AL261" s="84">
        <f>D28</f>
        <v/>
      </c>
      <c r="AM261" s="84">
        <f>MAX(0,AJ261-AK261)</f>
        <v/>
      </c>
      <c r="AN261" s="84">
        <f>IF(AM261=0,AH261,IF(AM261&gt;=AH261,0,AH261-AM261))</f>
        <v/>
      </c>
      <c r="AO261" s="84">
        <f>IF(AM261&gt;=AH261,AI261,AI261*AM261/AH261)</f>
        <v/>
      </c>
      <c r="AP261">
        <f t="array" ref="AP261">INDEX($AU$8:$BB$25,6*(R261-1)+MATCH(AB261,$AS$8:$AS$13,0),MATCH(O261,$AU$7:$BB$7,0))</f>
        <v/>
      </c>
    </row>
    <row r="262" ht="14.25" customHeight="1">
      <c r="O262" s="43" t="inlineStr">
        <is>
          <t>Q2’26</t>
        </is>
      </c>
      <c r="P262" s="43" t="n">
        <v>3</v>
      </c>
      <c r="Q262" s="43" t="n">
        <v>16</v>
      </c>
      <c r="R262" s="43" t="n">
        <v>3</v>
      </c>
      <c r="S262" s="45" t="n">
        <v>3319.106778370147</v>
      </c>
      <c r="T262">
        <f>(S260+S261+S262)=O4</f>
        <v/>
      </c>
      <c r="X262" s="84">
        <f>MAX(S259-S262,0)</f>
        <v/>
      </c>
      <c r="Y262" s="83" t="n">
        <v>0</v>
      </c>
      <c r="AA262" s="84" t="n">
        <v>4</v>
      </c>
      <c r="AB262" s="84" t="inlineStr">
        <is>
          <t>C</t>
        </is>
      </c>
      <c r="AC262" s="84" t="inlineStr">
        <is>
          <t>C+</t>
        </is>
      </c>
      <c r="AD262" s="84" t="n">
        <v>25</v>
      </c>
      <c r="AE262" s="84" t="n">
        <v>20</v>
      </c>
      <c r="AF262" s="84" t="n">
        <v>0.8</v>
      </c>
      <c r="AG262" s="84" t="n">
        <v>0.86</v>
      </c>
      <c r="AH262" s="84" t="n">
        <v>0</v>
      </c>
      <c r="AI262" s="84" t="n">
        <v>0</v>
      </c>
      <c r="AJ262" s="84">
        <f>SUMIFS(AH$8:AH$1039,$O$8:$O$1039,O262,$AB$8:$AB$1039,AB262,$R$8:$R$1039,R262,$AA$8:$AA$1039,"&lt;="&amp;AA262)</f>
        <v/>
      </c>
      <c r="AK262" s="84">
        <f>E22</f>
        <v/>
      </c>
      <c r="AL262" s="84">
        <f>E28</f>
        <v/>
      </c>
      <c r="AM262" s="84">
        <f>MAX(0,AJ262-AK262)</f>
        <v/>
      </c>
      <c r="AN262" s="84">
        <f>IF(AM262=0,AH262,IF(AM262&gt;=AH262,0,AH262-AM262))</f>
        <v/>
      </c>
      <c r="AO262" s="84">
        <f>IF(AM262&gt;=AH262,AI262,AI262*AM262/AH262)</f>
        <v/>
      </c>
      <c r="AP262">
        <f t="array" ref="AP262">INDEX($AU$8:$BB$25,6*(R262-1)+MATCH(AB262,$AS$8:$AS$13,0),MATCH(O262,$AU$7:$BB$7,0))</f>
        <v/>
      </c>
    </row>
    <row r="263" ht="14.25" customHeight="1">
      <c r="O263" s="43" t="inlineStr">
        <is>
          <t>Q2’26</t>
        </is>
      </c>
      <c r="P263" s="43" t="n">
        <v>3</v>
      </c>
      <c r="Q263" s="43" t="n">
        <v>17</v>
      </c>
      <c r="R263" s="43" t="n">
        <v>1</v>
      </c>
      <c r="S263" s="45" t="n">
        <v>59.0485157475</v>
      </c>
      <c r="T263">
        <f>(S263+S264+S265)=O4</f>
        <v/>
      </c>
      <c r="X263" s="84">
        <f>MAX(S260-S263,0)</f>
        <v/>
      </c>
      <c r="Y263" s="83" t="n">
        <v>0</v>
      </c>
      <c r="AA263" s="84" t="n">
        <v>1</v>
      </c>
      <c r="AB263" s="84" t="inlineStr">
        <is>
          <t>F</t>
        </is>
      </c>
      <c r="AC263" s="84" t="inlineStr">
        <is>
          <t>F+</t>
        </is>
      </c>
      <c r="AD263" s="84" t="n">
        <v>14</v>
      </c>
      <c r="AE263" s="84" t="n">
        <v>13</v>
      </c>
      <c r="AF263" s="84" t="n">
        <v>0.8</v>
      </c>
      <c r="AG263" s="84" t="n">
        <v>0.9</v>
      </c>
      <c r="AH263" s="84" t="n">
        <v>0</v>
      </c>
      <c r="AI263" s="84" t="n">
        <v>0</v>
      </c>
      <c r="AJ263" s="84">
        <f>SUMIFS(AH$8:AH$1039,$O$8:$O$1039,O263,$AB$8:$AB$1039,AB263,$R$8:$R$1039,R263,$AA$8:$AA$1039,"&lt;="&amp;AA263)</f>
        <v/>
      </c>
      <c r="AK263" s="84">
        <f>C25</f>
        <v/>
      </c>
      <c r="AL263" s="84">
        <f>C31</f>
        <v/>
      </c>
      <c r="AM263" s="84">
        <f>MAX(0,AJ263-AK263)</f>
        <v/>
      </c>
      <c r="AN263" s="84">
        <f>IF(AM263=0,AH263,IF(AM263&gt;=AH263,0,AH263-AM263))</f>
        <v/>
      </c>
      <c r="AO263" s="84">
        <f>IF(AM263&gt;=AH263,AI263,AI263*AM263/AH263)</f>
        <v/>
      </c>
      <c r="AP263">
        <f t="array" ref="AP263">INDEX($AU$8:$BB$25,6*(R263-1)+MATCH(AB263,$AS$8:$AS$13,0),MATCH(O263,$AU$7:$BB$7,0))</f>
        <v/>
      </c>
    </row>
    <row r="264" ht="14.25" customHeight="1">
      <c r="O264" s="43" t="inlineStr">
        <is>
          <t>Q2’26</t>
        </is>
      </c>
      <c r="P264" s="43" t="n">
        <v>3</v>
      </c>
      <c r="Q264" s="43" t="n">
        <v>17</v>
      </c>
      <c r="R264" s="43" t="n">
        <v>2</v>
      </c>
      <c r="S264" s="45" t="n">
        <v>1121.844705882354</v>
      </c>
      <c r="T264">
        <f>(S263+S264+S265)=O4</f>
        <v/>
      </c>
      <c r="X264" s="84">
        <f>MAX(S261-S264,0)</f>
        <v/>
      </c>
      <c r="Y264" s="83" t="n">
        <v>0</v>
      </c>
      <c r="AA264" s="84" t="n">
        <v>1</v>
      </c>
      <c r="AB264" s="84" t="inlineStr">
        <is>
          <t>F</t>
        </is>
      </c>
      <c r="AC264" s="84" t="inlineStr">
        <is>
          <t>F+</t>
        </is>
      </c>
      <c r="AD264" s="84" t="n">
        <v>14</v>
      </c>
      <c r="AE264" s="84" t="n">
        <v>13</v>
      </c>
      <c r="AF264" s="84" t="n">
        <v>0.8</v>
      </c>
      <c r="AG264" s="84" t="n">
        <v>0.9</v>
      </c>
      <c r="AH264" s="84" t="n">
        <v>0</v>
      </c>
      <c r="AI264" s="84" t="n">
        <v>0</v>
      </c>
      <c r="AJ264" s="84">
        <f>SUMIFS(AH$8:AH$1039,$O$8:$O$1039,O264,$AB$8:$AB$1039,AB264,$R$8:$R$1039,R264,$AA$8:$AA$1039,"&lt;="&amp;AA264)</f>
        <v/>
      </c>
      <c r="AK264" s="84">
        <f>D25</f>
        <v/>
      </c>
      <c r="AL264" s="84">
        <f>D31</f>
        <v/>
      </c>
      <c r="AM264" s="84">
        <f>MAX(0,AJ264-AK264)</f>
        <v/>
      </c>
      <c r="AN264" s="84">
        <f>IF(AM264=0,AH264,IF(AM264&gt;=AH264,0,AH264-AM264))</f>
        <v/>
      </c>
      <c r="AO264" s="84">
        <f>IF(AM264&gt;=AH264,AI264,AI264*AM264/AH264)</f>
        <v/>
      </c>
      <c r="AP264">
        <f t="array" ref="AP264">INDEX($AU$8:$BB$25,6*(R264-1)+MATCH(AB264,$AS$8:$AS$13,0),MATCH(O264,$AU$7:$BB$7,0))</f>
        <v/>
      </c>
    </row>
    <row r="265" ht="14.25" customHeight="1">
      <c r="O265" s="43" t="inlineStr">
        <is>
          <t>Q2’26</t>
        </is>
      </c>
      <c r="P265" s="43" t="n">
        <v>3</v>
      </c>
      <c r="Q265" s="43" t="n">
        <v>17</v>
      </c>
      <c r="R265" s="43" t="n">
        <v>3</v>
      </c>
      <c r="S265" s="45" t="n">
        <v>3319.106778370147</v>
      </c>
      <c r="T265">
        <f>(S263+S264+S265)=O4</f>
        <v/>
      </c>
      <c r="X265" s="84">
        <f>MAX(S262-S265,0)</f>
        <v/>
      </c>
      <c r="Y265" s="83" t="n">
        <v>0</v>
      </c>
      <c r="AA265" s="84" t="n">
        <v>1</v>
      </c>
      <c r="AB265" s="84" t="inlineStr">
        <is>
          <t>F</t>
        </is>
      </c>
      <c r="AC265" s="84" t="inlineStr">
        <is>
          <t>F+</t>
        </is>
      </c>
      <c r="AD265" s="84" t="n">
        <v>14</v>
      </c>
      <c r="AE265" s="84" t="n">
        <v>13</v>
      </c>
      <c r="AF265" s="84" t="n">
        <v>0.8</v>
      </c>
      <c r="AG265" s="84" t="n">
        <v>0.9</v>
      </c>
      <c r="AH265" s="84" t="n">
        <v>0</v>
      </c>
      <c r="AI265" s="84" t="n">
        <v>0</v>
      </c>
      <c r="AJ265" s="84">
        <f>SUMIFS(AH$8:AH$1039,$O$8:$O$1039,O265,$AB$8:$AB$1039,AB265,$R$8:$R$1039,R265,$AA$8:$AA$1039,"&lt;="&amp;AA265)</f>
        <v/>
      </c>
      <c r="AK265" s="84">
        <f>E25</f>
        <v/>
      </c>
      <c r="AL265" s="84">
        <f>E31</f>
        <v/>
      </c>
      <c r="AM265" s="84">
        <f>MAX(0,AJ265-AK265)</f>
        <v/>
      </c>
      <c r="AN265" s="84">
        <f>IF(AM265=0,AH265,IF(AM265&gt;=AH265,0,AH265-AM265))</f>
        <v/>
      </c>
      <c r="AO265" s="84">
        <f>IF(AM265&gt;=AH265,AI265,AI265*AM265/AH265)</f>
        <v/>
      </c>
      <c r="AP265">
        <f t="array" ref="AP265">INDEX($AU$8:$BB$25,6*(R265-1)+MATCH(AB265,$AS$8:$AS$13,0),MATCH(O265,$AU$7:$BB$7,0))</f>
        <v/>
      </c>
    </row>
    <row r="266" ht="14.25" customHeight="1">
      <c r="O266" s="43" t="inlineStr">
        <is>
          <t>Q3’26</t>
        </is>
      </c>
      <c r="P266" s="43" t="n">
        <v>1</v>
      </c>
      <c r="Q266" s="43" t="n">
        <v>1</v>
      </c>
      <c r="R266" s="43" t="n">
        <v>1</v>
      </c>
      <c r="S266" s="45" t="n">
        <v>5555.62762450778</v>
      </c>
      <c r="T266">
        <f>(S266+S267+S268)=P2</f>
        <v/>
      </c>
      <c r="X266" s="84" t="n">
        <v>0</v>
      </c>
      <c r="Y266" s="83" t="n">
        <v>0</v>
      </c>
      <c r="AA266" s="84" t="n">
        <v>4</v>
      </c>
      <c r="AB266" s="84" t="inlineStr">
        <is>
          <t>D</t>
        </is>
      </c>
      <c r="AC266" s="84" t="inlineStr">
        <is>
          <t>D+</t>
        </is>
      </c>
      <c r="AD266" s="84" t="n">
        <v>14</v>
      </c>
      <c r="AE266" s="84" t="n">
        <v>12</v>
      </c>
      <c r="AF266" s="84" t="n">
        <v>0.8</v>
      </c>
      <c r="AG266" s="84" t="n">
        <v>0.88</v>
      </c>
      <c r="AH266" s="84" t="n">
        <v>0</v>
      </c>
      <c r="AI266" s="84" t="n">
        <v>0</v>
      </c>
      <c r="AJ266" s="84">
        <f>SUMIFS(AH$8:AH$1039,$O$8:$O$1039,O266,$AB$8:$AB$1039,AB266,$R$8:$R$1039,R266,$AA$8:$AA$1039,"&lt;="&amp;AA266)</f>
        <v/>
      </c>
      <c r="AK266" s="84">
        <f>C35</f>
        <v/>
      </c>
      <c r="AL266" s="84">
        <f>C41</f>
        <v/>
      </c>
      <c r="AM266" s="84">
        <f>MAX(0,AJ266-AK266)</f>
        <v/>
      </c>
      <c r="AN266" s="84">
        <f>IF(AM266=0,AH266,IF(AM266&gt;=AH266,0,AH266-AM266))</f>
        <v/>
      </c>
      <c r="AO266" s="84">
        <f>IF(AM266&gt;=AH266,AI266,AI266*AM266/AH266)</f>
        <v/>
      </c>
      <c r="AP266">
        <f t="array" ref="AP266">INDEX($AU$8:$BB$25,6*(R266-1)+MATCH(AB266,$AS$8:$AS$13,0),MATCH(O266,$AU$7:$BB$7,0))</f>
        <v/>
      </c>
    </row>
    <row r="267" ht="14.25" customHeight="1">
      <c r="O267" s="43" t="inlineStr">
        <is>
          <t>Q3’26</t>
        </is>
      </c>
      <c r="P267" s="43" t="n">
        <v>1</v>
      </c>
      <c r="Q267" s="43" t="n">
        <v>1</v>
      </c>
      <c r="R267" s="43" t="n">
        <v>2</v>
      </c>
      <c r="S267" s="45" t="n">
        <v>2079.734938508095</v>
      </c>
      <c r="T267">
        <f>(S266+S267+S268)=P2</f>
        <v/>
      </c>
      <c r="X267" s="84" t="n">
        <v>0</v>
      </c>
      <c r="Y267" s="83" t="n">
        <v>0</v>
      </c>
      <c r="AA267" s="84" t="n">
        <v>4</v>
      </c>
      <c r="AB267" s="84" t="inlineStr">
        <is>
          <t>D</t>
        </is>
      </c>
      <c r="AC267" s="84" t="inlineStr">
        <is>
          <t>D+</t>
        </is>
      </c>
      <c r="AD267" s="84" t="n">
        <v>14</v>
      </c>
      <c r="AE267" s="84" t="n">
        <v>12</v>
      </c>
      <c r="AF267" s="84" t="n">
        <v>0.8</v>
      </c>
      <c r="AG267" s="84" t="n">
        <v>0.88</v>
      </c>
      <c r="AH267" s="84" t="n">
        <v>0</v>
      </c>
      <c r="AI267" s="84" t="n">
        <v>0</v>
      </c>
      <c r="AJ267" s="84">
        <f>SUMIFS(AH$8:AH$1039,$O$8:$O$1039,O267,$AB$8:$AB$1039,AB267,$R$8:$R$1039,R267,$AA$8:$AA$1039,"&lt;="&amp;AA267)</f>
        <v/>
      </c>
      <c r="AK267" s="84">
        <f>D35</f>
        <v/>
      </c>
      <c r="AL267" s="84">
        <f>D41</f>
        <v/>
      </c>
      <c r="AM267" s="84">
        <f>MAX(0,AJ267-AK267)</f>
        <v/>
      </c>
      <c r="AN267" s="84">
        <f>IF(AM267=0,AH267,IF(AM267&gt;=AH267,0,AH267-AM267))</f>
        <v/>
      </c>
      <c r="AO267" s="84">
        <f>IF(AM267&gt;=AH267,AI267,AI267*AM267/AH267)</f>
        <v/>
      </c>
      <c r="AP267">
        <f t="array" ref="AP267">INDEX($AU$8:$BB$25,6*(R267-1)+MATCH(AB267,$AS$8:$AS$13,0),MATCH(O267,$AU$7:$BB$7,0))</f>
        <v/>
      </c>
    </row>
    <row r="268" ht="14.25" customHeight="1">
      <c r="O268" s="43" t="inlineStr">
        <is>
          <t>Q3’26</t>
        </is>
      </c>
      <c r="P268" s="43" t="n">
        <v>1</v>
      </c>
      <c r="Q268" s="43" t="n">
        <v>1</v>
      </c>
      <c r="R268" s="43" t="n">
        <v>3</v>
      </c>
      <c r="S268" s="45" t="n">
        <v>864.637436984126</v>
      </c>
      <c r="T268">
        <f>(S266+S267+S268)=P2</f>
        <v/>
      </c>
      <c r="X268" s="84" t="n">
        <v>0</v>
      </c>
      <c r="Y268" s="83" t="n">
        <v>0</v>
      </c>
      <c r="AA268" s="84" t="n">
        <v>4</v>
      </c>
      <c r="AB268" s="84" t="inlineStr">
        <is>
          <t>D</t>
        </is>
      </c>
      <c r="AC268" s="84" t="inlineStr">
        <is>
          <t>D+</t>
        </is>
      </c>
      <c r="AD268" s="84" t="n">
        <v>14</v>
      </c>
      <c r="AE268" s="84" t="n">
        <v>12</v>
      </c>
      <c r="AF268" s="84" t="n">
        <v>0.8</v>
      </c>
      <c r="AG268" s="84" t="n">
        <v>0.88</v>
      </c>
      <c r="AH268" s="84" t="n">
        <v>0</v>
      </c>
      <c r="AI268" s="84" t="n">
        <v>0</v>
      </c>
      <c r="AJ268" s="84">
        <f>SUMIFS(AH$8:AH$1039,$O$8:$O$1039,O268,$AB$8:$AB$1039,AB268,$R$8:$R$1039,R268,$AA$8:$AA$1039,"&lt;="&amp;AA268)</f>
        <v/>
      </c>
      <c r="AK268" s="84">
        <f>E35</f>
        <v/>
      </c>
      <c r="AL268" s="84">
        <f>E41</f>
        <v/>
      </c>
      <c r="AM268" s="84">
        <f>MAX(0,AJ268-AK268)</f>
        <v/>
      </c>
      <c r="AN268" s="84">
        <f>IF(AM268=0,AH268,IF(AM268&gt;=AH268,0,AH268-AM268))</f>
        <v/>
      </c>
      <c r="AO268" s="84">
        <f>IF(AM268&gt;=AH268,AI268,AI268*AM268/AH268)</f>
        <v/>
      </c>
      <c r="AP268">
        <f t="array" ref="AP268">INDEX($AU$8:$BB$25,6*(R268-1)+MATCH(AB268,$AS$8:$AS$13,0),MATCH(O268,$AU$7:$BB$7,0))</f>
        <v/>
      </c>
    </row>
    <row r="269" ht="14.25" customHeight="1">
      <c r="O269" s="43" t="inlineStr">
        <is>
          <t>Q3’26</t>
        </is>
      </c>
      <c r="P269" s="43" t="n">
        <v>1</v>
      </c>
      <c r="Q269" s="43" t="n">
        <v>2</v>
      </c>
      <c r="R269" s="43" t="n">
        <v>1</v>
      </c>
      <c r="S269" s="45" t="n">
        <v>5555.62762450778</v>
      </c>
      <c r="T269">
        <f>(S269+S270+S271)=P2</f>
        <v/>
      </c>
      <c r="X269" s="84">
        <f>MAX(S266-S269,0)</f>
        <v/>
      </c>
      <c r="Y269" s="83" t="n">
        <v>0</v>
      </c>
      <c r="AA269" s="84" t="n">
        <v>10</v>
      </c>
      <c r="AB269" s="84" t="inlineStr">
        <is>
          <t>F</t>
        </is>
      </c>
      <c r="AC269" s="84" t="inlineStr">
        <is>
          <t>F+</t>
        </is>
      </c>
      <c r="AD269" s="84" t="n">
        <v>25</v>
      </c>
      <c r="AE269" s="84" t="n">
        <v>21</v>
      </c>
      <c r="AF269" s="84" t="n">
        <v>0.8</v>
      </c>
      <c r="AG269" s="84" t="n">
        <v>0.9</v>
      </c>
      <c r="AH269" s="84" t="n">
        <v>0</v>
      </c>
      <c r="AI269" s="84" t="n">
        <v>0</v>
      </c>
      <c r="AJ269" s="84">
        <f>SUMIFS(AH$8:AH$1039,$O$8:$O$1039,O269,$AB$8:$AB$1039,AB269,$R$8:$R$1039,R269,$AA$8:$AA$1039,"&lt;="&amp;AA269)</f>
        <v/>
      </c>
      <c r="AK269" s="84">
        <f>C37</f>
        <v/>
      </c>
      <c r="AL269" s="84">
        <f>C43</f>
        <v/>
      </c>
      <c r="AM269" s="84">
        <f>MAX(0,AJ269-AK269)</f>
        <v/>
      </c>
      <c r="AN269" s="84">
        <f>IF(AM269=0,AH269,IF(AM269&gt;=AH269,0,AH269-AM269))</f>
        <v/>
      </c>
      <c r="AO269" s="84">
        <f>IF(AM269&gt;=AH269,AI269,AI269*AM269/AH269)</f>
        <v/>
      </c>
      <c r="AP269">
        <f t="array" ref="AP269">INDEX($AU$8:$BB$25,6*(R269-1)+MATCH(AB269,$AS$8:$AS$13,0),MATCH(O269,$AU$7:$BB$7,0))</f>
        <v/>
      </c>
    </row>
    <row r="270" ht="14.25" customHeight="1">
      <c r="O270" s="43" t="inlineStr">
        <is>
          <t>Q3’26</t>
        </is>
      </c>
      <c r="P270" s="43" t="n">
        <v>1</v>
      </c>
      <c r="Q270" s="43" t="n">
        <v>2</v>
      </c>
      <c r="R270" s="43" t="n">
        <v>2</v>
      </c>
      <c r="S270" s="45" t="n">
        <v>2079.734938508095</v>
      </c>
      <c r="T270">
        <f>(S269+S270+S271)=P2</f>
        <v/>
      </c>
      <c r="X270" s="84">
        <f>MAX(S267-S270,0)</f>
        <v/>
      </c>
      <c r="Y270" s="83" t="n">
        <v>0</v>
      </c>
      <c r="AA270" s="84" t="n">
        <v>10</v>
      </c>
      <c r="AB270" s="84" t="inlineStr">
        <is>
          <t>F</t>
        </is>
      </c>
      <c r="AC270" s="84" t="inlineStr">
        <is>
          <t>F+</t>
        </is>
      </c>
      <c r="AD270" s="84" t="n">
        <v>25</v>
      </c>
      <c r="AE270" s="84" t="n">
        <v>21</v>
      </c>
      <c r="AF270" s="84" t="n">
        <v>0.8</v>
      </c>
      <c r="AG270" s="84" t="n">
        <v>0.9</v>
      </c>
      <c r="AH270" s="84" t="n">
        <v>0</v>
      </c>
      <c r="AI270" s="84" t="n">
        <v>0</v>
      </c>
      <c r="AJ270" s="84">
        <f>SUMIFS(AH$8:AH$1039,$O$8:$O$1039,O270,$AB$8:$AB$1039,AB270,$R$8:$R$1039,R270,$AA$8:$AA$1039,"&lt;="&amp;AA270)</f>
        <v/>
      </c>
      <c r="AK270" s="84">
        <f>D37</f>
        <v/>
      </c>
      <c r="AL270" s="84">
        <f>D43</f>
        <v/>
      </c>
      <c r="AM270" s="84">
        <f>MAX(0,AJ270-AK270)</f>
        <v/>
      </c>
      <c r="AN270" s="84">
        <f>IF(AM270=0,AH270,IF(AM270&gt;=AH270,0,AH270-AM270))</f>
        <v/>
      </c>
      <c r="AO270" s="84">
        <f>IF(AM270&gt;=AH270,AI270,AI270*AM270/AH270)</f>
        <v/>
      </c>
      <c r="AP270">
        <f t="array" ref="AP270">INDEX($AU$8:$BB$25,6*(R270-1)+MATCH(AB270,$AS$8:$AS$13,0),MATCH(O270,$AU$7:$BB$7,0))</f>
        <v/>
      </c>
    </row>
    <row r="271" ht="14.25" customHeight="1">
      <c r="O271" s="43" t="inlineStr">
        <is>
          <t>Q3’26</t>
        </is>
      </c>
      <c r="P271" s="43" t="n">
        <v>1</v>
      </c>
      <c r="Q271" s="43" t="n">
        <v>2</v>
      </c>
      <c r="R271" s="43" t="n">
        <v>3</v>
      </c>
      <c r="S271" s="45" t="n">
        <v>864.637436984125</v>
      </c>
      <c r="T271">
        <f>(S269+S270+S271)=P2</f>
        <v/>
      </c>
      <c r="X271" s="84">
        <f>MAX(S268-S271,0)</f>
        <v/>
      </c>
      <c r="Y271" s="83" t="n">
        <v>0</v>
      </c>
      <c r="AA271" s="84" t="n">
        <v>10</v>
      </c>
      <c r="AB271" s="84" t="inlineStr">
        <is>
          <t>F</t>
        </is>
      </c>
      <c r="AC271" s="84" t="inlineStr">
        <is>
          <t>F+</t>
        </is>
      </c>
      <c r="AD271" s="84" t="n">
        <v>25</v>
      </c>
      <c r="AE271" s="84" t="n">
        <v>21</v>
      </c>
      <c r="AF271" s="84" t="n">
        <v>0.8</v>
      </c>
      <c r="AG271" s="84" t="n">
        <v>0.9</v>
      </c>
      <c r="AH271" s="84" t="n">
        <v>0</v>
      </c>
      <c r="AI271" s="84" t="n">
        <v>0</v>
      </c>
      <c r="AJ271" s="84">
        <f>SUMIFS(AH$8:AH$1039,$O$8:$O$1039,O271,$AB$8:$AB$1039,AB271,$R$8:$R$1039,R271,$AA$8:$AA$1039,"&lt;="&amp;AA271)</f>
        <v/>
      </c>
      <c r="AK271" s="84">
        <f>E37</f>
        <v/>
      </c>
      <c r="AL271" s="84">
        <f>E43</f>
        <v/>
      </c>
      <c r="AM271" s="84">
        <f>MAX(0,AJ271-AK271)</f>
        <v/>
      </c>
      <c r="AN271" s="84">
        <f>IF(AM271=0,AH271,IF(AM271&gt;=AH271,0,AH271-AM271))</f>
        <v/>
      </c>
      <c r="AO271" s="84">
        <f>IF(AM271&gt;=AH271,AI271,AI271*AM271/AH271)</f>
        <v/>
      </c>
      <c r="AP271">
        <f t="array" ref="AP271">INDEX($AU$8:$BB$25,6*(R271-1)+MATCH(AB271,$AS$8:$AS$13,0),MATCH(O271,$AU$7:$BB$7,0))</f>
        <v/>
      </c>
    </row>
    <row r="272" ht="14.25" customHeight="1">
      <c r="O272" s="43" t="inlineStr">
        <is>
          <t>Q3’26</t>
        </is>
      </c>
      <c r="P272" s="43" t="n">
        <v>1</v>
      </c>
      <c r="Q272" s="43" t="n">
        <v>3</v>
      </c>
      <c r="R272" s="43" t="n">
        <v>1</v>
      </c>
      <c r="S272" s="45" t="n">
        <v>5555.62762450778</v>
      </c>
      <c r="T272">
        <f>(S272+S273+S274)=P2</f>
        <v/>
      </c>
      <c r="X272" s="84">
        <f>MAX(S269-S272,0)</f>
        <v/>
      </c>
      <c r="Y272" s="83" t="n">
        <v>0</v>
      </c>
      <c r="AA272" s="84" t="n">
        <v>8</v>
      </c>
      <c r="AB272" s="84" t="inlineStr">
        <is>
          <t>F</t>
        </is>
      </c>
      <c r="AC272" s="84" t="inlineStr">
        <is>
          <t>F+</t>
        </is>
      </c>
      <c r="AD272" s="84" t="n">
        <v>27</v>
      </c>
      <c r="AE272" s="84" t="n">
        <v>23</v>
      </c>
      <c r="AF272" s="84" t="n">
        <v>0.8</v>
      </c>
      <c r="AG272" s="84" t="n">
        <v>0.9</v>
      </c>
      <c r="AH272" s="84" t="n">
        <v>0</v>
      </c>
      <c r="AI272" s="84" t="n">
        <v>0</v>
      </c>
      <c r="AJ272" s="84">
        <f>SUMIFS(AH$8:AH$1039,$O$8:$O$1039,O272,$AB$8:$AB$1039,AB272,$R$8:$R$1039,R272,$AA$8:$AA$1039,"&lt;="&amp;AA272)</f>
        <v/>
      </c>
      <c r="AK272" s="84">
        <f>C37</f>
        <v/>
      </c>
      <c r="AL272" s="84">
        <f>C43</f>
        <v/>
      </c>
      <c r="AM272" s="84">
        <f>MAX(0,AJ272-AK272)</f>
        <v/>
      </c>
      <c r="AN272" s="84">
        <f>IF(AM272=0,AH272,IF(AM272&gt;=AH272,0,AH272-AM272))</f>
        <v/>
      </c>
      <c r="AO272" s="84">
        <f>IF(AM272&gt;=AH272,AI272,AI272*AM272/AH272)</f>
        <v/>
      </c>
      <c r="AP272">
        <f t="array" ref="AP272">INDEX($AU$8:$BB$25,6*(R272-1)+MATCH(AB272,$AS$8:$AS$13,0),MATCH(O272,$AU$7:$BB$7,0))</f>
        <v/>
      </c>
    </row>
    <row r="273" ht="14.25" customHeight="1">
      <c r="O273" s="43" t="inlineStr">
        <is>
          <t>Q3’26</t>
        </is>
      </c>
      <c r="P273" s="43" t="n">
        <v>1</v>
      </c>
      <c r="Q273" s="43" t="n">
        <v>3</v>
      </c>
      <c r="R273" s="43" t="n">
        <v>2</v>
      </c>
      <c r="S273" s="45" t="n">
        <v>2079.734938508095</v>
      </c>
      <c r="T273">
        <f>(S272+S273+S274)=P2</f>
        <v/>
      </c>
      <c r="X273" s="84">
        <f>MAX(S270-S273,0)</f>
        <v/>
      </c>
      <c r="Y273" s="83" t="n">
        <v>0</v>
      </c>
      <c r="AA273" s="84" t="n">
        <v>8</v>
      </c>
      <c r="AB273" s="84" t="inlineStr">
        <is>
          <t>F</t>
        </is>
      </c>
      <c r="AC273" s="84" t="inlineStr">
        <is>
          <t>F+</t>
        </is>
      </c>
      <c r="AD273" s="84" t="n">
        <v>27</v>
      </c>
      <c r="AE273" s="84" t="n">
        <v>23</v>
      </c>
      <c r="AF273" s="84" t="n">
        <v>0.8</v>
      </c>
      <c r="AG273" s="84" t="n">
        <v>0.9</v>
      </c>
      <c r="AH273" s="84" t="n">
        <v>0</v>
      </c>
      <c r="AI273" s="84" t="n">
        <v>0</v>
      </c>
      <c r="AJ273" s="84">
        <f>SUMIFS(AH$8:AH$1039,$O$8:$O$1039,O273,$AB$8:$AB$1039,AB273,$R$8:$R$1039,R273,$AA$8:$AA$1039,"&lt;="&amp;AA273)</f>
        <v/>
      </c>
      <c r="AK273" s="84">
        <f>D37</f>
        <v/>
      </c>
      <c r="AL273" s="84">
        <f>D43</f>
        <v/>
      </c>
      <c r="AM273" s="84">
        <f>MAX(0,AJ273-AK273)</f>
        <v/>
      </c>
      <c r="AN273" s="84">
        <f>IF(AM273=0,AH273,IF(AM273&gt;=AH273,0,AH273-AM273))</f>
        <v/>
      </c>
      <c r="AO273" s="84">
        <f>IF(AM273&gt;=AH273,AI273,AI273*AM273/AH273)</f>
        <v/>
      </c>
      <c r="AP273">
        <f t="array" ref="AP273">INDEX($AU$8:$BB$25,6*(R273-1)+MATCH(AB273,$AS$8:$AS$13,0),MATCH(O273,$AU$7:$BB$7,0))</f>
        <v/>
      </c>
    </row>
    <row r="274" ht="14.25" customHeight="1">
      <c r="O274" s="43" t="inlineStr">
        <is>
          <t>Q3’26</t>
        </is>
      </c>
      <c r="P274" s="43" t="n">
        <v>1</v>
      </c>
      <c r="Q274" s="43" t="n">
        <v>3</v>
      </c>
      <c r="R274" s="43" t="n">
        <v>3</v>
      </c>
      <c r="S274" s="45" t="n">
        <v>864.637436984125</v>
      </c>
      <c r="T274">
        <f>(S272+S273+S274)=P2</f>
        <v/>
      </c>
      <c r="X274" s="84">
        <f>MAX(S271-S274,0)</f>
        <v/>
      </c>
      <c r="Y274" s="83" t="n">
        <v>0</v>
      </c>
      <c r="AA274" s="84" t="n">
        <v>8</v>
      </c>
      <c r="AB274" s="84" t="inlineStr">
        <is>
          <t>F</t>
        </is>
      </c>
      <c r="AC274" s="84" t="inlineStr">
        <is>
          <t>F+</t>
        </is>
      </c>
      <c r="AD274" s="84" t="n">
        <v>27</v>
      </c>
      <c r="AE274" s="84" t="n">
        <v>23</v>
      </c>
      <c r="AF274" s="84" t="n">
        <v>0.8</v>
      </c>
      <c r="AG274" s="84" t="n">
        <v>0.9</v>
      </c>
      <c r="AH274" s="84" t="n">
        <v>0</v>
      </c>
      <c r="AI274" s="84" t="n">
        <v>0</v>
      </c>
      <c r="AJ274" s="84">
        <f>SUMIFS(AH$8:AH$1039,$O$8:$O$1039,O274,$AB$8:$AB$1039,AB274,$R$8:$R$1039,R274,$AA$8:$AA$1039,"&lt;="&amp;AA274)</f>
        <v/>
      </c>
      <c r="AK274" s="84">
        <f>E37</f>
        <v/>
      </c>
      <c r="AL274" s="84">
        <f>E43</f>
        <v/>
      </c>
      <c r="AM274" s="84">
        <f>MAX(0,AJ274-AK274)</f>
        <v/>
      </c>
      <c r="AN274" s="84">
        <f>IF(AM274=0,AH274,IF(AM274&gt;=AH274,0,AH274-AM274))</f>
        <v/>
      </c>
      <c r="AO274" s="84">
        <f>IF(AM274&gt;=AH274,AI274,AI274*AM274/AH274)</f>
        <v/>
      </c>
      <c r="AP274">
        <f t="array" ref="AP274">INDEX($AU$8:$BB$25,6*(R274-1)+MATCH(AB274,$AS$8:$AS$13,0),MATCH(O274,$AU$7:$BB$7,0))</f>
        <v/>
      </c>
    </row>
    <row r="275" ht="14.25" customHeight="1">
      <c r="O275" s="43" t="inlineStr">
        <is>
          <t>Q3’26</t>
        </is>
      </c>
      <c r="P275" s="43" t="n">
        <v>1</v>
      </c>
      <c r="Q275" s="43" t="n">
        <v>4</v>
      </c>
      <c r="R275" s="43" t="n">
        <v>1</v>
      </c>
      <c r="S275" s="45" t="n">
        <v>5555.62762450778</v>
      </c>
      <c r="T275">
        <f>(S275+S276+S277)=P2</f>
        <v/>
      </c>
      <c r="X275" s="84">
        <f>MAX(S272-S275,0)</f>
        <v/>
      </c>
      <c r="Y275" s="83" t="n">
        <v>0</v>
      </c>
      <c r="AA275" s="84" t="n">
        <v>3</v>
      </c>
      <c r="AB275" s="84" t="inlineStr">
        <is>
          <t>A</t>
        </is>
      </c>
      <c r="AC275" s="84" t="inlineStr">
        <is>
          <t>A+</t>
        </is>
      </c>
      <c r="AD275" s="84" t="n">
        <v>20</v>
      </c>
      <c r="AE275" s="84" t="n">
        <v>16</v>
      </c>
      <c r="AF275" s="84" t="n">
        <v>0.78</v>
      </c>
      <c r="AG275" s="84" t="n">
        <v>0.84</v>
      </c>
      <c r="AH275" s="84" t="n">
        <v>0</v>
      </c>
      <c r="AI275" s="84" t="n">
        <v>0</v>
      </c>
      <c r="AJ275" s="84">
        <f>SUMIFS(AH$8:AH$1039,$O$8:$O$1039,O275,$AB$8:$AB$1039,AB275,$R$8:$R$1039,R275,$AA$8:$AA$1039,"&lt;="&amp;AA275)</f>
        <v/>
      </c>
      <c r="AK275" s="84">
        <f>C32</f>
        <v/>
      </c>
      <c r="AL275" s="84">
        <f>C38</f>
        <v/>
      </c>
      <c r="AM275" s="84">
        <f>MAX(0,AJ275-AK275)</f>
        <v/>
      </c>
      <c r="AN275" s="84">
        <f>IF(AM275=0,AH275,IF(AM275&gt;=AH275,0,AH275-AM275))</f>
        <v/>
      </c>
      <c r="AO275" s="84">
        <f>IF(AM275&gt;=AH275,AI275,AI275*AM275/AH275)</f>
        <v/>
      </c>
      <c r="AP275">
        <f t="array" ref="AP275">INDEX($AU$8:$BB$25,6*(R275-1)+MATCH(AB275,$AS$8:$AS$13,0),MATCH(O275,$AU$7:$BB$7,0))</f>
        <v/>
      </c>
    </row>
    <row r="276" ht="14.25" customHeight="1">
      <c r="O276" s="43" t="inlineStr">
        <is>
          <t>Q3’26</t>
        </is>
      </c>
      <c r="P276" s="43" t="n">
        <v>1</v>
      </c>
      <c r="Q276" s="43" t="n">
        <v>4</v>
      </c>
      <c r="R276" s="43" t="n">
        <v>2</v>
      </c>
      <c r="S276" s="45" t="n">
        <v>2944.37237549222</v>
      </c>
      <c r="T276">
        <f>(S275+S276+S277)=P2</f>
        <v/>
      </c>
      <c r="X276" s="84">
        <f>MAX(S273-S276,0)</f>
        <v/>
      </c>
      <c r="Y276" s="83" t="n">
        <v>0</v>
      </c>
      <c r="AA276" s="84" t="n">
        <v>3</v>
      </c>
      <c r="AB276" s="84" t="inlineStr">
        <is>
          <t>A</t>
        </is>
      </c>
      <c r="AC276" s="84" t="inlineStr">
        <is>
          <t>A+</t>
        </is>
      </c>
      <c r="AD276" s="84" t="n">
        <v>20</v>
      </c>
      <c r="AE276" s="84" t="n">
        <v>16</v>
      </c>
      <c r="AF276" s="84" t="n">
        <v>0.78</v>
      </c>
      <c r="AG276" s="84" t="n">
        <v>0.84</v>
      </c>
      <c r="AH276" s="84" t="n">
        <v>0</v>
      </c>
      <c r="AI276" s="84" t="n">
        <v>0</v>
      </c>
      <c r="AJ276" s="84">
        <f>SUMIFS(AH$8:AH$1039,$O$8:$O$1039,O276,$AB$8:$AB$1039,AB276,$R$8:$R$1039,R276,$AA$8:$AA$1039,"&lt;="&amp;AA276)</f>
        <v/>
      </c>
      <c r="AK276" s="84">
        <f>D32</f>
        <v/>
      </c>
      <c r="AL276" s="84">
        <f>D38</f>
        <v/>
      </c>
      <c r="AM276" s="84">
        <f>MAX(0,AJ276-AK276)</f>
        <v/>
      </c>
      <c r="AN276" s="84">
        <f>IF(AM276=0,AH276,IF(AM276&gt;=AH276,0,AH276-AM276))</f>
        <v/>
      </c>
      <c r="AO276" s="84">
        <f>IF(AM276&gt;=AH276,AI276,AI276*AM276/AH276)</f>
        <v/>
      </c>
      <c r="AP276">
        <f t="array" ref="AP276">INDEX($AU$8:$BB$25,6*(R276-1)+MATCH(AB276,$AS$8:$AS$13,0),MATCH(O276,$AU$7:$BB$7,0))</f>
        <v/>
      </c>
    </row>
    <row r="277" ht="14.25" customHeight="1">
      <c r="O277" s="43" t="inlineStr">
        <is>
          <t>Q3’26</t>
        </is>
      </c>
      <c r="P277" s="43" t="n">
        <v>1</v>
      </c>
      <c r="Q277" s="43" t="n">
        <v>4</v>
      </c>
      <c r="R277" s="43" t="n">
        <v>3</v>
      </c>
      <c r="S277" s="45" t="n">
        <v>0</v>
      </c>
      <c r="T277">
        <f>(S275+S276+S277)=P2</f>
        <v/>
      </c>
      <c r="X277" s="84">
        <f>MAX(S274-S277,0)</f>
        <v/>
      </c>
      <c r="Y277" s="83" t="n">
        <v>0</v>
      </c>
      <c r="AA277" s="84" t="n">
        <v>3</v>
      </c>
      <c r="AB277" s="84" t="inlineStr">
        <is>
          <t>A</t>
        </is>
      </c>
      <c r="AC277" s="84" t="inlineStr">
        <is>
          <t>A+</t>
        </is>
      </c>
      <c r="AD277" s="84" t="n">
        <v>20</v>
      </c>
      <c r="AE277" s="84" t="n">
        <v>16</v>
      </c>
      <c r="AF277" s="84" t="n">
        <v>0.78</v>
      </c>
      <c r="AG277" s="84" t="n">
        <v>0.84</v>
      </c>
      <c r="AH277" s="84" t="n">
        <v>0</v>
      </c>
      <c r="AI277" s="84" t="n">
        <v>0</v>
      </c>
      <c r="AJ277" s="84">
        <f>SUMIFS(AH$8:AH$1039,$O$8:$O$1039,O277,$AB$8:$AB$1039,AB277,$R$8:$R$1039,R277,$AA$8:$AA$1039,"&lt;="&amp;AA277)</f>
        <v/>
      </c>
      <c r="AK277" s="84">
        <f>E32</f>
        <v/>
      </c>
      <c r="AL277" s="84">
        <f>E38</f>
        <v/>
      </c>
      <c r="AM277" s="84">
        <f>MAX(0,AJ277-AK277)</f>
        <v/>
      </c>
      <c r="AN277" s="84">
        <f>IF(AM277=0,AH277,IF(AM277&gt;=AH277,0,AH277-AM277))</f>
        <v/>
      </c>
      <c r="AO277" s="84">
        <f>IF(AM277&gt;=AH277,AI277,AI277*AM277/AH277)</f>
        <v/>
      </c>
      <c r="AP277">
        <f t="array" ref="AP277">INDEX($AU$8:$BB$25,6*(R277-1)+MATCH(AB277,$AS$8:$AS$13,0),MATCH(O277,$AU$7:$BB$7,0))</f>
        <v/>
      </c>
    </row>
    <row r="278" ht="14.25" customHeight="1">
      <c r="O278" s="43" t="inlineStr">
        <is>
          <t>Q3’26</t>
        </is>
      </c>
      <c r="P278" s="43" t="n">
        <v>1</v>
      </c>
      <c r="Q278" s="43" t="n">
        <v>5</v>
      </c>
      <c r="R278" s="43" t="n">
        <v>1</v>
      </c>
      <c r="S278" s="45" t="n">
        <v>5555.62762450778</v>
      </c>
      <c r="T278">
        <f>(S278+S279+S280)=P2</f>
        <v/>
      </c>
      <c r="X278" s="84">
        <f>MAX(S275-S278,0)</f>
        <v/>
      </c>
      <c r="Y278" s="83" t="n">
        <v>0</v>
      </c>
      <c r="AA278" s="84" t="n">
        <v>11</v>
      </c>
      <c r="AB278" s="84" t="inlineStr">
        <is>
          <t>F</t>
        </is>
      </c>
      <c r="AC278" s="84" t="inlineStr">
        <is>
          <t>F+</t>
        </is>
      </c>
      <c r="AD278" s="84" t="n">
        <v>12</v>
      </c>
      <c r="AE278" s="84" t="n">
        <v>9</v>
      </c>
      <c r="AF278" s="84" t="n">
        <v>0.8</v>
      </c>
      <c r="AG278" s="84" t="n">
        <v>0.9</v>
      </c>
      <c r="AH278" s="84" t="n">
        <v>0</v>
      </c>
      <c r="AI278" s="84" t="n">
        <v>0</v>
      </c>
      <c r="AJ278" s="84">
        <f>SUMIFS(AH$8:AH$1039,$O$8:$O$1039,O278,$AB$8:$AB$1039,AB278,$R$8:$R$1039,R278,$AA$8:$AA$1039,"&lt;="&amp;AA278)</f>
        <v/>
      </c>
      <c r="AK278" s="84">
        <f>C37</f>
        <v/>
      </c>
      <c r="AL278" s="84">
        <f>C43</f>
        <v/>
      </c>
      <c r="AM278" s="84">
        <f>MAX(0,AJ278-AK278)</f>
        <v/>
      </c>
      <c r="AN278" s="84">
        <f>IF(AM278=0,AH278,IF(AM278&gt;=AH278,0,AH278-AM278))</f>
        <v/>
      </c>
      <c r="AO278" s="84">
        <f>IF(AM278&gt;=AH278,AI278,AI278*AM278/AH278)</f>
        <v/>
      </c>
      <c r="AP278">
        <f t="array" ref="AP278">INDEX($AU$8:$BB$25,6*(R278-1)+MATCH(AB278,$AS$8:$AS$13,0),MATCH(O278,$AU$7:$BB$7,0))</f>
        <v/>
      </c>
    </row>
    <row r="279" ht="14.25" customHeight="1">
      <c r="O279" s="43" t="inlineStr">
        <is>
          <t>Q3’26</t>
        </is>
      </c>
      <c r="P279" s="43" t="n">
        <v>1</v>
      </c>
      <c r="Q279" s="43" t="n">
        <v>5</v>
      </c>
      <c r="R279" s="43" t="n">
        <v>2</v>
      </c>
      <c r="S279" s="45" t="n">
        <v>2944.37237549222</v>
      </c>
      <c r="T279">
        <f>(S278+S279+S280)=P2</f>
        <v/>
      </c>
      <c r="X279" s="84">
        <f>MAX(S276-S279,0)</f>
        <v/>
      </c>
      <c r="Y279" s="83" t="n">
        <v>0</v>
      </c>
      <c r="AA279" s="84" t="n">
        <v>11</v>
      </c>
      <c r="AB279" s="84" t="inlineStr">
        <is>
          <t>F</t>
        </is>
      </c>
      <c r="AC279" s="84" t="inlineStr">
        <is>
          <t>F+</t>
        </is>
      </c>
      <c r="AD279" s="84" t="n">
        <v>12</v>
      </c>
      <c r="AE279" s="84" t="n">
        <v>9</v>
      </c>
      <c r="AF279" s="84" t="n">
        <v>0.8</v>
      </c>
      <c r="AG279" s="84" t="n">
        <v>0.9</v>
      </c>
      <c r="AH279" s="84" t="n">
        <v>0</v>
      </c>
      <c r="AI279" s="84" t="n">
        <v>0</v>
      </c>
      <c r="AJ279" s="84">
        <f>SUMIFS(AH$8:AH$1039,$O$8:$O$1039,O279,$AB$8:$AB$1039,AB279,$R$8:$R$1039,R279,$AA$8:$AA$1039,"&lt;="&amp;AA279)</f>
        <v/>
      </c>
      <c r="AK279" s="84">
        <f>D37</f>
        <v/>
      </c>
      <c r="AL279" s="84">
        <f>D43</f>
        <v/>
      </c>
      <c r="AM279" s="84">
        <f>MAX(0,AJ279-AK279)</f>
        <v/>
      </c>
      <c r="AN279" s="84">
        <f>IF(AM279=0,AH279,IF(AM279&gt;=AH279,0,AH279-AM279))</f>
        <v/>
      </c>
      <c r="AO279" s="84">
        <f>IF(AM279&gt;=AH279,AI279,AI279*AM279/AH279)</f>
        <v/>
      </c>
      <c r="AP279">
        <f t="array" ref="AP279">INDEX($AU$8:$BB$25,6*(R279-1)+MATCH(AB279,$AS$8:$AS$13,0),MATCH(O279,$AU$7:$BB$7,0))</f>
        <v/>
      </c>
    </row>
    <row r="280" ht="14.25" customHeight="1">
      <c r="O280" s="43" t="inlineStr">
        <is>
          <t>Q3’26</t>
        </is>
      </c>
      <c r="P280" s="43" t="n">
        <v>1</v>
      </c>
      <c r="Q280" s="43" t="n">
        <v>5</v>
      </c>
      <c r="R280" s="43" t="n">
        <v>3</v>
      </c>
      <c r="S280" s="45" t="n">
        <v>-0</v>
      </c>
      <c r="T280">
        <f>(S278+S279+S280)=P2</f>
        <v/>
      </c>
      <c r="X280" s="84">
        <f>MAX(S277-S280,0)</f>
        <v/>
      </c>
      <c r="Y280" s="83" t="n">
        <v>0</v>
      </c>
      <c r="AA280" s="84" t="n">
        <v>11</v>
      </c>
      <c r="AB280" s="84" t="inlineStr">
        <is>
          <t>F</t>
        </is>
      </c>
      <c r="AC280" s="84" t="inlineStr">
        <is>
          <t>F+</t>
        </is>
      </c>
      <c r="AD280" s="84" t="n">
        <v>12</v>
      </c>
      <c r="AE280" s="84" t="n">
        <v>9</v>
      </c>
      <c r="AF280" s="84" t="n">
        <v>0.8</v>
      </c>
      <c r="AG280" s="84" t="n">
        <v>0.9</v>
      </c>
      <c r="AH280" s="84" t="n">
        <v>0</v>
      </c>
      <c r="AI280" s="84" t="n">
        <v>0</v>
      </c>
      <c r="AJ280" s="84">
        <f>SUMIFS(AH$8:AH$1039,$O$8:$O$1039,O280,$AB$8:$AB$1039,AB280,$R$8:$R$1039,R280,$AA$8:$AA$1039,"&lt;="&amp;AA280)</f>
        <v/>
      </c>
      <c r="AK280" s="84">
        <f>E37</f>
        <v/>
      </c>
      <c r="AL280" s="84">
        <f>E43</f>
        <v/>
      </c>
      <c r="AM280" s="84">
        <f>MAX(0,AJ280-AK280)</f>
        <v/>
      </c>
      <c r="AN280" s="84">
        <f>IF(AM280=0,AH280,IF(AM280&gt;=AH280,0,AH280-AM280))</f>
        <v/>
      </c>
      <c r="AO280" s="84">
        <f>IF(AM280&gt;=AH280,AI280,AI280*AM280/AH280)</f>
        <v/>
      </c>
      <c r="AP280">
        <f t="array" ref="AP280">INDEX($AU$8:$BB$25,6*(R280-1)+MATCH(AB280,$AS$8:$AS$13,0),MATCH(O280,$AU$7:$BB$7,0))</f>
        <v/>
      </c>
    </row>
    <row r="281" ht="14.25" customHeight="1">
      <c r="O281" s="43" t="inlineStr">
        <is>
          <t>Q3’26</t>
        </is>
      </c>
      <c r="P281" s="43" t="n">
        <v>1</v>
      </c>
      <c r="Q281" s="43" t="n">
        <v>6</v>
      </c>
      <c r="R281" s="43" t="n">
        <v>1</v>
      </c>
      <c r="S281" s="45" t="n">
        <v>5555.62762450778</v>
      </c>
      <c r="T281">
        <f>(S281+S282+S283)=P2</f>
        <v/>
      </c>
      <c r="X281" s="84">
        <f>MAX(S278-S281,0)</f>
        <v/>
      </c>
      <c r="Y281" s="83" t="n">
        <v>0</v>
      </c>
      <c r="AA281" s="84" t="n">
        <v>7</v>
      </c>
      <c r="AB281" s="84" t="inlineStr">
        <is>
          <t>D</t>
        </is>
      </c>
      <c r="AC281" s="84" t="inlineStr">
        <is>
          <t>D+</t>
        </is>
      </c>
      <c r="AD281" s="84" t="n">
        <v>27</v>
      </c>
      <c r="AE281" s="84" t="n">
        <v>21</v>
      </c>
      <c r="AF281" s="84" t="n">
        <v>0.8</v>
      </c>
      <c r="AG281" s="84" t="n">
        <v>0.88</v>
      </c>
      <c r="AH281" s="84" t="n">
        <v>0</v>
      </c>
      <c r="AI281" s="84" t="n">
        <v>0</v>
      </c>
      <c r="AJ281" s="84">
        <f>SUMIFS(AH$8:AH$1039,$O$8:$O$1039,O281,$AB$8:$AB$1039,AB281,$R$8:$R$1039,R281,$AA$8:$AA$1039,"&lt;="&amp;AA281)</f>
        <v/>
      </c>
      <c r="AK281" s="84">
        <f>C35</f>
        <v/>
      </c>
      <c r="AL281" s="84">
        <f>C41</f>
        <v/>
      </c>
      <c r="AM281" s="84">
        <f>MAX(0,AJ281-AK281)</f>
        <v/>
      </c>
      <c r="AN281" s="84">
        <f>IF(AM281=0,AH281,IF(AM281&gt;=AH281,0,AH281-AM281))</f>
        <v/>
      </c>
      <c r="AO281" s="84">
        <f>IF(AM281&gt;=AH281,AI281,AI281*AM281/AH281)</f>
        <v/>
      </c>
      <c r="AP281">
        <f t="array" ref="AP281">INDEX($AU$8:$BB$25,6*(R281-1)+MATCH(AB281,$AS$8:$AS$13,0),MATCH(O281,$AU$7:$BB$7,0))</f>
        <v/>
      </c>
    </row>
    <row r="282" ht="14.25" customHeight="1">
      <c r="O282" s="43" t="inlineStr">
        <is>
          <t>Q3’26</t>
        </is>
      </c>
      <c r="P282" s="43" t="n">
        <v>1</v>
      </c>
      <c r="Q282" s="43" t="n">
        <v>6</v>
      </c>
      <c r="R282" s="43" t="n">
        <v>2</v>
      </c>
      <c r="S282" s="45" t="n">
        <v>2944.37237549222</v>
      </c>
      <c r="T282">
        <f>(S281+S282+S283)=P2</f>
        <v/>
      </c>
      <c r="X282" s="84">
        <f>MAX(S279-S282,0)</f>
        <v/>
      </c>
      <c r="Y282" s="83" t="n">
        <v>0</v>
      </c>
      <c r="AA282" s="84" t="n">
        <v>7</v>
      </c>
      <c r="AB282" s="84" t="inlineStr">
        <is>
          <t>D</t>
        </is>
      </c>
      <c r="AC282" s="84" t="inlineStr">
        <is>
          <t>D+</t>
        </is>
      </c>
      <c r="AD282" s="84" t="n">
        <v>27</v>
      </c>
      <c r="AE282" s="84" t="n">
        <v>21</v>
      </c>
      <c r="AF282" s="84" t="n">
        <v>0.8</v>
      </c>
      <c r="AG282" s="84" t="n">
        <v>0.88</v>
      </c>
      <c r="AH282" s="84" t="n">
        <v>0</v>
      </c>
      <c r="AI282" s="84" t="n">
        <v>0</v>
      </c>
      <c r="AJ282" s="84">
        <f>SUMIFS(AH$8:AH$1039,$O$8:$O$1039,O282,$AB$8:$AB$1039,AB282,$R$8:$R$1039,R282,$AA$8:$AA$1039,"&lt;="&amp;AA282)</f>
        <v/>
      </c>
      <c r="AK282" s="84">
        <f>D35</f>
        <v/>
      </c>
      <c r="AL282" s="84">
        <f>D41</f>
        <v/>
      </c>
      <c r="AM282" s="84">
        <f>MAX(0,AJ282-AK282)</f>
        <v/>
      </c>
      <c r="AN282" s="84">
        <f>IF(AM282=0,AH282,IF(AM282&gt;=AH282,0,AH282-AM282))</f>
        <v/>
      </c>
      <c r="AO282" s="84">
        <f>IF(AM282&gt;=AH282,AI282,AI282*AM282/AH282)</f>
        <v/>
      </c>
      <c r="AP282">
        <f t="array" ref="AP282">INDEX($AU$8:$BB$25,6*(R282-1)+MATCH(AB282,$AS$8:$AS$13,0),MATCH(O282,$AU$7:$BB$7,0))</f>
        <v/>
      </c>
    </row>
    <row r="283" ht="14.25" customHeight="1">
      <c r="O283" s="43" t="inlineStr">
        <is>
          <t>Q3’26</t>
        </is>
      </c>
      <c r="P283" s="43" t="n">
        <v>1</v>
      </c>
      <c r="Q283" s="43" t="n">
        <v>6</v>
      </c>
      <c r="R283" s="43" t="n">
        <v>3</v>
      </c>
      <c r="S283" s="45" t="n">
        <v>0</v>
      </c>
      <c r="T283">
        <f>(S281+S282+S283)=P2</f>
        <v/>
      </c>
      <c r="X283" s="84">
        <f>MAX(S280-S283,0)</f>
        <v/>
      </c>
      <c r="Y283" s="83" t="n">
        <v>0</v>
      </c>
      <c r="AA283" s="84" t="n">
        <v>7</v>
      </c>
      <c r="AB283" s="84" t="inlineStr">
        <is>
          <t>D</t>
        </is>
      </c>
      <c r="AC283" s="84" t="inlineStr">
        <is>
          <t>D+</t>
        </is>
      </c>
      <c r="AD283" s="84" t="n">
        <v>27</v>
      </c>
      <c r="AE283" s="84" t="n">
        <v>21</v>
      </c>
      <c r="AF283" s="84" t="n">
        <v>0.8</v>
      </c>
      <c r="AG283" s="84" t="n">
        <v>0.88</v>
      </c>
      <c r="AH283" s="84" t="n">
        <v>0</v>
      </c>
      <c r="AI283" s="84" t="n">
        <v>0</v>
      </c>
      <c r="AJ283" s="84">
        <f>SUMIFS(AH$8:AH$1039,$O$8:$O$1039,O283,$AB$8:$AB$1039,AB283,$R$8:$R$1039,R283,$AA$8:$AA$1039,"&lt;="&amp;AA283)</f>
        <v/>
      </c>
      <c r="AK283" s="84">
        <f>E35</f>
        <v/>
      </c>
      <c r="AL283" s="84">
        <f>E41</f>
        <v/>
      </c>
      <c r="AM283" s="84">
        <f>MAX(0,AJ283-AK283)</f>
        <v/>
      </c>
      <c r="AN283" s="84">
        <f>IF(AM283=0,AH283,IF(AM283&gt;=AH283,0,AH283-AM283))</f>
        <v/>
      </c>
      <c r="AO283" s="84">
        <f>IF(AM283&gt;=AH283,AI283,AI283*AM283/AH283)</f>
        <v/>
      </c>
      <c r="AP283">
        <f t="array" ref="AP283">INDEX($AU$8:$BB$25,6*(R283-1)+MATCH(AB283,$AS$8:$AS$13,0),MATCH(O283,$AU$7:$BB$7,0))</f>
        <v/>
      </c>
    </row>
    <row r="284" ht="14.25" customHeight="1">
      <c r="O284" s="43" t="inlineStr">
        <is>
          <t>Q3’26</t>
        </is>
      </c>
      <c r="P284" s="43" t="n">
        <v>1</v>
      </c>
      <c r="Q284" s="43" t="n">
        <v>7</v>
      </c>
      <c r="R284" s="43" t="n">
        <v>1</v>
      </c>
      <c r="S284" s="45" t="n">
        <v>5555.62762450778</v>
      </c>
      <c r="T284">
        <f>(S284+S285+S286)=P2</f>
        <v/>
      </c>
      <c r="X284" s="84">
        <f>MAX(S281-S284,0)</f>
        <v/>
      </c>
      <c r="Y284" s="83" t="n">
        <v>0</v>
      </c>
      <c r="AA284" s="84" t="n">
        <v>9</v>
      </c>
      <c r="AB284" s="84" t="inlineStr">
        <is>
          <t>D</t>
        </is>
      </c>
      <c r="AC284" s="84" t="inlineStr">
        <is>
          <t>D+</t>
        </is>
      </c>
      <c r="AD284" s="84" t="n">
        <v>17</v>
      </c>
      <c r="AE284" s="84" t="n">
        <v>13</v>
      </c>
      <c r="AF284" s="84" t="n">
        <v>0.8</v>
      </c>
      <c r="AG284" s="84" t="n">
        <v>0.88</v>
      </c>
      <c r="AH284" s="84" t="n">
        <v>0</v>
      </c>
      <c r="AI284" s="84" t="n">
        <v>0</v>
      </c>
      <c r="AJ284" s="84">
        <f>SUMIFS(AH$8:AH$1039,$O$8:$O$1039,O284,$AB$8:$AB$1039,AB284,$R$8:$R$1039,R284,$AA$8:$AA$1039,"&lt;="&amp;AA284)</f>
        <v/>
      </c>
      <c r="AK284" s="84">
        <f>C35</f>
        <v/>
      </c>
      <c r="AL284" s="84">
        <f>C41</f>
        <v/>
      </c>
      <c r="AM284" s="84">
        <f>MAX(0,AJ284-AK284)</f>
        <v/>
      </c>
      <c r="AN284" s="84">
        <f>IF(AM284=0,AH284,IF(AM284&gt;=AH284,0,AH284-AM284))</f>
        <v/>
      </c>
      <c r="AO284" s="84">
        <f>IF(AM284&gt;=AH284,AI284,AI284*AM284/AH284)</f>
        <v/>
      </c>
      <c r="AP284">
        <f t="array" ref="AP284">INDEX($AU$8:$BB$25,6*(R284-1)+MATCH(AB284,$AS$8:$AS$13,0),MATCH(O284,$AU$7:$BB$7,0))</f>
        <v/>
      </c>
    </row>
    <row r="285" ht="14.25" customHeight="1">
      <c r="O285" s="43" t="inlineStr">
        <is>
          <t>Q3’26</t>
        </is>
      </c>
      <c r="P285" s="43" t="n">
        <v>1</v>
      </c>
      <c r="Q285" s="43" t="n">
        <v>7</v>
      </c>
      <c r="R285" s="43" t="n">
        <v>2</v>
      </c>
      <c r="S285" s="45" t="n">
        <v>2944.37237549222</v>
      </c>
      <c r="T285">
        <f>(S284+S285+S286)=P2</f>
        <v/>
      </c>
      <c r="X285" s="84">
        <f>MAX(S282-S285,0)</f>
        <v/>
      </c>
      <c r="Y285" s="83" t="n">
        <v>0</v>
      </c>
      <c r="AA285" s="84" t="n">
        <v>9</v>
      </c>
      <c r="AB285" s="84" t="inlineStr">
        <is>
          <t>D</t>
        </is>
      </c>
      <c r="AC285" s="84" t="inlineStr">
        <is>
          <t>D+</t>
        </is>
      </c>
      <c r="AD285" s="84" t="n">
        <v>17</v>
      </c>
      <c r="AE285" s="84" t="n">
        <v>13</v>
      </c>
      <c r="AF285" s="84" t="n">
        <v>0.8</v>
      </c>
      <c r="AG285" s="84" t="n">
        <v>0.88</v>
      </c>
      <c r="AH285" s="84" t="n">
        <v>0</v>
      </c>
      <c r="AI285" s="84" t="n">
        <v>0</v>
      </c>
      <c r="AJ285" s="84">
        <f>SUMIFS(AH$8:AH$1039,$O$8:$O$1039,O285,$AB$8:$AB$1039,AB285,$R$8:$R$1039,R285,$AA$8:$AA$1039,"&lt;="&amp;AA285)</f>
        <v/>
      </c>
      <c r="AK285" s="84">
        <f>D35</f>
        <v/>
      </c>
      <c r="AL285" s="84">
        <f>D41</f>
        <v/>
      </c>
      <c r="AM285" s="84">
        <f>MAX(0,AJ285-AK285)</f>
        <v/>
      </c>
      <c r="AN285" s="84">
        <f>IF(AM285=0,AH285,IF(AM285&gt;=AH285,0,AH285-AM285))</f>
        <v/>
      </c>
      <c r="AO285" s="84">
        <f>IF(AM285&gt;=AH285,AI285,AI285*AM285/AH285)</f>
        <v/>
      </c>
      <c r="AP285">
        <f t="array" ref="AP285">INDEX($AU$8:$BB$25,6*(R285-1)+MATCH(AB285,$AS$8:$AS$13,0),MATCH(O285,$AU$7:$BB$7,0))</f>
        <v/>
      </c>
    </row>
    <row r="286" ht="14.25" customHeight="1">
      <c r="O286" s="43" t="inlineStr">
        <is>
          <t>Q3’26</t>
        </is>
      </c>
      <c r="P286" s="43" t="n">
        <v>1</v>
      </c>
      <c r="Q286" s="43" t="n">
        <v>7</v>
      </c>
      <c r="R286" s="43" t="n">
        <v>3</v>
      </c>
      <c r="S286" s="45" t="n">
        <v>-0</v>
      </c>
      <c r="T286">
        <f>(S284+S285+S286)=P2</f>
        <v/>
      </c>
      <c r="X286" s="84">
        <f>MAX(S283-S286,0)</f>
        <v/>
      </c>
      <c r="Y286" s="83" t="n">
        <v>0</v>
      </c>
      <c r="AA286" s="84" t="n">
        <v>9</v>
      </c>
      <c r="AB286" s="84" t="inlineStr">
        <is>
          <t>D</t>
        </is>
      </c>
      <c r="AC286" s="84" t="inlineStr">
        <is>
          <t>D+</t>
        </is>
      </c>
      <c r="AD286" s="84" t="n">
        <v>17</v>
      </c>
      <c r="AE286" s="84" t="n">
        <v>13</v>
      </c>
      <c r="AF286" s="84" t="n">
        <v>0.8</v>
      </c>
      <c r="AG286" s="84" t="n">
        <v>0.88</v>
      </c>
      <c r="AH286" s="84" t="n">
        <v>0</v>
      </c>
      <c r="AI286" s="84" t="n">
        <v>0</v>
      </c>
      <c r="AJ286" s="84">
        <f>SUMIFS(AH$8:AH$1039,$O$8:$O$1039,O286,$AB$8:$AB$1039,AB286,$R$8:$R$1039,R286,$AA$8:$AA$1039,"&lt;="&amp;AA286)</f>
        <v/>
      </c>
      <c r="AK286" s="84">
        <f>E35</f>
        <v/>
      </c>
      <c r="AL286" s="84">
        <f>E41</f>
        <v/>
      </c>
      <c r="AM286" s="84">
        <f>MAX(0,AJ286-AK286)</f>
        <v/>
      </c>
      <c r="AN286" s="84">
        <f>IF(AM286=0,AH286,IF(AM286&gt;=AH286,0,AH286-AM286))</f>
        <v/>
      </c>
      <c r="AO286" s="84">
        <f>IF(AM286&gt;=AH286,AI286,AI286*AM286/AH286)</f>
        <v/>
      </c>
      <c r="AP286">
        <f t="array" ref="AP286">INDEX($AU$8:$BB$25,6*(R286-1)+MATCH(AB286,$AS$8:$AS$13,0),MATCH(O286,$AU$7:$BB$7,0))</f>
        <v/>
      </c>
    </row>
    <row r="287" ht="14.25" customHeight="1">
      <c r="O287" s="43" t="inlineStr">
        <is>
          <t>Q3’26</t>
        </is>
      </c>
      <c r="P287" s="43" t="n">
        <v>1</v>
      </c>
      <c r="Q287" s="43" t="n">
        <v>8</v>
      </c>
      <c r="R287" s="43" t="n">
        <v>1</v>
      </c>
      <c r="S287" s="45" t="n">
        <v>5555.62762450778</v>
      </c>
      <c r="T287">
        <f>(S287+S288+S289)=P2</f>
        <v/>
      </c>
      <c r="X287" s="84">
        <f>MAX(S284-S287,0)</f>
        <v/>
      </c>
      <c r="Y287" s="83" t="n">
        <v>0</v>
      </c>
      <c r="AA287" s="84" t="n">
        <v>1</v>
      </c>
      <c r="AB287" s="84" t="inlineStr">
        <is>
          <t>A</t>
        </is>
      </c>
      <c r="AC287" s="84" t="inlineStr">
        <is>
          <t>A+</t>
        </is>
      </c>
      <c r="AD287" s="84" t="n">
        <v>18</v>
      </c>
      <c r="AE287" s="84" t="n">
        <v>16</v>
      </c>
      <c r="AF287" s="84" t="n">
        <v>0.78</v>
      </c>
      <c r="AG287" s="84" t="n">
        <v>0.84</v>
      </c>
      <c r="AH287" s="84" t="n">
        <v>0</v>
      </c>
      <c r="AI287" s="84" t="n">
        <v>0</v>
      </c>
      <c r="AJ287" s="84">
        <f>SUMIFS(AH$8:AH$1039,$O$8:$O$1039,O287,$AB$8:$AB$1039,AB287,$R$8:$R$1039,R287,$AA$8:$AA$1039,"&lt;="&amp;AA287)</f>
        <v/>
      </c>
      <c r="AK287" s="84">
        <f>C32</f>
        <v/>
      </c>
      <c r="AL287" s="84">
        <f>C38</f>
        <v/>
      </c>
      <c r="AM287" s="84">
        <f>MAX(0,AJ287-AK287)</f>
        <v/>
      </c>
      <c r="AN287" s="84">
        <f>IF(AM287=0,AH287,IF(AM287&gt;=AH287,0,AH287-AM287))</f>
        <v/>
      </c>
      <c r="AO287" s="84">
        <f>IF(AM287&gt;=AH287,AI287,AI287*AM287/AH287)</f>
        <v/>
      </c>
      <c r="AP287">
        <f t="array" ref="AP287">INDEX($AU$8:$BB$25,6*(R287-1)+MATCH(AB287,$AS$8:$AS$13,0),MATCH(O287,$AU$7:$BB$7,0))</f>
        <v/>
      </c>
    </row>
    <row r="288" ht="14.25" customHeight="1">
      <c r="O288" s="43" t="inlineStr">
        <is>
          <t>Q3’26</t>
        </is>
      </c>
      <c r="P288" s="43" t="n">
        <v>1</v>
      </c>
      <c r="Q288" s="43" t="n">
        <v>8</v>
      </c>
      <c r="R288" s="43" t="n">
        <v>2</v>
      </c>
      <c r="S288" s="45" t="n">
        <v>2944.37237549222</v>
      </c>
      <c r="T288">
        <f>(S287+S288+S289)=P2</f>
        <v/>
      </c>
      <c r="X288" s="84">
        <f>MAX(S285-S288,0)</f>
        <v/>
      </c>
      <c r="Y288" s="83" t="n">
        <v>0</v>
      </c>
      <c r="AA288" s="84" t="n">
        <v>1</v>
      </c>
      <c r="AB288" s="84" t="inlineStr">
        <is>
          <t>A</t>
        </is>
      </c>
      <c r="AC288" s="84" t="inlineStr">
        <is>
          <t>A+</t>
        </is>
      </c>
      <c r="AD288" s="84" t="n">
        <v>18</v>
      </c>
      <c r="AE288" s="84" t="n">
        <v>16</v>
      </c>
      <c r="AF288" s="84" t="n">
        <v>0.78</v>
      </c>
      <c r="AG288" s="84" t="n">
        <v>0.84</v>
      </c>
      <c r="AH288" s="84" t="n">
        <v>0</v>
      </c>
      <c r="AI288" s="84" t="n">
        <v>0</v>
      </c>
      <c r="AJ288" s="84">
        <f>SUMIFS(AH$8:AH$1039,$O$8:$O$1039,O288,$AB$8:$AB$1039,AB288,$R$8:$R$1039,R288,$AA$8:$AA$1039,"&lt;="&amp;AA288)</f>
        <v/>
      </c>
      <c r="AK288" s="84">
        <f>D32</f>
        <v/>
      </c>
      <c r="AL288" s="84">
        <f>D38</f>
        <v/>
      </c>
      <c r="AM288" s="84">
        <f>MAX(0,AJ288-AK288)</f>
        <v/>
      </c>
      <c r="AN288" s="84">
        <f>IF(AM288=0,AH288,IF(AM288&gt;=AH288,0,AH288-AM288))</f>
        <v/>
      </c>
      <c r="AO288" s="84">
        <f>IF(AM288&gt;=AH288,AI288,AI288*AM288/AH288)</f>
        <v/>
      </c>
      <c r="AP288">
        <f t="array" ref="AP288">INDEX($AU$8:$BB$25,6*(R288-1)+MATCH(AB288,$AS$8:$AS$13,0),MATCH(O288,$AU$7:$BB$7,0))</f>
        <v/>
      </c>
    </row>
    <row r="289" ht="14.25" customHeight="1">
      <c r="O289" s="43" t="inlineStr">
        <is>
          <t>Q3’26</t>
        </is>
      </c>
      <c r="P289" s="43" t="n">
        <v>1</v>
      </c>
      <c r="Q289" s="43" t="n">
        <v>8</v>
      </c>
      <c r="R289" s="43" t="n">
        <v>3</v>
      </c>
      <c r="S289" s="45" t="n">
        <v>0</v>
      </c>
      <c r="T289">
        <f>(S287+S288+S289)=P2</f>
        <v/>
      </c>
      <c r="X289" s="84">
        <f>MAX(S286-S289,0)</f>
        <v/>
      </c>
      <c r="Y289" s="83" t="n">
        <v>0</v>
      </c>
      <c r="AA289" s="84" t="n">
        <v>1</v>
      </c>
      <c r="AB289" s="84" t="inlineStr">
        <is>
          <t>A</t>
        </is>
      </c>
      <c r="AC289" s="84" t="inlineStr">
        <is>
          <t>A+</t>
        </is>
      </c>
      <c r="AD289" s="84" t="n">
        <v>18</v>
      </c>
      <c r="AE289" s="84" t="n">
        <v>16</v>
      </c>
      <c r="AF289" s="84" t="n">
        <v>0.78</v>
      </c>
      <c r="AG289" s="84" t="n">
        <v>0.84</v>
      </c>
      <c r="AH289" s="84" t="n">
        <v>0</v>
      </c>
      <c r="AI289" s="84" t="n">
        <v>0</v>
      </c>
      <c r="AJ289" s="84">
        <f>SUMIFS(AH$8:AH$1039,$O$8:$O$1039,O289,$AB$8:$AB$1039,AB289,$R$8:$R$1039,R289,$AA$8:$AA$1039,"&lt;="&amp;AA289)</f>
        <v/>
      </c>
      <c r="AK289" s="84">
        <f>E32</f>
        <v/>
      </c>
      <c r="AL289" s="84">
        <f>E38</f>
        <v/>
      </c>
      <c r="AM289" s="84">
        <f>MAX(0,AJ289-AK289)</f>
        <v/>
      </c>
      <c r="AN289" s="84">
        <f>IF(AM289=0,AH289,IF(AM289&gt;=AH289,0,AH289-AM289))</f>
        <v/>
      </c>
      <c r="AO289" s="84">
        <f>IF(AM289&gt;=AH289,AI289,AI289*AM289/AH289)</f>
        <v/>
      </c>
      <c r="AP289">
        <f t="array" ref="AP289">INDEX($AU$8:$BB$25,6*(R289-1)+MATCH(AB289,$AS$8:$AS$13,0),MATCH(O289,$AU$7:$BB$7,0))</f>
        <v/>
      </c>
    </row>
    <row r="290" ht="14.25" customHeight="1">
      <c r="O290" s="43" t="inlineStr">
        <is>
          <t>Q3’26</t>
        </is>
      </c>
      <c r="P290" s="43" t="n">
        <v>1</v>
      </c>
      <c r="Q290" s="43" t="n">
        <v>9</v>
      </c>
      <c r="R290" s="43" t="n">
        <v>1</v>
      </c>
      <c r="S290" s="45" t="n">
        <v>5555.62762450778</v>
      </c>
      <c r="T290">
        <f>(S290+S291+S292)=P2</f>
        <v/>
      </c>
      <c r="X290" s="84">
        <f>MAX(S287-S290,0)</f>
        <v/>
      </c>
      <c r="Y290" s="83" t="n">
        <v>0</v>
      </c>
      <c r="AA290" s="84" t="n">
        <v>2</v>
      </c>
      <c r="AB290" s="84" t="inlineStr">
        <is>
          <t>A</t>
        </is>
      </c>
      <c r="AC290" s="84" t="inlineStr">
        <is>
          <t>A+</t>
        </is>
      </c>
      <c r="AD290" s="84" t="n">
        <v>16</v>
      </c>
      <c r="AE290" s="84" t="n">
        <v>13</v>
      </c>
      <c r="AF290" s="84" t="n">
        <v>0.78</v>
      </c>
      <c r="AG290" s="84" t="n">
        <v>0.84</v>
      </c>
      <c r="AH290" s="84" t="n">
        <v>0</v>
      </c>
      <c r="AI290" s="84" t="n">
        <v>0</v>
      </c>
      <c r="AJ290" s="84">
        <f>SUMIFS(AH$8:AH$1039,$O$8:$O$1039,O290,$AB$8:$AB$1039,AB290,$R$8:$R$1039,R290,$AA$8:$AA$1039,"&lt;="&amp;AA290)</f>
        <v/>
      </c>
      <c r="AK290" s="84">
        <f>C32</f>
        <v/>
      </c>
      <c r="AL290" s="84">
        <f>C38</f>
        <v/>
      </c>
      <c r="AM290" s="84">
        <f>MAX(0,AJ290-AK290)</f>
        <v/>
      </c>
      <c r="AN290" s="84">
        <f>IF(AM290=0,AH290,IF(AM290&gt;=AH290,0,AH290-AM290))</f>
        <v/>
      </c>
      <c r="AO290" s="84">
        <f>IF(AM290&gt;=AH290,AI290,AI290*AM290/AH290)</f>
        <v/>
      </c>
      <c r="AP290">
        <f t="array" ref="AP290">INDEX($AU$8:$BB$25,6*(R290-1)+MATCH(AB290,$AS$8:$AS$13,0),MATCH(O290,$AU$7:$BB$7,0))</f>
        <v/>
      </c>
    </row>
    <row r="291" ht="14.25" customHeight="1">
      <c r="O291" s="43" t="inlineStr">
        <is>
          <t>Q3’26</t>
        </is>
      </c>
      <c r="P291" s="43" t="n">
        <v>1</v>
      </c>
      <c r="Q291" s="43" t="n">
        <v>9</v>
      </c>
      <c r="R291" s="43" t="n">
        <v>2</v>
      </c>
      <c r="S291" s="45" t="n">
        <v>2944.37237549222</v>
      </c>
      <c r="T291">
        <f>(S290+S291+S292)=P2</f>
        <v/>
      </c>
      <c r="X291" s="84">
        <f>MAX(S288-S291,0)</f>
        <v/>
      </c>
      <c r="Y291" s="83" t="n">
        <v>0</v>
      </c>
      <c r="AA291" s="84" t="n">
        <v>2</v>
      </c>
      <c r="AB291" s="84" t="inlineStr">
        <is>
          <t>A</t>
        </is>
      </c>
      <c r="AC291" s="84" t="inlineStr">
        <is>
          <t>A+</t>
        </is>
      </c>
      <c r="AD291" s="84" t="n">
        <v>16</v>
      </c>
      <c r="AE291" s="84" t="n">
        <v>13</v>
      </c>
      <c r="AF291" s="84" t="n">
        <v>0.78</v>
      </c>
      <c r="AG291" s="84" t="n">
        <v>0.84</v>
      </c>
      <c r="AH291" s="84" t="n">
        <v>0</v>
      </c>
      <c r="AI291" s="84" t="n">
        <v>0</v>
      </c>
      <c r="AJ291" s="84">
        <f>SUMIFS(AH$8:AH$1039,$O$8:$O$1039,O291,$AB$8:$AB$1039,AB291,$R$8:$R$1039,R291,$AA$8:$AA$1039,"&lt;="&amp;AA291)</f>
        <v/>
      </c>
      <c r="AK291" s="84">
        <f>D32</f>
        <v/>
      </c>
      <c r="AL291" s="84">
        <f>D38</f>
        <v/>
      </c>
      <c r="AM291" s="84">
        <f>MAX(0,AJ291-AK291)</f>
        <v/>
      </c>
      <c r="AN291" s="84">
        <f>IF(AM291=0,AH291,IF(AM291&gt;=AH291,0,AH291-AM291))</f>
        <v/>
      </c>
      <c r="AO291" s="84">
        <f>IF(AM291&gt;=AH291,AI291,AI291*AM291/AH291)</f>
        <v/>
      </c>
      <c r="AP291">
        <f t="array" ref="AP291">INDEX($AU$8:$BB$25,6*(R291-1)+MATCH(AB291,$AS$8:$AS$13,0),MATCH(O291,$AU$7:$BB$7,0))</f>
        <v/>
      </c>
    </row>
    <row r="292" ht="14.25" customHeight="1">
      <c r="O292" s="43" t="inlineStr">
        <is>
          <t>Q3’26</t>
        </is>
      </c>
      <c r="P292" s="43" t="n">
        <v>1</v>
      </c>
      <c r="Q292" s="43" t="n">
        <v>9</v>
      </c>
      <c r="R292" s="43" t="n">
        <v>3</v>
      </c>
      <c r="S292" s="45" t="n">
        <v>0</v>
      </c>
      <c r="T292">
        <f>(S290+S291+S292)=P2</f>
        <v/>
      </c>
      <c r="X292" s="84">
        <f>MAX(S289-S292,0)</f>
        <v/>
      </c>
      <c r="Y292" s="83" t="n">
        <v>0</v>
      </c>
      <c r="AA292" s="84" t="n">
        <v>2</v>
      </c>
      <c r="AB292" s="84" t="inlineStr">
        <is>
          <t>A</t>
        </is>
      </c>
      <c r="AC292" s="84" t="inlineStr">
        <is>
          <t>A+</t>
        </is>
      </c>
      <c r="AD292" s="84" t="n">
        <v>16</v>
      </c>
      <c r="AE292" s="84" t="n">
        <v>13</v>
      </c>
      <c r="AF292" s="84" t="n">
        <v>0.78</v>
      </c>
      <c r="AG292" s="84" t="n">
        <v>0.84</v>
      </c>
      <c r="AH292" s="84" t="n">
        <v>0</v>
      </c>
      <c r="AI292" s="84" t="n">
        <v>0</v>
      </c>
      <c r="AJ292" s="84">
        <f>SUMIFS(AH$8:AH$1039,$O$8:$O$1039,O292,$AB$8:$AB$1039,AB292,$R$8:$R$1039,R292,$AA$8:$AA$1039,"&lt;="&amp;AA292)</f>
        <v/>
      </c>
      <c r="AK292" s="84">
        <f>E32</f>
        <v/>
      </c>
      <c r="AL292" s="84">
        <f>E38</f>
        <v/>
      </c>
      <c r="AM292" s="84">
        <f>MAX(0,AJ292-AK292)</f>
        <v/>
      </c>
      <c r="AN292" s="84">
        <f>IF(AM292=0,AH292,IF(AM292&gt;=AH292,0,AH292-AM292))</f>
        <v/>
      </c>
      <c r="AO292" s="84">
        <f>IF(AM292&gt;=AH292,AI292,AI292*AM292/AH292)</f>
        <v/>
      </c>
      <c r="AP292">
        <f t="array" ref="AP292">INDEX($AU$8:$BB$25,6*(R292-1)+MATCH(AB292,$AS$8:$AS$13,0),MATCH(O292,$AU$7:$BB$7,0))</f>
        <v/>
      </c>
    </row>
    <row r="293" ht="14.25" customHeight="1">
      <c r="O293" s="43" t="inlineStr">
        <is>
          <t>Q3’26</t>
        </is>
      </c>
      <c r="P293" s="43" t="n">
        <v>1</v>
      </c>
      <c r="Q293" s="43" t="n">
        <v>10</v>
      </c>
      <c r="R293" s="43" t="n">
        <v>1</v>
      </c>
      <c r="S293" s="45" t="n">
        <v>5555.62762450778</v>
      </c>
      <c r="T293">
        <f>(S293+S294+S295)=P2</f>
        <v/>
      </c>
      <c r="X293" s="84">
        <f>MAX(S290-S293,0)</f>
        <v/>
      </c>
      <c r="Y293" s="83" t="n">
        <v>0</v>
      </c>
      <c r="AA293" s="84" t="n">
        <v>6</v>
      </c>
      <c r="AB293" s="84" t="inlineStr">
        <is>
          <t>D</t>
        </is>
      </c>
      <c r="AC293" s="84" t="inlineStr">
        <is>
          <t>D+</t>
        </is>
      </c>
      <c r="AD293" s="84" t="n">
        <v>14</v>
      </c>
      <c r="AE293" s="84" t="n">
        <v>11</v>
      </c>
      <c r="AF293" s="84" t="n">
        <v>0.8</v>
      </c>
      <c r="AG293" s="84" t="n">
        <v>0.88</v>
      </c>
      <c r="AH293" s="84" t="n">
        <v>0</v>
      </c>
      <c r="AI293" s="84" t="n">
        <v>0</v>
      </c>
      <c r="AJ293" s="84">
        <f>SUMIFS(AH$8:AH$1039,$O$8:$O$1039,O293,$AB$8:$AB$1039,AB293,$R$8:$R$1039,R293,$AA$8:$AA$1039,"&lt;="&amp;AA293)</f>
        <v/>
      </c>
      <c r="AK293" s="84">
        <f>C35</f>
        <v/>
      </c>
      <c r="AL293" s="84">
        <f>C41</f>
        <v/>
      </c>
      <c r="AM293" s="84">
        <f>MAX(0,AJ293-AK293)</f>
        <v/>
      </c>
      <c r="AN293" s="84">
        <f>IF(AM293=0,AH293,IF(AM293&gt;=AH293,0,AH293-AM293))</f>
        <v/>
      </c>
      <c r="AO293" s="84">
        <f>IF(AM293&gt;=AH293,AI293,AI293*AM293/AH293)</f>
        <v/>
      </c>
      <c r="AP293">
        <f t="array" ref="AP293">INDEX($AU$8:$BB$25,6*(R293-1)+MATCH(AB293,$AS$8:$AS$13,0),MATCH(O293,$AU$7:$BB$7,0))</f>
        <v/>
      </c>
    </row>
    <row r="294" ht="14.25" customHeight="1">
      <c r="O294" s="43" t="inlineStr">
        <is>
          <t>Q3’26</t>
        </is>
      </c>
      <c r="P294" s="43" t="n">
        <v>1</v>
      </c>
      <c r="Q294" s="43" t="n">
        <v>10</v>
      </c>
      <c r="R294" s="43" t="n">
        <v>2</v>
      </c>
      <c r="S294" s="45" t="n">
        <v>2944.37237549222</v>
      </c>
      <c r="T294">
        <f>(S293+S294+S295)=P2</f>
        <v/>
      </c>
      <c r="X294" s="84">
        <f>MAX(S291-S294,0)</f>
        <v/>
      </c>
      <c r="Y294" s="83" t="n">
        <v>0</v>
      </c>
      <c r="AA294" s="84" t="n">
        <v>6</v>
      </c>
      <c r="AB294" s="84" t="inlineStr">
        <is>
          <t>D</t>
        </is>
      </c>
      <c r="AC294" s="84" t="inlineStr">
        <is>
          <t>D+</t>
        </is>
      </c>
      <c r="AD294" s="84" t="n">
        <v>14</v>
      </c>
      <c r="AE294" s="84" t="n">
        <v>11</v>
      </c>
      <c r="AF294" s="84" t="n">
        <v>0.8</v>
      </c>
      <c r="AG294" s="84" t="n">
        <v>0.88</v>
      </c>
      <c r="AH294" s="84" t="n">
        <v>0</v>
      </c>
      <c r="AI294" s="84" t="n">
        <v>0</v>
      </c>
      <c r="AJ294" s="84">
        <f>SUMIFS(AH$8:AH$1039,$O$8:$O$1039,O294,$AB$8:$AB$1039,AB294,$R$8:$R$1039,R294,$AA$8:$AA$1039,"&lt;="&amp;AA294)</f>
        <v/>
      </c>
      <c r="AK294" s="84">
        <f>D35</f>
        <v/>
      </c>
      <c r="AL294" s="84">
        <f>D41</f>
        <v/>
      </c>
      <c r="AM294" s="84">
        <f>MAX(0,AJ294-AK294)</f>
        <v/>
      </c>
      <c r="AN294" s="84">
        <f>IF(AM294=0,AH294,IF(AM294&gt;=AH294,0,AH294-AM294))</f>
        <v/>
      </c>
      <c r="AO294" s="84">
        <f>IF(AM294&gt;=AH294,AI294,AI294*AM294/AH294)</f>
        <v/>
      </c>
      <c r="AP294">
        <f t="array" ref="AP294">INDEX($AU$8:$BB$25,6*(R294-1)+MATCH(AB294,$AS$8:$AS$13,0),MATCH(O294,$AU$7:$BB$7,0))</f>
        <v/>
      </c>
    </row>
    <row r="295" ht="14.25" customHeight="1">
      <c r="O295" s="43" t="inlineStr">
        <is>
          <t>Q3’26</t>
        </is>
      </c>
      <c r="P295" s="43" t="n">
        <v>1</v>
      </c>
      <c r="Q295" s="43" t="n">
        <v>10</v>
      </c>
      <c r="R295" s="43" t="n">
        <v>3</v>
      </c>
      <c r="S295" s="45" t="n">
        <v>-0</v>
      </c>
      <c r="T295">
        <f>(S293+S294+S295)=P2</f>
        <v/>
      </c>
      <c r="X295" s="84">
        <f>MAX(S292-S295,0)</f>
        <v/>
      </c>
      <c r="Y295" s="83" t="n">
        <v>0</v>
      </c>
      <c r="AA295" s="84" t="n">
        <v>6</v>
      </c>
      <c r="AB295" s="84" t="inlineStr">
        <is>
          <t>D</t>
        </is>
      </c>
      <c r="AC295" s="84" t="inlineStr">
        <is>
          <t>D+</t>
        </is>
      </c>
      <c r="AD295" s="84" t="n">
        <v>14</v>
      </c>
      <c r="AE295" s="84" t="n">
        <v>11</v>
      </c>
      <c r="AF295" s="84" t="n">
        <v>0.8</v>
      </c>
      <c r="AG295" s="84" t="n">
        <v>0.88</v>
      </c>
      <c r="AH295" s="84" t="n">
        <v>0</v>
      </c>
      <c r="AI295" s="84" t="n">
        <v>0</v>
      </c>
      <c r="AJ295" s="84">
        <f>SUMIFS(AH$8:AH$1039,$O$8:$O$1039,O295,$AB$8:$AB$1039,AB295,$R$8:$R$1039,R295,$AA$8:$AA$1039,"&lt;="&amp;AA295)</f>
        <v/>
      </c>
      <c r="AK295" s="84">
        <f>E35</f>
        <v/>
      </c>
      <c r="AL295" s="84">
        <f>E41</f>
        <v/>
      </c>
      <c r="AM295" s="84">
        <f>MAX(0,AJ295-AK295)</f>
        <v/>
      </c>
      <c r="AN295" s="84">
        <f>IF(AM295=0,AH295,IF(AM295&gt;=AH295,0,AH295-AM295))</f>
        <v/>
      </c>
      <c r="AO295" s="84">
        <f>IF(AM295&gt;=AH295,AI295,AI295*AM295/AH295)</f>
        <v/>
      </c>
      <c r="AP295">
        <f t="array" ref="AP295">INDEX($AU$8:$BB$25,6*(R295-1)+MATCH(AB295,$AS$8:$AS$13,0),MATCH(O295,$AU$7:$BB$7,0))</f>
        <v/>
      </c>
    </row>
    <row r="296" ht="14.25" customHeight="1">
      <c r="O296" s="43" t="inlineStr">
        <is>
          <t>Q3’26</t>
        </is>
      </c>
      <c r="P296" s="43" t="n">
        <v>1</v>
      </c>
      <c r="Q296" s="43" t="n">
        <v>11</v>
      </c>
      <c r="R296" s="43" t="n">
        <v>1</v>
      </c>
      <c r="S296" s="45" t="n">
        <v>5555.62762450778</v>
      </c>
      <c r="T296">
        <f>(S296+S297+S298)=P2</f>
        <v/>
      </c>
      <c r="X296" s="84">
        <f>MAX(S293-S296,0)</f>
        <v/>
      </c>
      <c r="Y296" s="83" t="n">
        <v>0</v>
      </c>
      <c r="AA296" s="84" t="n">
        <v>3</v>
      </c>
      <c r="AB296" s="84" t="inlineStr">
        <is>
          <t>F</t>
        </is>
      </c>
      <c r="AC296" s="84" t="inlineStr">
        <is>
          <t>F+</t>
        </is>
      </c>
      <c r="AD296" s="84" t="n">
        <v>18</v>
      </c>
      <c r="AE296" s="84" t="n">
        <v>16</v>
      </c>
      <c r="AF296" s="84" t="n">
        <v>0.8</v>
      </c>
      <c r="AG296" s="84" t="n">
        <v>0.9</v>
      </c>
      <c r="AH296" s="84" t="n">
        <v>0</v>
      </c>
      <c r="AI296" s="84" t="n">
        <v>0</v>
      </c>
      <c r="AJ296" s="84">
        <f>SUMIFS(AH$8:AH$1039,$O$8:$O$1039,O296,$AB$8:$AB$1039,AB296,$R$8:$R$1039,R296,$AA$8:$AA$1039,"&lt;="&amp;AA296)</f>
        <v/>
      </c>
      <c r="AK296" s="84">
        <f>C37</f>
        <v/>
      </c>
      <c r="AL296" s="84">
        <f>C43</f>
        <v/>
      </c>
      <c r="AM296" s="84">
        <f>MAX(0,AJ296-AK296)</f>
        <v/>
      </c>
      <c r="AN296" s="84">
        <f>IF(AM296=0,AH296,IF(AM296&gt;=AH296,0,AH296-AM296))</f>
        <v/>
      </c>
      <c r="AO296" s="84">
        <f>IF(AM296&gt;=AH296,AI296,AI296*AM296/AH296)</f>
        <v/>
      </c>
      <c r="AP296">
        <f t="array" ref="AP296">INDEX($AU$8:$BB$25,6*(R296-1)+MATCH(AB296,$AS$8:$AS$13,0),MATCH(O296,$AU$7:$BB$7,0))</f>
        <v/>
      </c>
    </row>
    <row r="297" ht="14.25" customHeight="1">
      <c r="O297" s="43" t="inlineStr">
        <is>
          <t>Q3’26</t>
        </is>
      </c>
      <c r="P297" s="43" t="n">
        <v>1</v>
      </c>
      <c r="Q297" s="43" t="n">
        <v>11</v>
      </c>
      <c r="R297" s="43" t="n">
        <v>2</v>
      </c>
      <c r="S297" s="45" t="n">
        <v>2944.37237549222</v>
      </c>
      <c r="T297">
        <f>(S296+S297+S298)=P2</f>
        <v/>
      </c>
      <c r="X297" s="84">
        <f>MAX(S294-S297,0)</f>
        <v/>
      </c>
      <c r="Y297" s="83" t="n">
        <v>0</v>
      </c>
      <c r="AA297" s="84" t="n">
        <v>3</v>
      </c>
      <c r="AB297" s="84" t="inlineStr">
        <is>
          <t>F</t>
        </is>
      </c>
      <c r="AC297" s="84" t="inlineStr">
        <is>
          <t>F+</t>
        </is>
      </c>
      <c r="AD297" s="84" t="n">
        <v>18</v>
      </c>
      <c r="AE297" s="84" t="n">
        <v>16</v>
      </c>
      <c r="AF297" s="84" t="n">
        <v>0.8</v>
      </c>
      <c r="AG297" s="84" t="n">
        <v>0.9</v>
      </c>
      <c r="AH297" s="84" t="n">
        <v>0</v>
      </c>
      <c r="AI297" s="84" t="n">
        <v>0</v>
      </c>
      <c r="AJ297" s="84">
        <f>SUMIFS(AH$8:AH$1039,$O$8:$O$1039,O297,$AB$8:$AB$1039,AB297,$R$8:$R$1039,R297,$AA$8:$AA$1039,"&lt;="&amp;AA297)</f>
        <v/>
      </c>
      <c r="AK297" s="84">
        <f>D37</f>
        <v/>
      </c>
      <c r="AL297" s="84">
        <f>D43</f>
        <v/>
      </c>
      <c r="AM297" s="84">
        <f>MAX(0,AJ297-AK297)</f>
        <v/>
      </c>
      <c r="AN297" s="84">
        <f>IF(AM297=0,AH297,IF(AM297&gt;=AH297,0,AH297-AM297))</f>
        <v/>
      </c>
      <c r="AO297" s="84">
        <f>IF(AM297&gt;=AH297,AI297,AI297*AM297/AH297)</f>
        <v/>
      </c>
      <c r="AP297">
        <f t="array" ref="AP297">INDEX($AU$8:$BB$25,6*(R297-1)+MATCH(AB297,$AS$8:$AS$13,0),MATCH(O297,$AU$7:$BB$7,0))</f>
        <v/>
      </c>
    </row>
    <row r="298" ht="14.25" customHeight="1">
      <c r="O298" s="43" t="inlineStr">
        <is>
          <t>Q3’26</t>
        </is>
      </c>
      <c r="P298" s="43" t="n">
        <v>1</v>
      </c>
      <c r="Q298" s="43" t="n">
        <v>11</v>
      </c>
      <c r="R298" s="43" t="n">
        <v>3</v>
      </c>
      <c r="S298" s="45" t="n">
        <v>0</v>
      </c>
      <c r="T298">
        <f>(S296+S297+S298)=P2</f>
        <v/>
      </c>
      <c r="X298" s="84">
        <f>MAX(S295-S298,0)</f>
        <v/>
      </c>
      <c r="Y298" s="83" t="n">
        <v>0</v>
      </c>
      <c r="AA298" s="84" t="n">
        <v>3</v>
      </c>
      <c r="AB298" s="84" t="inlineStr">
        <is>
          <t>F</t>
        </is>
      </c>
      <c r="AC298" s="84" t="inlineStr">
        <is>
          <t>F+</t>
        </is>
      </c>
      <c r="AD298" s="84" t="n">
        <v>18</v>
      </c>
      <c r="AE298" s="84" t="n">
        <v>16</v>
      </c>
      <c r="AF298" s="84" t="n">
        <v>0.8</v>
      </c>
      <c r="AG298" s="84" t="n">
        <v>0.9</v>
      </c>
      <c r="AH298" s="84" t="n">
        <v>0</v>
      </c>
      <c r="AI298" s="84" t="n">
        <v>0</v>
      </c>
      <c r="AJ298" s="84">
        <f>SUMIFS(AH$8:AH$1039,$O$8:$O$1039,O298,$AB$8:$AB$1039,AB298,$R$8:$R$1039,R298,$AA$8:$AA$1039,"&lt;="&amp;AA298)</f>
        <v/>
      </c>
      <c r="AK298" s="84">
        <f>E37</f>
        <v/>
      </c>
      <c r="AL298" s="84">
        <f>E43</f>
        <v/>
      </c>
      <c r="AM298" s="84">
        <f>MAX(0,AJ298-AK298)</f>
        <v/>
      </c>
      <c r="AN298" s="84">
        <f>IF(AM298=0,AH298,IF(AM298&gt;=AH298,0,AH298-AM298))</f>
        <v/>
      </c>
      <c r="AO298" s="84">
        <f>IF(AM298&gt;=AH298,AI298,AI298*AM298/AH298)</f>
        <v/>
      </c>
      <c r="AP298">
        <f t="array" ref="AP298">INDEX($AU$8:$BB$25,6*(R298-1)+MATCH(AB298,$AS$8:$AS$13,0),MATCH(O298,$AU$7:$BB$7,0))</f>
        <v/>
      </c>
    </row>
    <row r="299" ht="14.25" customHeight="1">
      <c r="O299" s="43" t="inlineStr">
        <is>
          <t>Q3’26</t>
        </is>
      </c>
      <c r="P299" s="43" t="n">
        <v>2</v>
      </c>
      <c r="Q299" s="43" t="n">
        <v>1</v>
      </c>
      <c r="R299" s="43" t="n">
        <v>1</v>
      </c>
      <c r="S299" s="45" t="n">
        <v>3429.44</v>
      </c>
      <c r="T299">
        <f>(S299+S300+S301)=P3</f>
        <v/>
      </c>
      <c r="X299" s="84" t="n">
        <v>0</v>
      </c>
      <c r="Y299" s="83" t="n">
        <v>0</v>
      </c>
      <c r="AA299" s="84" t="n">
        <v>9</v>
      </c>
      <c r="AB299" s="84" t="inlineStr">
        <is>
          <t>F</t>
        </is>
      </c>
      <c r="AC299" s="84" t="inlineStr">
        <is>
          <t>F+</t>
        </is>
      </c>
      <c r="AD299" s="84" t="n">
        <v>19</v>
      </c>
      <c r="AE299" s="84" t="n">
        <v>16</v>
      </c>
      <c r="AF299" s="84" t="n">
        <v>0.8</v>
      </c>
      <c r="AG299" s="84" t="n">
        <v>0.9</v>
      </c>
      <c r="AH299" s="84" t="n">
        <v>0</v>
      </c>
      <c r="AI299" s="84" t="n">
        <v>0</v>
      </c>
      <c r="AJ299" s="84">
        <f>SUMIFS(AH$8:AH$1039,$O$8:$O$1039,O299,$AB$8:$AB$1039,AB299,$R$8:$R$1039,R299,$AA$8:$AA$1039,"&lt;="&amp;AA299)</f>
        <v/>
      </c>
      <c r="AK299" s="84">
        <f>C37</f>
        <v/>
      </c>
      <c r="AL299" s="84">
        <f>C43</f>
        <v/>
      </c>
      <c r="AM299" s="84">
        <f>MAX(0,AJ299-AK299)</f>
        <v/>
      </c>
      <c r="AN299" s="84">
        <f>IF(AM299=0,AH299,IF(AM299&gt;=AH299,0,AH299-AM299))</f>
        <v/>
      </c>
      <c r="AO299" s="84">
        <f>IF(AM299&gt;=AH299,AI299,AI299*AM299/AH299)</f>
        <v/>
      </c>
      <c r="AP299">
        <f t="array" ref="AP299">INDEX($AU$8:$BB$25,6*(R299-1)+MATCH(AB299,$AS$8:$AS$13,0),MATCH(O299,$AU$7:$BB$7,0))</f>
        <v/>
      </c>
    </row>
    <row r="300" ht="14.25" customHeight="1">
      <c r="O300" s="43" t="inlineStr">
        <is>
          <t>Q3’26</t>
        </is>
      </c>
      <c r="P300" s="43" t="n">
        <v>2</v>
      </c>
      <c r="Q300" s="43" t="n">
        <v>1</v>
      </c>
      <c r="R300" s="43" t="n">
        <v>2</v>
      </c>
      <c r="S300" s="45" t="n">
        <v>1970.56</v>
      </c>
      <c r="T300">
        <f>(S299+S300+S301)=P3</f>
        <v/>
      </c>
      <c r="X300" s="84" t="n">
        <v>0</v>
      </c>
      <c r="Y300" s="83" t="n">
        <v>0</v>
      </c>
      <c r="AA300" s="84" t="n">
        <v>9</v>
      </c>
      <c r="AB300" s="84" t="inlineStr">
        <is>
          <t>F</t>
        </is>
      </c>
      <c r="AC300" s="84" t="inlineStr">
        <is>
          <t>F+</t>
        </is>
      </c>
      <c r="AD300" s="84" t="n">
        <v>19</v>
      </c>
      <c r="AE300" s="84" t="n">
        <v>16</v>
      </c>
      <c r="AF300" s="84" t="n">
        <v>0.8</v>
      </c>
      <c r="AG300" s="84" t="n">
        <v>0.9</v>
      </c>
      <c r="AH300" s="84" t="n">
        <v>0</v>
      </c>
      <c r="AI300" s="84" t="n">
        <v>0</v>
      </c>
      <c r="AJ300" s="84">
        <f>SUMIFS(AH$8:AH$1039,$O$8:$O$1039,O300,$AB$8:$AB$1039,AB300,$R$8:$R$1039,R300,$AA$8:$AA$1039,"&lt;="&amp;AA300)</f>
        <v/>
      </c>
      <c r="AK300" s="84">
        <f>D37</f>
        <v/>
      </c>
      <c r="AL300" s="84">
        <f>D43</f>
        <v/>
      </c>
      <c r="AM300" s="84">
        <f>MAX(0,AJ300-AK300)</f>
        <v/>
      </c>
      <c r="AN300" s="84">
        <f>IF(AM300=0,AH300,IF(AM300&gt;=AH300,0,AH300-AM300))</f>
        <v/>
      </c>
      <c r="AO300" s="84">
        <f>IF(AM300&gt;=AH300,AI300,AI300*AM300/AH300)</f>
        <v/>
      </c>
      <c r="AP300">
        <f t="array" ref="AP300">INDEX($AU$8:$BB$25,6*(R300-1)+MATCH(AB300,$AS$8:$AS$13,0),MATCH(O300,$AU$7:$BB$7,0))</f>
        <v/>
      </c>
    </row>
    <row r="301" ht="14.25" customHeight="1">
      <c r="O301" s="43" t="inlineStr">
        <is>
          <t>Q3’26</t>
        </is>
      </c>
      <c r="P301" s="43" t="n">
        <v>2</v>
      </c>
      <c r="Q301" s="43" t="n">
        <v>1</v>
      </c>
      <c r="R301" s="43" t="n">
        <v>3</v>
      </c>
      <c r="S301" s="45" t="n">
        <v>0</v>
      </c>
      <c r="T301">
        <f>(S299+S300+S301)=P3</f>
        <v/>
      </c>
      <c r="X301" s="84" t="n">
        <v>0</v>
      </c>
      <c r="Y301" s="83" t="n">
        <v>0</v>
      </c>
      <c r="AA301" s="84" t="n">
        <v>9</v>
      </c>
      <c r="AB301" s="84" t="inlineStr">
        <is>
          <t>F</t>
        </is>
      </c>
      <c r="AC301" s="84" t="inlineStr">
        <is>
          <t>F+</t>
        </is>
      </c>
      <c r="AD301" s="84" t="n">
        <v>19</v>
      </c>
      <c r="AE301" s="84" t="n">
        <v>16</v>
      </c>
      <c r="AF301" s="84" t="n">
        <v>0.8</v>
      </c>
      <c r="AG301" s="84" t="n">
        <v>0.9</v>
      </c>
      <c r="AH301" s="84" t="n">
        <v>0</v>
      </c>
      <c r="AI301" s="84" t="n">
        <v>0</v>
      </c>
      <c r="AJ301" s="84">
        <f>SUMIFS(AH$8:AH$1039,$O$8:$O$1039,O301,$AB$8:$AB$1039,AB301,$R$8:$R$1039,R301,$AA$8:$AA$1039,"&lt;="&amp;AA301)</f>
        <v/>
      </c>
      <c r="AK301" s="84">
        <f>E37</f>
        <v/>
      </c>
      <c r="AL301" s="84">
        <f>E43</f>
        <v/>
      </c>
      <c r="AM301" s="84">
        <f>MAX(0,AJ301-AK301)</f>
        <v/>
      </c>
      <c r="AN301" s="84">
        <f>IF(AM301=0,AH301,IF(AM301&gt;=AH301,0,AH301-AM301))</f>
        <v/>
      </c>
      <c r="AO301" s="84">
        <f>IF(AM301&gt;=AH301,AI301,AI301*AM301/AH301)</f>
        <v/>
      </c>
      <c r="AP301">
        <f t="array" ref="AP301">INDEX($AU$8:$BB$25,6*(R301-1)+MATCH(AB301,$AS$8:$AS$13,0),MATCH(O301,$AU$7:$BB$7,0))</f>
        <v/>
      </c>
    </row>
    <row r="302" ht="14.25" customHeight="1">
      <c r="O302" s="43" t="inlineStr">
        <is>
          <t>Q3’26</t>
        </is>
      </c>
      <c r="P302" s="43" t="n">
        <v>2</v>
      </c>
      <c r="Q302" s="43" t="n">
        <v>2</v>
      </c>
      <c r="R302" s="43" t="n">
        <v>1</v>
      </c>
      <c r="S302" s="45" t="n">
        <v>3429.44</v>
      </c>
      <c r="T302">
        <f>(S302+S303+S304)=P3</f>
        <v/>
      </c>
      <c r="X302" s="84">
        <f>MAX(S299-S302,0)</f>
        <v/>
      </c>
      <c r="Y302" s="83" t="n">
        <v>0</v>
      </c>
      <c r="AA302" s="84" t="n">
        <v>1</v>
      </c>
      <c r="AB302" s="84" t="inlineStr">
        <is>
          <t>B</t>
        </is>
      </c>
      <c r="AC302" s="84" t="inlineStr">
        <is>
          <t>B+</t>
        </is>
      </c>
      <c r="AD302" s="84" t="n">
        <v>20</v>
      </c>
      <c r="AE302" s="84" t="n">
        <v>18</v>
      </c>
      <c r="AF302" s="84" t="n">
        <v>0.76</v>
      </c>
      <c r="AG302" s="84" t="n">
        <v>0.8100000000000001</v>
      </c>
      <c r="AH302" s="84" t="n">
        <v>0</v>
      </c>
      <c r="AI302" s="84" t="n">
        <v>0</v>
      </c>
      <c r="AJ302" s="84">
        <f>SUMIFS(AH$8:AH$1039,$O$8:$O$1039,O302,$AB$8:$AB$1039,AB302,$R$8:$R$1039,R302,$AA$8:$AA$1039,"&lt;="&amp;AA302)</f>
        <v/>
      </c>
      <c r="AK302" s="84">
        <f>C33</f>
        <v/>
      </c>
      <c r="AL302" s="84">
        <f>C39</f>
        <v/>
      </c>
      <c r="AM302" s="84">
        <f>MAX(0,AJ302-AK302)</f>
        <v/>
      </c>
      <c r="AN302" s="84">
        <f>IF(AM302=0,AH302,IF(AM302&gt;=AH302,0,AH302-AM302))</f>
        <v/>
      </c>
      <c r="AO302" s="84">
        <f>IF(AM302&gt;=AH302,AI302,AI302*AM302/AH302)</f>
        <v/>
      </c>
      <c r="AP302">
        <f t="array" ref="AP302">INDEX($AU$8:$BB$25,6*(R302-1)+MATCH(AB302,$AS$8:$AS$13,0),MATCH(O302,$AU$7:$BB$7,0))</f>
        <v/>
      </c>
    </row>
    <row r="303" ht="14.25" customHeight="1">
      <c r="O303" s="43" t="inlineStr">
        <is>
          <t>Q3’26</t>
        </is>
      </c>
      <c r="P303" s="43" t="n">
        <v>2</v>
      </c>
      <c r="Q303" s="43" t="n">
        <v>2</v>
      </c>
      <c r="R303" s="43" t="n">
        <v>2</v>
      </c>
      <c r="S303" s="45" t="n">
        <v>1970.56</v>
      </c>
      <c r="T303">
        <f>(S302+S303+S304)=P3</f>
        <v/>
      </c>
      <c r="X303" s="84">
        <f>MAX(S300-S303,0)</f>
        <v/>
      </c>
      <c r="Y303" s="83" t="n">
        <v>0</v>
      </c>
      <c r="AA303" s="84" t="n">
        <v>1</v>
      </c>
      <c r="AB303" s="84" t="inlineStr">
        <is>
          <t>B</t>
        </is>
      </c>
      <c r="AC303" s="84" t="inlineStr">
        <is>
          <t>B+</t>
        </is>
      </c>
      <c r="AD303" s="84" t="n">
        <v>20</v>
      </c>
      <c r="AE303" s="84" t="n">
        <v>18</v>
      </c>
      <c r="AF303" s="84" t="n">
        <v>0.76</v>
      </c>
      <c r="AG303" s="84" t="n">
        <v>0.8100000000000001</v>
      </c>
      <c r="AH303" s="84" t="n">
        <v>0</v>
      </c>
      <c r="AI303" s="84" t="n">
        <v>0</v>
      </c>
      <c r="AJ303" s="84">
        <f>SUMIFS(AH$8:AH$1039,$O$8:$O$1039,O303,$AB$8:$AB$1039,AB303,$R$8:$R$1039,R303,$AA$8:$AA$1039,"&lt;="&amp;AA303)</f>
        <v/>
      </c>
      <c r="AK303" s="84">
        <f>D33</f>
        <v/>
      </c>
      <c r="AL303" s="84">
        <f>D39</f>
        <v/>
      </c>
      <c r="AM303" s="84">
        <f>MAX(0,AJ303-AK303)</f>
        <v/>
      </c>
      <c r="AN303" s="84">
        <f>IF(AM303=0,AH303,IF(AM303&gt;=AH303,0,AH303-AM303))</f>
        <v/>
      </c>
      <c r="AO303" s="84">
        <f>IF(AM303&gt;=AH303,AI303,AI303*AM303/AH303)</f>
        <v/>
      </c>
      <c r="AP303">
        <f t="array" ref="AP303">INDEX($AU$8:$BB$25,6*(R303-1)+MATCH(AB303,$AS$8:$AS$13,0),MATCH(O303,$AU$7:$BB$7,0))</f>
        <v/>
      </c>
    </row>
    <row r="304" ht="14.25" customHeight="1">
      <c r="O304" s="43" t="inlineStr">
        <is>
          <t>Q3’26</t>
        </is>
      </c>
      <c r="P304" s="43" t="n">
        <v>2</v>
      </c>
      <c r="Q304" s="43" t="n">
        <v>2</v>
      </c>
      <c r="R304" s="43" t="n">
        <v>3</v>
      </c>
      <c r="S304" s="45" t="n">
        <v>0</v>
      </c>
      <c r="T304">
        <f>(S302+S303+S304)=P3</f>
        <v/>
      </c>
      <c r="X304" s="84">
        <f>MAX(S301-S304,0)</f>
        <v/>
      </c>
      <c r="Y304" s="83" t="n">
        <v>0</v>
      </c>
      <c r="AA304" s="84" t="n">
        <v>1</v>
      </c>
      <c r="AB304" s="84" t="inlineStr">
        <is>
          <t>B</t>
        </is>
      </c>
      <c r="AC304" s="84" t="inlineStr">
        <is>
          <t>B+</t>
        </is>
      </c>
      <c r="AD304" s="84" t="n">
        <v>20</v>
      </c>
      <c r="AE304" s="84" t="n">
        <v>18</v>
      </c>
      <c r="AF304" s="84" t="n">
        <v>0.76</v>
      </c>
      <c r="AG304" s="84" t="n">
        <v>0.8100000000000001</v>
      </c>
      <c r="AH304" s="84" t="n">
        <v>0</v>
      </c>
      <c r="AI304" s="84" t="n">
        <v>0</v>
      </c>
      <c r="AJ304" s="84">
        <f>SUMIFS(AH$8:AH$1039,$O$8:$O$1039,O304,$AB$8:$AB$1039,AB304,$R$8:$R$1039,R304,$AA$8:$AA$1039,"&lt;="&amp;AA304)</f>
        <v/>
      </c>
      <c r="AK304" s="84">
        <f>E33</f>
        <v/>
      </c>
      <c r="AL304" s="84">
        <f>E39</f>
        <v/>
      </c>
      <c r="AM304" s="84">
        <f>MAX(0,AJ304-AK304)</f>
        <v/>
      </c>
      <c r="AN304" s="84">
        <f>IF(AM304=0,AH304,IF(AM304&gt;=AH304,0,AH304-AM304))</f>
        <v/>
      </c>
      <c r="AO304" s="84">
        <f>IF(AM304&gt;=AH304,AI304,AI304*AM304/AH304)</f>
        <v/>
      </c>
      <c r="AP304">
        <f t="array" ref="AP304">INDEX($AU$8:$BB$25,6*(R304-1)+MATCH(AB304,$AS$8:$AS$13,0),MATCH(O304,$AU$7:$BB$7,0))</f>
        <v/>
      </c>
    </row>
    <row r="305" ht="14.25" customHeight="1">
      <c r="O305" s="43" t="inlineStr">
        <is>
          <t>Q3’26</t>
        </is>
      </c>
      <c r="P305" s="43" t="n">
        <v>2</v>
      </c>
      <c r="Q305" s="43" t="n">
        <v>3</v>
      </c>
      <c r="R305" s="43" t="n">
        <v>1</v>
      </c>
      <c r="S305" s="45" t="n">
        <v>3429.44</v>
      </c>
      <c r="T305">
        <f>(S305+S306+S307)=P3</f>
        <v/>
      </c>
      <c r="X305" s="84">
        <f>MAX(S302-S305,0)</f>
        <v/>
      </c>
      <c r="Y305" s="83" t="n">
        <v>0</v>
      </c>
      <c r="AA305" s="84" t="n">
        <v>11</v>
      </c>
      <c r="AB305" s="84" t="inlineStr">
        <is>
          <t>E</t>
        </is>
      </c>
      <c r="AC305" s="84" t="inlineStr">
        <is>
          <t>E+</t>
        </is>
      </c>
      <c r="AD305" s="84" t="n">
        <v>10</v>
      </c>
      <c r="AE305" s="84" t="n">
        <v>7</v>
      </c>
      <c r="AF305" s="84" t="n">
        <v>0.76</v>
      </c>
      <c r="AG305" s="84" t="n">
        <v>0.84</v>
      </c>
      <c r="AH305" s="84" t="n">
        <v>0</v>
      </c>
      <c r="AI305" s="84" t="n">
        <v>0</v>
      </c>
      <c r="AJ305" s="84">
        <f>SUMIFS(AH$8:AH$1039,$O$8:$O$1039,O305,$AB$8:$AB$1039,AB305,$R$8:$R$1039,R305,$AA$8:$AA$1039,"&lt;="&amp;AA305)</f>
        <v/>
      </c>
      <c r="AK305" s="84">
        <f>C36</f>
        <v/>
      </c>
      <c r="AL305" s="84">
        <f>C42</f>
        <v/>
      </c>
      <c r="AM305" s="84">
        <f>MAX(0,AJ305-AK305)</f>
        <v/>
      </c>
      <c r="AN305" s="84">
        <f>IF(AM305=0,AH305,IF(AM305&gt;=AH305,0,AH305-AM305))</f>
        <v/>
      </c>
      <c r="AO305" s="84">
        <f>IF(AM305&gt;=AH305,AI305,AI305*AM305/AH305)</f>
        <v/>
      </c>
      <c r="AP305">
        <f t="array" ref="AP305">INDEX($AU$8:$BB$25,6*(R305-1)+MATCH(AB305,$AS$8:$AS$13,0),MATCH(O305,$AU$7:$BB$7,0))</f>
        <v/>
      </c>
    </row>
    <row r="306" ht="14.25" customHeight="1">
      <c r="O306" s="43" t="inlineStr">
        <is>
          <t>Q3’26</t>
        </is>
      </c>
      <c r="P306" s="43" t="n">
        <v>2</v>
      </c>
      <c r="Q306" s="43" t="n">
        <v>3</v>
      </c>
      <c r="R306" s="43" t="n">
        <v>2</v>
      </c>
      <c r="S306" s="45" t="n">
        <v>1970.56</v>
      </c>
      <c r="T306">
        <f>(S305+S306+S307)=P3</f>
        <v/>
      </c>
      <c r="X306" s="84">
        <f>MAX(S303-S306,0)</f>
        <v/>
      </c>
      <c r="Y306" s="83" t="n">
        <v>0</v>
      </c>
      <c r="AA306" s="84" t="n">
        <v>11</v>
      </c>
      <c r="AB306" s="84" t="inlineStr">
        <is>
          <t>E</t>
        </is>
      </c>
      <c r="AC306" s="84" t="inlineStr">
        <is>
          <t>E+</t>
        </is>
      </c>
      <c r="AD306" s="84" t="n">
        <v>10</v>
      </c>
      <c r="AE306" s="84" t="n">
        <v>7</v>
      </c>
      <c r="AF306" s="84" t="n">
        <v>0.76</v>
      </c>
      <c r="AG306" s="84" t="n">
        <v>0.84</v>
      </c>
      <c r="AH306" s="84" t="n">
        <v>0</v>
      </c>
      <c r="AI306" s="84" t="n">
        <v>0</v>
      </c>
      <c r="AJ306" s="84">
        <f>SUMIFS(AH$8:AH$1039,$O$8:$O$1039,O306,$AB$8:$AB$1039,AB306,$R$8:$R$1039,R306,$AA$8:$AA$1039,"&lt;="&amp;AA306)</f>
        <v/>
      </c>
      <c r="AK306" s="84">
        <f>D36</f>
        <v/>
      </c>
      <c r="AL306" s="84">
        <f>D42</f>
        <v/>
      </c>
      <c r="AM306" s="84">
        <f>MAX(0,AJ306-AK306)</f>
        <v/>
      </c>
      <c r="AN306" s="84">
        <f>IF(AM306=0,AH306,IF(AM306&gt;=AH306,0,AH306-AM306))</f>
        <v/>
      </c>
      <c r="AO306" s="84">
        <f>IF(AM306&gt;=AH306,AI306,AI306*AM306/AH306)</f>
        <v/>
      </c>
      <c r="AP306">
        <f t="array" ref="AP306">INDEX($AU$8:$BB$25,6*(R306-1)+MATCH(AB306,$AS$8:$AS$13,0),MATCH(O306,$AU$7:$BB$7,0))</f>
        <v/>
      </c>
    </row>
    <row r="307" ht="14.25" customHeight="1">
      <c r="O307" s="43" t="inlineStr">
        <is>
          <t>Q3’26</t>
        </is>
      </c>
      <c r="P307" s="43" t="n">
        <v>2</v>
      </c>
      <c r="Q307" s="43" t="n">
        <v>3</v>
      </c>
      <c r="R307" s="43" t="n">
        <v>3</v>
      </c>
      <c r="S307" s="45" t="n">
        <v>0</v>
      </c>
      <c r="T307">
        <f>(S305+S306+S307)=P3</f>
        <v/>
      </c>
      <c r="X307" s="84">
        <f>MAX(S304-S307,0)</f>
        <v/>
      </c>
      <c r="Y307" s="83" t="n">
        <v>0</v>
      </c>
      <c r="AA307" s="84" t="n">
        <v>11</v>
      </c>
      <c r="AB307" s="84" t="inlineStr">
        <is>
          <t>E</t>
        </is>
      </c>
      <c r="AC307" s="84" t="inlineStr">
        <is>
          <t>E+</t>
        </is>
      </c>
      <c r="AD307" s="84" t="n">
        <v>10</v>
      </c>
      <c r="AE307" s="84" t="n">
        <v>7</v>
      </c>
      <c r="AF307" s="84" t="n">
        <v>0.76</v>
      </c>
      <c r="AG307" s="84" t="n">
        <v>0.84</v>
      </c>
      <c r="AH307" s="84" t="n">
        <v>0</v>
      </c>
      <c r="AI307" s="84" t="n">
        <v>0</v>
      </c>
      <c r="AJ307" s="84">
        <f>SUMIFS(AH$8:AH$1039,$O$8:$O$1039,O307,$AB$8:$AB$1039,AB307,$R$8:$R$1039,R307,$AA$8:$AA$1039,"&lt;="&amp;AA307)</f>
        <v/>
      </c>
      <c r="AK307" s="84">
        <f>E36</f>
        <v/>
      </c>
      <c r="AL307" s="84">
        <f>E42</f>
        <v/>
      </c>
      <c r="AM307" s="84">
        <f>MAX(0,AJ307-AK307)</f>
        <v/>
      </c>
      <c r="AN307" s="84">
        <f>IF(AM307=0,AH307,IF(AM307&gt;=AH307,0,AH307-AM307))</f>
        <v/>
      </c>
      <c r="AO307" s="84">
        <f>IF(AM307&gt;=AH307,AI307,AI307*AM307/AH307)</f>
        <v/>
      </c>
      <c r="AP307">
        <f t="array" ref="AP307">INDEX($AU$8:$BB$25,6*(R307-1)+MATCH(AB307,$AS$8:$AS$13,0),MATCH(O307,$AU$7:$BB$7,0))</f>
        <v/>
      </c>
    </row>
    <row r="308" ht="14.25" customHeight="1">
      <c r="O308" s="43" t="inlineStr">
        <is>
          <t>Q3’26</t>
        </is>
      </c>
      <c r="P308" s="43" t="n">
        <v>2</v>
      </c>
      <c r="Q308" s="43" t="n">
        <v>4</v>
      </c>
      <c r="R308" s="43" t="n">
        <v>1</v>
      </c>
      <c r="S308" s="45" t="n">
        <v>3429.440000000001</v>
      </c>
      <c r="T308">
        <f>(S308+S309+S310)=P3</f>
        <v/>
      </c>
      <c r="X308" s="84">
        <f>MAX(S305-S308,0)</f>
        <v/>
      </c>
      <c r="Y308" s="83" t="n">
        <v>0</v>
      </c>
      <c r="AA308" s="84" t="n">
        <v>2</v>
      </c>
      <c r="AB308" s="84" t="inlineStr">
        <is>
          <t>B</t>
        </is>
      </c>
      <c r="AC308" s="84" t="inlineStr">
        <is>
          <t>B+</t>
        </is>
      </c>
      <c r="AD308" s="84" t="n">
        <v>25</v>
      </c>
      <c r="AE308" s="84" t="n">
        <v>19</v>
      </c>
      <c r="AF308" s="84" t="n">
        <v>0.76</v>
      </c>
      <c r="AG308" s="84" t="n">
        <v>0.8100000000000001</v>
      </c>
      <c r="AH308" s="84" t="n">
        <v>0</v>
      </c>
      <c r="AI308" s="84" t="n">
        <v>0</v>
      </c>
      <c r="AJ308" s="84">
        <f>SUMIFS(AH$8:AH$1039,$O$8:$O$1039,O308,$AB$8:$AB$1039,AB308,$R$8:$R$1039,R308,$AA$8:$AA$1039,"&lt;="&amp;AA308)</f>
        <v/>
      </c>
      <c r="AK308" s="84">
        <f>C33</f>
        <v/>
      </c>
      <c r="AL308" s="84">
        <f>C39</f>
        <v/>
      </c>
      <c r="AM308" s="84">
        <f>MAX(0,AJ308-AK308)</f>
        <v/>
      </c>
      <c r="AN308" s="84">
        <f>IF(AM308=0,AH308,IF(AM308&gt;=AH308,0,AH308-AM308))</f>
        <v/>
      </c>
      <c r="AO308" s="84">
        <f>IF(AM308&gt;=AH308,AI308,AI308*AM308/AH308)</f>
        <v/>
      </c>
      <c r="AP308">
        <f t="array" ref="AP308">INDEX($AU$8:$BB$25,6*(R308-1)+MATCH(AB308,$AS$8:$AS$13,0),MATCH(O308,$AU$7:$BB$7,0))</f>
        <v/>
      </c>
    </row>
    <row r="309" ht="14.25" customHeight="1">
      <c r="O309" s="43" t="inlineStr">
        <is>
          <t>Q3’26</t>
        </is>
      </c>
      <c r="P309" s="43" t="n">
        <v>2</v>
      </c>
      <c r="Q309" s="43" t="n">
        <v>4</v>
      </c>
      <c r="R309" s="43" t="n">
        <v>2</v>
      </c>
      <c r="S309" s="45" t="n">
        <v>1970.559999999999</v>
      </c>
      <c r="T309">
        <f>(S308+S309+S310)=P3</f>
        <v/>
      </c>
      <c r="X309" s="84">
        <f>MAX(S306-S309,0)</f>
        <v/>
      </c>
      <c r="Y309" s="83" t="n">
        <v>0</v>
      </c>
      <c r="AA309" s="84" t="n">
        <v>2</v>
      </c>
      <c r="AB309" s="84" t="inlineStr">
        <is>
          <t>B</t>
        </is>
      </c>
      <c r="AC309" s="84" t="inlineStr">
        <is>
          <t>B+</t>
        </is>
      </c>
      <c r="AD309" s="84" t="n">
        <v>25</v>
      </c>
      <c r="AE309" s="84" t="n">
        <v>19</v>
      </c>
      <c r="AF309" s="84" t="n">
        <v>0.76</v>
      </c>
      <c r="AG309" s="84" t="n">
        <v>0.8100000000000001</v>
      </c>
      <c r="AH309" s="84" t="n">
        <v>0</v>
      </c>
      <c r="AI309" s="84" t="n">
        <v>0</v>
      </c>
      <c r="AJ309" s="84">
        <f>SUMIFS(AH$8:AH$1039,$O$8:$O$1039,O309,$AB$8:$AB$1039,AB309,$R$8:$R$1039,R309,$AA$8:$AA$1039,"&lt;="&amp;AA309)</f>
        <v/>
      </c>
      <c r="AK309" s="84">
        <f>D33</f>
        <v/>
      </c>
      <c r="AL309" s="84">
        <f>D39</f>
        <v/>
      </c>
      <c r="AM309" s="84">
        <f>MAX(0,AJ309-AK309)</f>
        <v/>
      </c>
      <c r="AN309" s="84">
        <f>IF(AM309=0,AH309,IF(AM309&gt;=AH309,0,AH309-AM309))</f>
        <v/>
      </c>
      <c r="AO309" s="84">
        <f>IF(AM309&gt;=AH309,AI309,AI309*AM309/AH309)</f>
        <v/>
      </c>
      <c r="AP309">
        <f t="array" ref="AP309">INDEX($AU$8:$BB$25,6*(R309-1)+MATCH(AB309,$AS$8:$AS$13,0),MATCH(O309,$AU$7:$BB$7,0))</f>
        <v/>
      </c>
    </row>
    <row r="310" ht="14.25" customHeight="1">
      <c r="O310" s="43" t="inlineStr">
        <is>
          <t>Q3’26</t>
        </is>
      </c>
      <c r="P310" s="43" t="n">
        <v>2</v>
      </c>
      <c r="Q310" s="43" t="n">
        <v>4</v>
      </c>
      <c r="R310" s="43" t="n">
        <v>3</v>
      </c>
      <c r="S310" s="45" t="n">
        <v>0</v>
      </c>
      <c r="T310">
        <f>(S308+S309+S310)=P3</f>
        <v/>
      </c>
      <c r="X310" s="84">
        <f>MAX(S307-S310,0)</f>
        <v/>
      </c>
      <c r="Y310" s="83" t="n">
        <v>0</v>
      </c>
      <c r="AA310" s="84" t="n">
        <v>2</v>
      </c>
      <c r="AB310" s="84" t="inlineStr">
        <is>
          <t>B</t>
        </is>
      </c>
      <c r="AC310" s="84" t="inlineStr">
        <is>
          <t>B+</t>
        </is>
      </c>
      <c r="AD310" s="84" t="n">
        <v>25</v>
      </c>
      <c r="AE310" s="84" t="n">
        <v>19</v>
      </c>
      <c r="AF310" s="84" t="n">
        <v>0.76</v>
      </c>
      <c r="AG310" s="84" t="n">
        <v>0.8100000000000001</v>
      </c>
      <c r="AH310" s="84" t="n">
        <v>0</v>
      </c>
      <c r="AI310" s="84" t="n">
        <v>0</v>
      </c>
      <c r="AJ310" s="84">
        <f>SUMIFS(AH$8:AH$1039,$O$8:$O$1039,O310,$AB$8:$AB$1039,AB310,$R$8:$R$1039,R310,$AA$8:$AA$1039,"&lt;="&amp;AA310)</f>
        <v/>
      </c>
      <c r="AK310" s="84">
        <f>E33</f>
        <v/>
      </c>
      <c r="AL310" s="84">
        <f>E39</f>
        <v/>
      </c>
      <c r="AM310" s="84">
        <f>MAX(0,AJ310-AK310)</f>
        <v/>
      </c>
      <c r="AN310" s="84">
        <f>IF(AM310=0,AH310,IF(AM310&gt;=AH310,0,AH310-AM310))</f>
        <v/>
      </c>
      <c r="AO310" s="84">
        <f>IF(AM310&gt;=AH310,AI310,AI310*AM310/AH310)</f>
        <v/>
      </c>
      <c r="AP310">
        <f t="array" ref="AP310">INDEX($AU$8:$BB$25,6*(R310-1)+MATCH(AB310,$AS$8:$AS$13,0),MATCH(O310,$AU$7:$BB$7,0))</f>
        <v/>
      </c>
    </row>
    <row r="311" ht="14.25" customHeight="1">
      <c r="O311" s="43" t="inlineStr">
        <is>
          <t>Q3’26</t>
        </is>
      </c>
      <c r="P311" s="43" t="n">
        <v>2</v>
      </c>
      <c r="Q311" s="43" t="n">
        <v>5</v>
      </c>
      <c r="R311" s="43" t="n">
        <v>1</v>
      </c>
      <c r="S311" s="45" t="n">
        <v>3429.440000000001</v>
      </c>
      <c r="T311">
        <f>(S311+S312+S313)=P3</f>
        <v/>
      </c>
      <c r="X311" s="84">
        <f>MAX(S308-S311,0)</f>
        <v/>
      </c>
      <c r="Y311" s="83" t="n">
        <v>0</v>
      </c>
      <c r="AA311" s="84" t="n">
        <v>3</v>
      </c>
      <c r="AB311" s="84" t="inlineStr">
        <is>
          <t>B</t>
        </is>
      </c>
      <c r="AC311" s="84" t="inlineStr">
        <is>
          <t>B+</t>
        </is>
      </c>
      <c r="AD311" s="84" t="n">
        <v>15</v>
      </c>
      <c r="AE311" s="84" t="n">
        <v>11</v>
      </c>
      <c r="AF311" s="84" t="n">
        <v>0.76</v>
      </c>
      <c r="AG311" s="84" t="n">
        <v>0.8100000000000001</v>
      </c>
      <c r="AH311" s="84" t="n">
        <v>0</v>
      </c>
      <c r="AI311" s="84" t="n">
        <v>0</v>
      </c>
      <c r="AJ311" s="84">
        <f>SUMIFS(AH$8:AH$1039,$O$8:$O$1039,O311,$AB$8:$AB$1039,AB311,$R$8:$R$1039,R311,$AA$8:$AA$1039,"&lt;="&amp;AA311)</f>
        <v/>
      </c>
      <c r="AK311" s="84">
        <f>C33</f>
        <v/>
      </c>
      <c r="AL311" s="84">
        <f>C39</f>
        <v/>
      </c>
      <c r="AM311" s="84">
        <f>MAX(0,AJ311-AK311)</f>
        <v/>
      </c>
      <c r="AN311" s="84">
        <f>IF(AM311=0,AH311,IF(AM311&gt;=AH311,0,AH311-AM311))</f>
        <v/>
      </c>
      <c r="AO311" s="84">
        <f>IF(AM311&gt;=AH311,AI311,AI311*AM311/AH311)</f>
        <v/>
      </c>
      <c r="AP311">
        <f t="array" ref="AP311">INDEX($AU$8:$BB$25,6*(R311-1)+MATCH(AB311,$AS$8:$AS$13,0),MATCH(O311,$AU$7:$BB$7,0))</f>
        <v/>
      </c>
    </row>
    <row r="312" ht="14.25" customHeight="1">
      <c r="O312" s="43" t="inlineStr">
        <is>
          <t>Q3’26</t>
        </is>
      </c>
      <c r="P312" s="43" t="n">
        <v>2</v>
      </c>
      <c r="Q312" s="43" t="n">
        <v>5</v>
      </c>
      <c r="R312" s="43" t="n">
        <v>2</v>
      </c>
      <c r="S312" s="45" t="n">
        <v>1970.559999999999</v>
      </c>
      <c r="T312">
        <f>(S311+S312+S313)=P3</f>
        <v/>
      </c>
      <c r="X312" s="84">
        <f>MAX(S309-S312,0)</f>
        <v/>
      </c>
      <c r="Y312" s="83" t="n">
        <v>0</v>
      </c>
      <c r="AA312" s="84" t="n">
        <v>3</v>
      </c>
      <c r="AB312" s="84" t="inlineStr">
        <is>
          <t>B</t>
        </is>
      </c>
      <c r="AC312" s="84" t="inlineStr">
        <is>
          <t>B+</t>
        </is>
      </c>
      <c r="AD312" s="84" t="n">
        <v>15</v>
      </c>
      <c r="AE312" s="84" t="n">
        <v>11</v>
      </c>
      <c r="AF312" s="84" t="n">
        <v>0.76</v>
      </c>
      <c r="AG312" s="84" t="n">
        <v>0.8100000000000001</v>
      </c>
      <c r="AH312" s="84" t="n">
        <v>0</v>
      </c>
      <c r="AI312" s="84" t="n">
        <v>0</v>
      </c>
      <c r="AJ312" s="84">
        <f>SUMIFS(AH$8:AH$1039,$O$8:$O$1039,O312,$AB$8:$AB$1039,AB312,$R$8:$R$1039,R312,$AA$8:$AA$1039,"&lt;="&amp;AA312)</f>
        <v/>
      </c>
      <c r="AK312" s="84">
        <f>D33</f>
        <v/>
      </c>
      <c r="AL312" s="84">
        <f>D39</f>
        <v/>
      </c>
      <c r="AM312" s="84">
        <f>MAX(0,AJ312-AK312)</f>
        <v/>
      </c>
      <c r="AN312" s="84">
        <f>IF(AM312=0,AH312,IF(AM312&gt;=AH312,0,AH312-AM312))</f>
        <v/>
      </c>
      <c r="AO312" s="84">
        <f>IF(AM312&gt;=AH312,AI312,AI312*AM312/AH312)</f>
        <v/>
      </c>
      <c r="AP312">
        <f t="array" ref="AP312">INDEX($AU$8:$BB$25,6*(R312-1)+MATCH(AB312,$AS$8:$AS$13,0),MATCH(O312,$AU$7:$BB$7,0))</f>
        <v/>
      </c>
    </row>
    <row r="313" ht="14.25" customHeight="1">
      <c r="O313" s="43" t="inlineStr">
        <is>
          <t>Q3’26</t>
        </is>
      </c>
      <c r="P313" s="43" t="n">
        <v>2</v>
      </c>
      <c r="Q313" s="43" t="n">
        <v>5</v>
      </c>
      <c r="R313" s="43" t="n">
        <v>3</v>
      </c>
      <c r="S313" s="45" t="n">
        <v>0</v>
      </c>
      <c r="T313">
        <f>(S311+S312+S313)=P3</f>
        <v/>
      </c>
      <c r="X313" s="84">
        <f>MAX(S310-S313,0)</f>
        <v/>
      </c>
      <c r="Y313" s="83" t="n">
        <v>0</v>
      </c>
      <c r="AA313" s="84" t="n">
        <v>3</v>
      </c>
      <c r="AB313" s="84" t="inlineStr">
        <is>
          <t>B</t>
        </is>
      </c>
      <c r="AC313" s="84" t="inlineStr">
        <is>
          <t>B+</t>
        </is>
      </c>
      <c r="AD313" s="84" t="n">
        <v>15</v>
      </c>
      <c r="AE313" s="84" t="n">
        <v>11</v>
      </c>
      <c r="AF313" s="84" t="n">
        <v>0.76</v>
      </c>
      <c r="AG313" s="84" t="n">
        <v>0.8100000000000001</v>
      </c>
      <c r="AH313" s="84" t="n">
        <v>0</v>
      </c>
      <c r="AI313" s="84" t="n">
        <v>0</v>
      </c>
      <c r="AJ313" s="84">
        <f>SUMIFS(AH$8:AH$1039,$O$8:$O$1039,O313,$AB$8:$AB$1039,AB313,$R$8:$R$1039,R313,$AA$8:$AA$1039,"&lt;="&amp;AA313)</f>
        <v/>
      </c>
      <c r="AK313" s="84">
        <f>E33</f>
        <v/>
      </c>
      <c r="AL313" s="84">
        <f>E39</f>
        <v/>
      </c>
      <c r="AM313" s="84">
        <f>MAX(0,AJ313-AK313)</f>
        <v/>
      </c>
      <c r="AN313" s="84">
        <f>IF(AM313=0,AH313,IF(AM313&gt;=AH313,0,AH313-AM313))</f>
        <v/>
      </c>
      <c r="AO313" s="84">
        <f>IF(AM313&gt;=AH313,AI313,AI313*AM313/AH313)</f>
        <v/>
      </c>
      <c r="AP313">
        <f t="array" ref="AP313">INDEX($AU$8:$BB$25,6*(R313-1)+MATCH(AB313,$AS$8:$AS$13,0),MATCH(O313,$AU$7:$BB$7,0))</f>
        <v/>
      </c>
    </row>
    <row r="314" ht="14.25" customHeight="1">
      <c r="O314" s="43" t="inlineStr">
        <is>
          <t>Q3’26</t>
        </is>
      </c>
      <c r="P314" s="43" t="n">
        <v>2</v>
      </c>
      <c r="Q314" s="43" t="n">
        <v>6</v>
      </c>
      <c r="R314" s="43" t="n">
        <v>1</v>
      </c>
      <c r="S314" s="45" t="n">
        <v>3429.44</v>
      </c>
      <c r="T314">
        <f>(S314+S315+S316)=P3</f>
        <v/>
      </c>
      <c r="X314" s="84">
        <f>MAX(S311-S314,0)</f>
        <v/>
      </c>
      <c r="Y314" s="83" t="n">
        <v>0</v>
      </c>
      <c r="AA314" s="84" t="n">
        <v>5</v>
      </c>
      <c r="AB314" s="84" t="inlineStr">
        <is>
          <t>F</t>
        </is>
      </c>
      <c r="AC314" s="84" t="inlineStr">
        <is>
          <t>F+</t>
        </is>
      </c>
      <c r="AD314" s="84" t="n">
        <v>16</v>
      </c>
      <c r="AE314" s="84" t="n">
        <v>14</v>
      </c>
      <c r="AF314" s="84" t="n">
        <v>0.8</v>
      </c>
      <c r="AG314" s="84" t="n">
        <v>0.9</v>
      </c>
      <c r="AH314" s="84" t="n">
        <v>0</v>
      </c>
      <c r="AI314" s="84" t="n">
        <v>0</v>
      </c>
      <c r="AJ314" s="84">
        <f>SUMIFS(AH$8:AH$1039,$O$8:$O$1039,O314,$AB$8:$AB$1039,AB314,$R$8:$R$1039,R314,$AA$8:$AA$1039,"&lt;="&amp;AA314)</f>
        <v/>
      </c>
      <c r="AK314" s="84">
        <f>C37</f>
        <v/>
      </c>
      <c r="AL314" s="84">
        <f>C43</f>
        <v/>
      </c>
      <c r="AM314" s="84">
        <f>MAX(0,AJ314-AK314)</f>
        <v/>
      </c>
      <c r="AN314" s="84">
        <f>IF(AM314=0,AH314,IF(AM314&gt;=AH314,0,AH314-AM314))</f>
        <v/>
      </c>
      <c r="AO314" s="84">
        <f>IF(AM314&gt;=AH314,AI314,AI314*AM314/AH314)</f>
        <v/>
      </c>
      <c r="AP314">
        <f t="array" ref="AP314">INDEX($AU$8:$BB$25,6*(R314-1)+MATCH(AB314,$AS$8:$AS$13,0),MATCH(O314,$AU$7:$BB$7,0))</f>
        <v/>
      </c>
    </row>
    <row r="315" ht="14.25" customHeight="1">
      <c r="O315" s="43" t="inlineStr">
        <is>
          <t>Q3’26</t>
        </is>
      </c>
      <c r="P315" s="43" t="n">
        <v>2</v>
      </c>
      <c r="Q315" s="43" t="n">
        <v>6</v>
      </c>
      <c r="R315" s="43" t="n">
        <v>2</v>
      </c>
      <c r="S315" s="45" t="n">
        <v>1970.56</v>
      </c>
      <c r="T315">
        <f>(S314+S315+S316)=P3</f>
        <v/>
      </c>
      <c r="X315" s="84">
        <f>MAX(S312-S315,0)</f>
        <v/>
      </c>
      <c r="Y315" s="83" t="n">
        <v>0</v>
      </c>
      <c r="AA315" s="84" t="n">
        <v>5</v>
      </c>
      <c r="AB315" s="84" t="inlineStr">
        <is>
          <t>F</t>
        </is>
      </c>
      <c r="AC315" s="84" t="inlineStr">
        <is>
          <t>F+</t>
        </is>
      </c>
      <c r="AD315" s="84" t="n">
        <v>16</v>
      </c>
      <c r="AE315" s="84" t="n">
        <v>14</v>
      </c>
      <c r="AF315" s="84" t="n">
        <v>0.8</v>
      </c>
      <c r="AG315" s="84" t="n">
        <v>0.9</v>
      </c>
      <c r="AH315" s="84" t="n">
        <v>0</v>
      </c>
      <c r="AI315" s="84" t="n">
        <v>0</v>
      </c>
      <c r="AJ315" s="84">
        <f>SUMIFS(AH$8:AH$1039,$O$8:$O$1039,O315,$AB$8:$AB$1039,AB315,$R$8:$R$1039,R315,$AA$8:$AA$1039,"&lt;="&amp;AA315)</f>
        <v/>
      </c>
      <c r="AK315" s="84">
        <f>D37</f>
        <v/>
      </c>
      <c r="AL315" s="84">
        <f>D43</f>
        <v/>
      </c>
      <c r="AM315" s="84">
        <f>MAX(0,AJ315-AK315)</f>
        <v/>
      </c>
      <c r="AN315" s="84">
        <f>IF(AM315=0,AH315,IF(AM315&gt;=AH315,0,AH315-AM315))</f>
        <v/>
      </c>
      <c r="AO315" s="84">
        <f>IF(AM315&gt;=AH315,AI315,AI315*AM315/AH315)</f>
        <v/>
      </c>
      <c r="AP315">
        <f t="array" ref="AP315">INDEX($AU$8:$BB$25,6*(R315-1)+MATCH(AB315,$AS$8:$AS$13,0),MATCH(O315,$AU$7:$BB$7,0))</f>
        <v/>
      </c>
    </row>
    <row r="316" ht="14.25" customHeight="1">
      <c r="O316" s="43" t="inlineStr">
        <is>
          <t>Q3’26</t>
        </is>
      </c>
      <c r="P316" s="43" t="n">
        <v>2</v>
      </c>
      <c r="Q316" s="43" t="n">
        <v>6</v>
      </c>
      <c r="R316" s="43" t="n">
        <v>3</v>
      </c>
      <c r="S316" s="45" t="n">
        <v>0</v>
      </c>
      <c r="T316">
        <f>(S314+S315+S316)=P3</f>
        <v/>
      </c>
      <c r="X316" s="84">
        <f>MAX(S313-S316,0)</f>
        <v/>
      </c>
      <c r="Y316" s="83" t="n">
        <v>0</v>
      </c>
      <c r="AA316" s="84" t="n">
        <v>5</v>
      </c>
      <c r="AB316" s="84" t="inlineStr">
        <is>
          <t>F</t>
        </is>
      </c>
      <c r="AC316" s="84" t="inlineStr">
        <is>
          <t>F+</t>
        </is>
      </c>
      <c r="AD316" s="84" t="n">
        <v>16</v>
      </c>
      <c r="AE316" s="84" t="n">
        <v>14</v>
      </c>
      <c r="AF316" s="84" t="n">
        <v>0.8</v>
      </c>
      <c r="AG316" s="84" t="n">
        <v>0.9</v>
      </c>
      <c r="AH316" s="84" t="n">
        <v>0</v>
      </c>
      <c r="AI316" s="84" t="n">
        <v>0</v>
      </c>
      <c r="AJ316" s="84">
        <f>SUMIFS(AH$8:AH$1039,$O$8:$O$1039,O316,$AB$8:$AB$1039,AB316,$R$8:$R$1039,R316,$AA$8:$AA$1039,"&lt;="&amp;AA316)</f>
        <v/>
      </c>
      <c r="AK316" s="84">
        <f>E37</f>
        <v/>
      </c>
      <c r="AL316" s="84">
        <f>E43</f>
        <v/>
      </c>
      <c r="AM316" s="84">
        <f>MAX(0,AJ316-AK316)</f>
        <v/>
      </c>
      <c r="AN316" s="84">
        <f>IF(AM316=0,AH316,IF(AM316&gt;=AH316,0,AH316-AM316))</f>
        <v/>
      </c>
      <c r="AO316" s="84">
        <f>IF(AM316&gt;=AH316,AI316,AI316*AM316/AH316)</f>
        <v/>
      </c>
      <c r="AP316">
        <f t="array" ref="AP316">INDEX($AU$8:$BB$25,6*(R316-1)+MATCH(AB316,$AS$8:$AS$13,0),MATCH(O316,$AU$7:$BB$7,0))</f>
        <v/>
      </c>
    </row>
    <row r="317" ht="14.25" customHeight="1">
      <c r="O317" s="43" t="inlineStr">
        <is>
          <t>Q3’26</t>
        </is>
      </c>
      <c r="P317" s="43" t="n">
        <v>2</v>
      </c>
      <c r="Q317" s="43" t="n">
        <v>7</v>
      </c>
      <c r="R317" s="43" t="n">
        <v>1</v>
      </c>
      <c r="S317" s="45" t="n">
        <v>3429.44</v>
      </c>
      <c r="T317">
        <f>(S317+S318+S319)=P3</f>
        <v/>
      </c>
      <c r="X317" s="84">
        <f>MAX(S314-S317,0)</f>
        <v/>
      </c>
      <c r="Y317" s="83" t="n">
        <v>0</v>
      </c>
      <c r="AA317" s="84" t="n">
        <v>4</v>
      </c>
      <c r="AB317" s="84" t="inlineStr">
        <is>
          <t>F</t>
        </is>
      </c>
      <c r="AC317" s="84" t="inlineStr">
        <is>
          <t>F+</t>
        </is>
      </c>
      <c r="AD317" s="84" t="n">
        <v>17</v>
      </c>
      <c r="AE317" s="84" t="n">
        <v>15</v>
      </c>
      <c r="AF317" s="84" t="n">
        <v>0.8</v>
      </c>
      <c r="AG317" s="84" t="n">
        <v>0.9</v>
      </c>
      <c r="AH317" s="84" t="n">
        <v>0</v>
      </c>
      <c r="AI317" s="84" t="n">
        <v>0</v>
      </c>
      <c r="AJ317" s="84">
        <f>SUMIFS(AH$8:AH$1039,$O$8:$O$1039,O317,$AB$8:$AB$1039,AB317,$R$8:$R$1039,R317,$AA$8:$AA$1039,"&lt;="&amp;AA317)</f>
        <v/>
      </c>
      <c r="AK317" s="84">
        <f>C37</f>
        <v/>
      </c>
      <c r="AL317" s="84">
        <f>C43</f>
        <v/>
      </c>
      <c r="AM317" s="84">
        <f>MAX(0,AJ317-AK317)</f>
        <v/>
      </c>
      <c r="AN317" s="84">
        <f>IF(AM317=0,AH317,IF(AM317&gt;=AH317,0,AH317-AM317))</f>
        <v/>
      </c>
      <c r="AO317" s="84">
        <f>IF(AM317&gt;=AH317,AI317,AI317*AM317/AH317)</f>
        <v/>
      </c>
      <c r="AP317">
        <f t="array" ref="AP317">INDEX($AU$8:$BB$25,6*(R317-1)+MATCH(AB317,$AS$8:$AS$13,0),MATCH(O317,$AU$7:$BB$7,0))</f>
        <v/>
      </c>
    </row>
    <row r="318" ht="14.25" customHeight="1">
      <c r="O318" s="43" t="inlineStr">
        <is>
          <t>Q3’26</t>
        </is>
      </c>
      <c r="P318" s="43" t="n">
        <v>2</v>
      </c>
      <c r="Q318" s="43" t="n">
        <v>7</v>
      </c>
      <c r="R318" s="43" t="n">
        <v>2</v>
      </c>
      <c r="S318" s="45" t="n">
        <v>1970.56</v>
      </c>
      <c r="T318">
        <f>(S317+S318+S319)=P3</f>
        <v/>
      </c>
      <c r="X318" s="84">
        <f>MAX(S315-S318,0)</f>
        <v/>
      </c>
      <c r="Y318" s="83" t="n">
        <v>0</v>
      </c>
      <c r="AA318" s="84" t="n">
        <v>4</v>
      </c>
      <c r="AB318" s="84" t="inlineStr">
        <is>
          <t>F</t>
        </is>
      </c>
      <c r="AC318" s="84" t="inlineStr">
        <is>
          <t>F+</t>
        </is>
      </c>
      <c r="AD318" s="84" t="n">
        <v>17</v>
      </c>
      <c r="AE318" s="84" t="n">
        <v>15</v>
      </c>
      <c r="AF318" s="84" t="n">
        <v>0.8</v>
      </c>
      <c r="AG318" s="84" t="n">
        <v>0.9</v>
      </c>
      <c r="AH318" s="84" t="n">
        <v>0</v>
      </c>
      <c r="AI318" s="84" t="n">
        <v>0</v>
      </c>
      <c r="AJ318" s="84">
        <f>SUMIFS(AH$8:AH$1039,$O$8:$O$1039,O318,$AB$8:$AB$1039,AB318,$R$8:$R$1039,R318,$AA$8:$AA$1039,"&lt;="&amp;AA318)</f>
        <v/>
      </c>
      <c r="AK318" s="84">
        <f>D37</f>
        <v/>
      </c>
      <c r="AL318" s="84">
        <f>D43</f>
        <v/>
      </c>
      <c r="AM318" s="84">
        <f>MAX(0,AJ318-AK318)</f>
        <v/>
      </c>
      <c r="AN318" s="84">
        <f>IF(AM318=0,AH318,IF(AM318&gt;=AH318,0,AH318-AM318))</f>
        <v/>
      </c>
      <c r="AO318" s="84">
        <f>IF(AM318&gt;=AH318,AI318,AI318*AM318/AH318)</f>
        <v/>
      </c>
      <c r="AP318">
        <f t="array" ref="AP318">INDEX($AU$8:$BB$25,6*(R318-1)+MATCH(AB318,$AS$8:$AS$13,0),MATCH(O318,$AU$7:$BB$7,0))</f>
        <v/>
      </c>
    </row>
    <row r="319" ht="14.25" customHeight="1">
      <c r="O319" s="43" t="inlineStr">
        <is>
          <t>Q3’26</t>
        </is>
      </c>
      <c r="P319" s="43" t="n">
        <v>2</v>
      </c>
      <c r="Q319" s="43" t="n">
        <v>7</v>
      </c>
      <c r="R319" s="43" t="n">
        <v>3</v>
      </c>
      <c r="S319" s="45" t="n">
        <v>-0</v>
      </c>
      <c r="T319">
        <f>(S317+S318+S319)=P3</f>
        <v/>
      </c>
      <c r="X319" s="84">
        <f>MAX(S316-S319,0)</f>
        <v/>
      </c>
      <c r="Y319" s="83" t="n">
        <v>0</v>
      </c>
      <c r="AA319" s="84" t="n">
        <v>4</v>
      </c>
      <c r="AB319" s="84" t="inlineStr">
        <is>
          <t>F</t>
        </is>
      </c>
      <c r="AC319" s="84" t="inlineStr">
        <is>
          <t>F+</t>
        </is>
      </c>
      <c r="AD319" s="84" t="n">
        <v>17</v>
      </c>
      <c r="AE319" s="84" t="n">
        <v>15</v>
      </c>
      <c r="AF319" s="84" t="n">
        <v>0.8</v>
      </c>
      <c r="AG319" s="84" t="n">
        <v>0.9</v>
      </c>
      <c r="AH319" s="84" t="n">
        <v>0</v>
      </c>
      <c r="AI319" s="84" t="n">
        <v>0</v>
      </c>
      <c r="AJ319" s="84">
        <f>SUMIFS(AH$8:AH$1039,$O$8:$O$1039,O319,$AB$8:$AB$1039,AB319,$R$8:$R$1039,R319,$AA$8:$AA$1039,"&lt;="&amp;AA319)</f>
        <v/>
      </c>
      <c r="AK319" s="84">
        <f>E37</f>
        <v/>
      </c>
      <c r="AL319" s="84">
        <f>E43</f>
        <v/>
      </c>
      <c r="AM319" s="84">
        <f>MAX(0,AJ319-AK319)</f>
        <v/>
      </c>
      <c r="AN319" s="84">
        <f>IF(AM319=0,AH319,IF(AM319&gt;=AH319,0,AH319-AM319))</f>
        <v/>
      </c>
      <c r="AO319" s="84">
        <f>IF(AM319&gt;=AH319,AI319,AI319*AM319/AH319)</f>
        <v/>
      </c>
      <c r="AP319">
        <f t="array" ref="AP319">INDEX($AU$8:$BB$25,6*(R319-1)+MATCH(AB319,$AS$8:$AS$13,0),MATCH(O319,$AU$7:$BB$7,0))</f>
        <v/>
      </c>
    </row>
    <row r="320" ht="14.25" customHeight="1">
      <c r="O320" s="43" t="inlineStr">
        <is>
          <t>Q3’26</t>
        </is>
      </c>
      <c r="P320" s="43" t="n">
        <v>2</v>
      </c>
      <c r="Q320" s="43" t="n">
        <v>8</v>
      </c>
      <c r="R320" s="43" t="n">
        <v>1</v>
      </c>
      <c r="S320" s="45" t="n">
        <v>3429.440000000001</v>
      </c>
      <c r="T320">
        <f>(S320+S321+S322)=P3</f>
        <v/>
      </c>
      <c r="X320" s="84">
        <f>MAX(S317-S320,0)</f>
        <v/>
      </c>
      <c r="Y320" s="83" t="n">
        <v>0</v>
      </c>
      <c r="AA320" s="84" t="n">
        <v>4</v>
      </c>
      <c r="AB320" s="84" t="inlineStr">
        <is>
          <t>B</t>
        </is>
      </c>
      <c r="AC320" s="84" t="inlineStr">
        <is>
          <t>B+</t>
        </is>
      </c>
      <c r="AD320" s="84" t="n">
        <v>22</v>
      </c>
      <c r="AE320" s="84" t="n">
        <v>16</v>
      </c>
      <c r="AF320" s="84" t="n">
        <v>0.76</v>
      </c>
      <c r="AG320" s="84" t="n">
        <v>0.8100000000000001</v>
      </c>
      <c r="AH320" s="84" t="n">
        <v>0</v>
      </c>
      <c r="AI320" s="84" t="n">
        <v>0</v>
      </c>
      <c r="AJ320" s="84">
        <f>SUMIFS(AH$8:AH$1039,$O$8:$O$1039,O320,$AB$8:$AB$1039,AB320,$R$8:$R$1039,R320,$AA$8:$AA$1039,"&lt;="&amp;AA320)</f>
        <v/>
      </c>
      <c r="AK320" s="84">
        <f>C33</f>
        <v/>
      </c>
      <c r="AL320" s="84">
        <f>C39</f>
        <v/>
      </c>
      <c r="AM320" s="84">
        <f>MAX(0,AJ320-AK320)</f>
        <v/>
      </c>
      <c r="AN320" s="84">
        <f>IF(AM320=0,AH320,IF(AM320&gt;=AH320,0,AH320-AM320))</f>
        <v/>
      </c>
      <c r="AO320" s="84">
        <f>IF(AM320&gt;=AH320,AI320,AI320*AM320/AH320)</f>
        <v/>
      </c>
      <c r="AP320">
        <f t="array" ref="AP320">INDEX($AU$8:$BB$25,6*(R320-1)+MATCH(AB320,$AS$8:$AS$13,0),MATCH(O320,$AU$7:$BB$7,0))</f>
        <v/>
      </c>
    </row>
    <row r="321" ht="14.25" customHeight="1">
      <c r="O321" s="43" t="inlineStr">
        <is>
          <t>Q3’26</t>
        </is>
      </c>
      <c r="P321" s="43" t="n">
        <v>2</v>
      </c>
      <c r="Q321" s="43" t="n">
        <v>8</v>
      </c>
      <c r="R321" s="43" t="n">
        <v>2</v>
      </c>
      <c r="S321" s="45" t="n">
        <v>1970.559999999999</v>
      </c>
      <c r="T321">
        <f>(S320+S321+S322)=P3</f>
        <v/>
      </c>
      <c r="X321" s="84">
        <f>MAX(S318-S321,0)</f>
        <v/>
      </c>
      <c r="Y321" s="83" t="n">
        <v>0</v>
      </c>
      <c r="AA321" s="84" t="n">
        <v>4</v>
      </c>
      <c r="AB321" s="84" t="inlineStr">
        <is>
          <t>B</t>
        </is>
      </c>
      <c r="AC321" s="84" t="inlineStr">
        <is>
          <t>B+</t>
        </is>
      </c>
      <c r="AD321" s="84" t="n">
        <v>22</v>
      </c>
      <c r="AE321" s="84" t="n">
        <v>16</v>
      </c>
      <c r="AF321" s="84" t="n">
        <v>0.76</v>
      </c>
      <c r="AG321" s="84" t="n">
        <v>0.8100000000000001</v>
      </c>
      <c r="AH321" s="84" t="n">
        <v>0</v>
      </c>
      <c r="AI321" s="84" t="n">
        <v>0</v>
      </c>
      <c r="AJ321" s="84">
        <f>SUMIFS(AH$8:AH$1039,$O$8:$O$1039,O321,$AB$8:$AB$1039,AB321,$R$8:$R$1039,R321,$AA$8:$AA$1039,"&lt;="&amp;AA321)</f>
        <v/>
      </c>
      <c r="AK321" s="84">
        <f>D33</f>
        <v/>
      </c>
      <c r="AL321" s="84">
        <f>D39</f>
        <v/>
      </c>
      <c r="AM321" s="84">
        <f>MAX(0,AJ321-AK321)</f>
        <v/>
      </c>
      <c r="AN321" s="84">
        <f>IF(AM321=0,AH321,IF(AM321&gt;=AH321,0,AH321-AM321))</f>
        <v/>
      </c>
      <c r="AO321" s="84">
        <f>IF(AM321&gt;=AH321,AI321,AI321*AM321/AH321)</f>
        <v/>
      </c>
      <c r="AP321">
        <f t="array" ref="AP321">INDEX($AU$8:$BB$25,6*(R321-1)+MATCH(AB321,$AS$8:$AS$13,0),MATCH(O321,$AU$7:$BB$7,0))</f>
        <v/>
      </c>
    </row>
    <row r="322" ht="14.25" customHeight="1">
      <c r="O322" s="43" t="inlineStr">
        <is>
          <t>Q3’26</t>
        </is>
      </c>
      <c r="P322" s="43" t="n">
        <v>2</v>
      </c>
      <c r="Q322" s="43" t="n">
        <v>8</v>
      </c>
      <c r="R322" s="43" t="n">
        <v>3</v>
      </c>
      <c r="S322" s="45" t="n">
        <v>0</v>
      </c>
      <c r="T322">
        <f>(S320+S321+S322)=P3</f>
        <v/>
      </c>
      <c r="X322" s="84">
        <f>MAX(S319-S322,0)</f>
        <v/>
      </c>
      <c r="Y322" s="83" t="n">
        <v>0</v>
      </c>
      <c r="AA322" s="84" t="n">
        <v>4</v>
      </c>
      <c r="AB322" s="84" t="inlineStr">
        <is>
          <t>B</t>
        </is>
      </c>
      <c r="AC322" s="84" t="inlineStr">
        <is>
          <t>B+</t>
        </is>
      </c>
      <c r="AD322" s="84" t="n">
        <v>22</v>
      </c>
      <c r="AE322" s="84" t="n">
        <v>16</v>
      </c>
      <c r="AF322" s="84" t="n">
        <v>0.76</v>
      </c>
      <c r="AG322" s="84" t="n">
        <v>0.8100000000000001</v>
      </c>
      <c r="AH322" s="84" t="n">
        <v>0</v>
      </c>
      <c r="AI322" s="84" t="n">
        <v>0</v>
      </c>
      <c r="AJ322" s="84">
        <f>SUMIFS(AH$8:AH$1039,$O$8:$O$1039,O322,$AB$8:$AB$1039,AB322,$R$8:$R$1039,R322,$AA$8:$AA$1039,"&lt;="&amp;AA322)</f>
        <v/>
      </c>
      <c r="AK322" s="84">
        <f>E33</f>
        <v/>
      </c>
      <c r="AL322" s="84">
        <f>E39</f>
        <v/>
      </c>
      <c r="AM322" s="84">
        <f>MAX(0,AJ322-AK322)</f>
        <v/>
      </c>
      <c r="AN322" s="84">
        <f>IF(AM322=0,AH322,IF(AM322&gt;=AH322,0,AH322-AM322))</f>
        <v/>
      </c>
      <c r="AO322" s="84">
        <f>IF(AM322&gt;=AH322,AI322,AI322*AM322/AH322)</f>
        <v/>
      </c>
      <c r="AP322">
        <f t="array" ref="AP322">INDEX($AU$8:$BB$25,6*(R322-1)+MATCH(AB322,$AS$8:$AS$13,0),MATCH(O322,$AU$7:$BB$7,0))</f>
        <v/>
      </c>
    </row>
    <row r="323" ht="14.25" customHeight="1">
      <c r="O323" s="43" t="inlineStr">
        <is>
          <t>Q3’26</t>
        </is>
      </c>
      <c r="P323" s="43" t="n">
        <v>2</v>
      </c>
      <c r="Q323" s="43" t="n">
        <v>9</v>
      </c>
      <c r="R323" s="43" t="n">
        <v>1</v>
      </c>
      <c r="S323" s="45" t="n">
        <v>3429.440000000001</v>
      </c>
      <c r="T323">
        <f>(S323+S324+S325)=P3</f>
        <v/>
      </c>
      <c r="X323" s="84">
        <f>MAX(S320-S323,0)</f>
        <v/>
      </c>
      <c r="Y323" s="83" t="n">
        <v>0</v>
      </c>
      <c r="AA323" s="84" t="n">
        <v>4</v>
      </c>
      <c r="AB323" s="84" t="inlineStr">
        <is>
          <t>E</t>
        </is>
      </c>
      <c r="AC323" s="84" t="inlineStr">
        <is>
          <t>E+</t>
        </is>
      </c>
      <c r="AD323" s="84" t="n">
        <v>7</v>
      </c>
      <c r="AE323" s="84" t="n">
        <v>6</v>
      </c>
      <c r="AF323" s="84" t="n">
        <v>0.76</v>
      </c>
      <c r="AG323" s="84" t="n">
        <v>0.84</v>
      </c>
      <c r="AH323" s="84" t="n">
        <v>0</v>
      </c>
      <c r="AI323" s="84" t="n">
        <v>0</v>
      </c>
      <c r="AJ323" s="84">
        <f>SUMIFS(AH$8:AH$1039,$O$8:$O$1039,O323,$AB$8:$AB$1039,AB323,$R$8:$R$1039,R323,$AA$8:$AA$1039,"&lt;="&amp;AA323)</f>
        <v/>
      </c>
      <c r="AK323" s="84">
        <f>C36</f>
        <v/>
      </c>
      <c r="AL323" s="84">
        <f>C42</f>
        <v/>
      </c>
      <c r="AM323" s="84">
        <f>MAX(0,AJ323-AK323)</f>
        <v/>
      </c>
      <c r="AN323" s="84">
        <f>IF(AM323=0,AH323,IF(AM323&gt;=AH323,0,AH323-AM323))</f>
        <v/>
      </c>
      <c r="AO323" s="84">
        <f>IF(AM323&gt;=AH323,AI323,AI323*AM323/AH323)</f>
        <v/>
      </c>
      <c r="AP323">
        <f t="array" ref="AP323">INDEX($AU$8:$BB$25,6*(R323-1)+MATCH(AB323,$AS$8:$AS$13,0),MATCH(O323,$AU$7:$BB$7,0))</f>
        <v/>
      </c>
    </row>
    <row r="324" ht="14.25" customHeight="1">
      <c r="O324" s="43" t="inlineStr">
        <is>
          <t>Q3’26</t>
        </is>
      </c>
      <c r="P324" s="43" t="n">
        <v>2</v>
      </c>
      <c r="Q324" s="43" t="n">
        <v>9</v>
      </c>
      <c r="R324" s="43" t="n">
        <v>2</v>
      </c>
      <c r="S324" s="45" t="n">
        <v>1970.559999999999</v>
      </c>
      <c r="T324">
        <f>(S323+S324+S325)=P3</f>
        <v/>
      </c>
      <c r="X324" s="84">
        <f>MAX(S321-S324,0)</f>
        <v/>
      </c>
      <c r="Y324" s="83" t="n">
        <v>0</v>
      </c>
      <c r="AA324" s="84" t="n">
        <v>4</v>
      </c>
      <c r="AB324" s="84" t="inlineStr">
        <is>
          <t>E</t>
        </is>
      </c>
      <c r="AC324" s="84" t="inlineStr">
        <is>
          <t>E+</t>
        </is>
      </c>
      <c r="AD324" s="84" t="n">
        <v>7</v>
      </c>
      <c r="AE324" s="84" t="n">
        <v>6</v>
      </c>
      <c r="AF324" s="84" t="n">
        <v>0.76</v>
      </c>
      <c r="AG324" s="84" t="n">
        <v>0.84</v>
      </c>
      <c r="AH324" s="84" t="n">
        <v>0</v>
      </c>
      <c r="AI324" s="84" t="n">
        <v>0</v>
      </c>
      <c r="AJ324" s="84">
        <f>SUMIFS(AH$8:AH$1039,$O$8:$O$1039,O324,$AB$8:$AB$1039,AB324,$R$8:$R$1039,R324,$AA$8:$AA$1039,"&lt;="&amp;AA324)</f>
        <v/>
      </c>
      <c r="AK324" s="84">
        <f>D36</f>
        <v/>
      </c>
      <c r="AL324" s="84">
        <f>D42</f>
        <v/>
      </c>
      <c r="AM324" s="84">
        <f>MAX(0,AJ324-AK324)</f>
        <v/>
      </c>
      <c r="AN324" s="84">
        <f>IF(AM324=0,AH324,IF(AM324&gt;=AH324,0,AH324-AM324))</f>
        <v/>
      </c>
      <c r="AO324" s="84">
        <f>IF(AM324&gt;=AH324,AI324,AI324*AM324/AH324)</f>
        <v/>
      </c>
      <c r="AP324">
        <f t="array" ref="AP324">INDEX($AU$8:$BB$25,6*(R324-1)+MATCH(AB324,$AS$8:$AS$13,0),MATCH(O324,$AU$7:$BB$7,0))</f>
        <v/>
      </c>
    </row>
    <row r="325" ht="14.25" customHeight="1">
      <c r="O325" s="43" t="inlineStr">
        <is>
          <t>Q3’26</t>
        </is>
      </c>
      <c r="P325" s="43" t="n">
        <v>2</v>
      </c>
      <c r="Q325" s="43" t="n">
        <v>9</v>
      </c>
      <c r="R325" s="43" t="n">
        <v>3</v>
      </c>
      <c r="S325" s="45" t="n">
        <v>0</v>
      </c>
      <c r="T325">
        <f>(S323+S324+S325)=P3</f>
        <v/>
      </c>
      <c r="X325" s="84">
        <f>MAX(S322-S325,0)</f>
        <v/>
      </c>
      <c r="Y325" s="83" t="n">
        <v>0</v>
      </c>
      <c r="AA325" s="84" t="n">
        <v>4</v>
      </c>
      <c r="AB325" s="84" t="inlineStr">
        <is>
          <t>E</t>
        </is>
      </c>
      <c r="AC325" s="84" t="inlineStr">
        <is>
          <t>E+</t>
        </is>
      </c>
      <c r="AD325" s="84" t="n">
        <v>7</v>
      </c>
      <c r="AE325" s="84" t="n">
        <v>6</v>
      </c>
      <c r="AF325" s="84" t="n">
        <v>0.76</v>
      </c>
      <c r="AG325" s="84" t="n">
        <v>0.84</v>
      </c>
      <c r="AH325" s="84" t="n">
        <v>0</v>
      </c>
      <c r="AI325" s="84" t="n">
        <v>0</v>
      </c>
      <c r="AJ325" s="84">
        <f>SUMIFS(AH$8:AH$1039,$O$8:$O$1039,O325,$AB$8:$AB$1039,AB325,$R$8:$R$1039,R325,$AA$8:$AA$1039,"&lt;="&amp;AA325)</f>
        <v/>
      </c>
      <c r="AK325" s="84">
        <f>E36</f>
        <v/>
      </c>
      <c r="AL325" s="84">
        <f>E42</f>
        <v/>
      </c>
      <c r="AM325" s="84">
        <f>MAX(0,AJ325-AK325)</f>
        <v/>
      </c>
      <c r="AN325" s="84">
        <f>IF(AM325=0,AH325,IF(AM325&gt;=AH325,0,AH325-AM325))</f>
        <v/>
      </c>
      <c r="AO325" s="84">
        <f>IF(AM325&gt;=AH325,AI325,AI325*AM325/AH325)</f>
        <v/>
      </c>
      <c r="AP325">
        <f t="array" ref="AP325">INDEX($AU$8:$BB$25,6*(R325-1)+MATCH(AB325,$AS$8:$AS$13,0),MATCH(O325,$AU$7:$BB$7,0))</f>
        <v/>
      </c>
    </row>
    <row r="326" ht="14.25" customHeight="1">
      <c r="O326" s="43" t="inlineStr">
        <is>
          <t>Q3’26</t>
        </is>
      </c>
      <c r="P326" s="43" t="n">
        <v>2</v>
      </c>
      <c r="Q326" s="43" t="n">
        <v>10</v>
      </c>
      <c r="R326" s="43" t="n">
        <v>1</v>
      </c>
      <c r="S326" s="45" t="n">
        <v>3429.440000000001</v>
      </c>
      <c r="T326">
        <f>(S326+S327+S328)=P3</f>
        <v/>
      </c>
      <c r="X326" s="84">
        <f>MAX(S323-S326,0)</f>
        <v/>
      </c>
      <c r="Y326" s="83" t="n">
        <v>0</v>
      </c>
      <c r="AA326" s="84" t="n">
        <v>6</v>
      </c>
      <c r="AB326" s="84" t="inlineStr">
        <is>
          <t>E</t>
        </is>
      </c>
      <c r="AC326" s="84" t="inlineStr">
        <is>
          <t>E+</t>
        </is>
      </c>
      <c r="AD326" s="84" t="n">
        <v>9</v>
      </c>
      <c r="AE326" s="84" t="n">
        <v>7</v>
      </c>
      <c r="AF326" s="84" t="n">
        <v>0.76</v>
      </c>
      <c r="AG326" s="84" t="n">
        <v>0.84</v>
      </c>
      <c r="AH326" s="84" t="n">
        <v>0</v>
      </c>
      <c r="AI326" s="84" t="n">
        <v>0</v>
      </c>
      <c r="AJ326" s="84">
        <f>SUMIFS(AH$8:AH$1039,$O$8:$O$1039,O326,$AB$8:$AB$1039,AB326,$R$8:$R$1039,R326,$AA$8:$AA$1039,"&lt;="&amp;AA326)</f>
        <v/>
      </c>
      <c r="AK326" s="84">
        <f>C36</f>
        <v/>
      </c>
      <c r="AL326" s="84">
        <f>C42</f>
        <v/>
      </c>
      <c r="AM326" s="84">
        <f>MAX(0,AJ326-AK326)</f>
        <v/>
      </c>
      <c r="AN326" s="84">
        <f>IF(AM326=0,AH326,IF(AM326&gt;=AH326,0,AH326-AM326))</f>
        <v/>
      </c>
      <c r="AO326" s="84">
        <f>IF(AM326&gt;=AH326,AI326,AI326*AM326/AH326)</f>
        <v/>
      </c>
      <c r="AP326">
        <f t="array" ref="AP326">INDEX($AU$8:$BB$25,6*(R326-1)+MATCH(AB326,$AS$8:$AS$13,0),MATCH(O326,$AU$7:$BB$7,0))</f>
        <v/>
      </c>
    </row>
    <row r="327" ht="14.25" customHeight="1">
      <c r="O327" s="43" t="inlineStr">
        <is>
          <t>Q3’26</t>
        </is>
      </c>
      <c r="P327" s="43" t="n">
        <v>2</v>
      </c>
      <c r="Q327" s="43" t="n">
        <v>10</v>
      </c>
      <c r="R327" s="43" t="n">
        <v>2</v>
      </c>
      <c r="S327" s="45" t="n">
        <v>1970.559999999999</v>
      </c>
      <c r="T327">
        <f>(S326+S327+S328)=P3</f>
        <v/>
      </c>
      <c r="X327" s="84">
        <f>MAX(S324-S327,0)</f>
        <v/>
      </c>
      <c r="Y327" s="83" t="n">
        <v>0</v>
      </c>
      <c r="AA327" s="84" t="n">
        <v>6</v>
      </c>
      <c r="AB327" s="84" t="inlineStr">
        <is>
          <t>E</t>
        </is>
      </c>
      <c r="AC327" s="84" t="inlineStr">
        <is>
          <t>E+</t>
        </is>
      </c>
      <c r="AD327" s="84" t="n">
        <v>9</v>
      </c>
      <c r="AE327" s="84" t="n">
        <v>7</v>
      </c>
      <c r="AF327" s="84" t="n">
        <v>0.76</v>
      </c>
      <c r="AG327" s="84" t="n">
        <v>0.84</v>
      </c>
      <c r="AH327" s="84" t="n">
        <v>0</v>
      </c>
      <c r="AI327" s="84" t="n">
        <v>0</v>
      </c>
      <c r="AJ327" s="84">
        <f>SUMIFS(AH$8:AH$1039,$O$8:$O$1039,O327,$AB$8:$AB$1039,AB327,$R$8:$R$1039,R327,$AA$8:$AA$1039,"&lt;="&amp;AA327)</f>
        <v/>
      </c>
      <c r="AK327" s="84">
        <f>D36</f>
        <v/>
      </c>
      <c r="AL327" s="84">
        <f>D42</f>
        <v/>
      </c>
      <c r="AM327" s="84">
        <f>MAX(0,AJ327-AK327)</f>
        <v/>
      </c>
      <c r="AN327" s="84">
        <f>IF(AM327=0,AH327,IF(AM327&gt;=AH327,0,AH327-AM327))</f>
        <v/>
      </c>
      <c r="AO327" s="84">
        <f>IF(AM327&gt;=AH327,AI327,AI327*AM327/AH327)</f>
        <v/>
      </c>
      <c r="AP327">
        <f t="array" ref="AP327">INDEX($AU$8:$BB$25,6*(R327-1)+MATCH(AB327,$AS$8:$AS$13,0),MATCH(O327,$AU$7:$BB$7,0))</f>
        <v/>
      </c>
    </row>
    <row r="328" ht="14.25" customHeight="1">
      <c r="O328" s="43" t="inlineStr">
        <is>
          <t>Q3’26</t>
        </is>
      </c>
      <c r="P328" s="43" t="n">
        <v>2</v>
      </c>
      <c r="Q328" s="43" t="n">
        <v>10</v>
      </c>
      <c r="R328" s="43" t="n">
        <v>3</v>
      </c>
      <c r="S328" s="45" t="n">
        <v>-0</v>
      </c>
      <c r="T328">
        <f>(S326+S327+S328)=P3</f>
        <v/>
      </c>
      <c r="X328" s="84">
        <f>MAX(S325-S328,0)</f>
        <v/>
      </c>
      <c r="Y328" s="83" t="n">
        <v>0</v>
      </c>
      <c r="AA328" s="84" t="n">
        <v>6</v>
      </c>
      <c r="AB328" s="84" t="inlineStr">
        <is>
          <t>E</t>
        </is>
      </c>
      <c r="AC328" s="84" t="inlineStr">
        <is>
          <t>E+</t>
        </is>
      </c>
      <c r="AD328" s="84" t="n">
        <v>9</v>
      </c>
      <c r="AE328" s="84" t="n">
        <v>7</v>
      </c>
      <c r="AF328" s="84" t="n">
        <v>0.76</v>
      </c>
      <c r="AG328" s="84" t="n">
        <v>0.84</v>
      </c>
      <c r="AH328" s="84" t="n">
        <v>0</v>
      </c>
      <c r="AI328" s="84" t="n">
        <v>0</v>
      </c>
      <c r="AJ328" s="84">
        <f>SUMIFS(AH$8:AH$1039,$O$8:$O$1039,O328,$AB$8:$AB$1039,AB328,$R$8:$R$1039,R328,$AA$8:$AA$1039,"&lt;="&amp;AA328)</f>
        <v/>
      </c>
      <c r="AK328" s="84">
        <f>E36</f>
        <v/>
      </c>
      <c r="AL328" s="84">
        <f>E42</f>
        <v/>
      </c>
      <c r="AM328" s="84">
        <f>MAX(0,AJ328-AK328)</f>
        <v/>
      </c>
      <c r="AN328" s="84">
        <f>IF(AM328=0,AH328,IF(AM328&gt;=AH328,0,AH328-AM328))</f>
        <v/>
      </c>
      <c r="AO328" s="84">
        <f>IF(AM328&gt;=AH328,AI328,AI328*AM328/AH328)</f>
        <v/>
      </c>
      <c r="AP328">
        <f t="array" ref="AP328">INDEX($AU$8:$BB$25,6*(R328-1)+MATCH(AB328,$AS$8:$AS$13,0),MATCH(O328,$AU$7:$BB$7,0))</f>
        <v/>
      </c>
    </row>
    <row r="329" ht="14.25" customHeight="1">
      <c r="O329" s="43" t="inlineStr">
        <is>
          <t>Q3’26</t>
        </is>
      </c>
      <c r="P329" s="43" t="n">
        <v>2</v>
      </c>
      <c r="Q329" s="43" t="n">
        <v>11</v>
      </c>
      <c r="R329" s="43" t="n">
        <v>1</v>
      </c>
      <c r="S329" s="45" t="n">
        <v>3429.44</v>
      </c>
      <c r="T329">
        <f>(S329+S330+S331)=P3</f>
        <v/>
      </c>
      <c r="X329" s="84">
        <f>MAX(S326-S329,0)</f>
        <v/>
      </c>
      <c r="Y329" s="83" t="n">
        <v>0</v>
      </c>
      <c r="AA329" s="84" t="n">
        <v>2</v>
      </c>
      <c r="AB329" s="84" t="inlineStr">
        <is>
          <t>E</t>
        </is>
      </c>
      <c r="AC329" s="84" t="inlineStr">
        <is>
          <t>E+</t>
        </is>
      </c>
      <c r="AD329" s="84" t="n">
        <v>20</v>
      </c>
      <c r="AE329" s="84" t="n">
        <v>19</v>
      </c>
      <c r="AF329" s="84" t="n">
        <v>0.76</v>
      </c>
      <c r="AG329" s="84" t="n">
        <v>0.84</v>
      </c>
      <c r="AH329" s="84" t="n">
        <v>0</v>
      </c>
      <c r="AI329" s="84" t="n">
        <v>0</v>
      </c>
      <c r="AJ329" s="84">
        <f>SUMIFS(AH$8:AH$1039,$O$8:$O$1039,O329,$AB$8:$AB$1039,AB329,$R$8:$R$1039,R329,$AA$8:$AA$1039,"&lt;="&amp;AA329)</f>
        <v/>
      </c>
      <c r="AK329" s="84">
        <f>C36</f>
        <v/>
      </c>
      <c r="AL329" s="84">
        <f>C42</f>
        <v/>
      </c>
      <c r="AM329" s="84">
        <f>MAX(0,AJ329-AK329)</f>
        <v/>
      </c>
      <c r="AN329" s="84">
        <f>IF(AM329=0,AH329,IF(AM329&gt;=AH329,0,AH329-AM329))</f>
        <v/>
      </c>
      <c r="AO329" s="84">
        <f>IF(AM329&gt;=AH329,AI329,AI329*AM329/AH329)</f>
        <v/>
      </c>
      <c r="AP329">
        <f t="array" ref="AP329">INDEX($AU$8:$BB$25,6*(R329-1)+MATCH(AB329,$AS$8:$AS$13,0),MATCH(O329,$AU$7:$BB$7,0))</f>
        <v/>
      </c>
    </row>
    <row r="330" ht="14.25" customHeight="1">
      <c r="O330" s="43" t="inlineStr">
        <is>
          <t>Q3’26</t>
        </is>
      </c>
      <c r="P330" s="43" t="n">
        <v>2</v>
      </c>
      <c r="Q330" s="43" t="n">
        <v>11</v>
      </c>
      <c r="R330" s="43" t="n">
        <v>2</v>
      </c>
      <c r="S330" s="45" t="n">
        <v>1970.56</v>
      </c>
      <c r="T330">
        <f>(S329+S330+S331)=P3</f>
        <v/>
      </c>
      <c r="X330" s="84">
        <f>MAX(S327-S330,0)</f>
        <v/>
      </c>
      <c r="Y330" s="83" t="n">
        <v>0</v>
      </c>
      <c r="AA330" s="84" t="n">
        <v>2</v>
      </c>
      <c r="AB330" s="84" t="inlineStr">
        <is>
          <t>E</t>
        </is>
      </c>
      <c r="AC330" s="84" t="inlineStr">
        <is>
          <t>E+</t>
        </is>
      </c>
      <c r="AD330" s="84" t="n">
        <v>20</v>
      </c>
      <c r="AE330" s="84" t="n">
        <v>19</v>
      </c>
      <c r="AF330" s="84" t="n">
        <v>0.76</v>
      </c>
      <c r="AG330" s="84" t="n">
        <v>0.84</v>
      </c>
      <c r="AH330" s="84" t="n">
        <v>0</v>
      </c>
      <c r="AI330" s="84" t="n">
        <v>0</v>
      </c>
      <c r="AJ330" s="84">
        <f>SUMIFS(AH$8:AH$1039,$O$8:$O$1039,O330,$AB$8:$AB$1039,AB330,$R$8:$R$1039,R330,$AA$8:$AA$1039,"&lt;="&amp;AA330)</f>
        <v/>
      </c>
      <c r="AK330" s="84">
        <f>D36</f>
        <v/>
      </c>
      <c r="AL330" s="84">
        <f>D42</f>
        <v/>
      </c>
      <c r="AM330" s="84">
        <f>MAX(0,AJ330-AK330)</f>
        <v/>
      </c>
      <c r="AN330" s="84">
        <f>IF(AM330=0,AH330,IF(AM330&gt;=AH330,0,AH330-AM330))</f>
        <v/>
      </c>
      <c r="AO330" s="84">
        <f>IF(AM330&gt;=AH330,AI330,AI330*AM330/AH330)</f>
        <v/>
      </c>
      <c r="AP330">
        <f t="array" ref="AP330">INDEX($AU$8:$BB$25,6*(R330-1)+MATCH(AB330,$AS$8:$AS$13,0),MATCH(O330,$AU$7:$BB$7,0))</f>
        <v/>
      </c>
    </row>
    <row r="331" ht="14.25" customHeight="1">
      <c r="O331" s="43" t="inlineStr">
        <is>
          <t>Q3’26</t>
        </is>
      </c>
      <c r="P331" s="43" t="n">
        <v>2</v>
      </c>
      <c r="Q331" s="43" t="n">
        <v>11</v>
      </c>
      <c r="R331" s="43" t="n">
        <v>3</v>
      </c>
      <c r="S331" s="45" t="n">
        <v>-0</v>
      </c>
      <c r="T331">
        <f>(S329+S330+S331)=P3</f>
        <v/>
      </c>
      <c r="X331" s="84">
        <f>MAX(S328-S331,0)</f>
        <v/>
      </c>
      <c r="Y331" s="83" t="n">
        <v>0</v>
      </c>
      <c r="AA331" s="84" t="n">
        <v>2</v>
      </c>
      <c r="AB331" s="84" t="inlineStr">
        <is>
          <t>E</t>
        </is>
      </c>
      <c r="AC331" s="84" t="inlineStr">
        <is>
          <t>E+</t>
        </is>
      </c>
      <c r="AD331" s="84" t="n">
        <v>20</v>
      </c>
      <c r="AE331" s="84" t="n">
        <v>19</v>
      </c>
      <c r="AF331" s="84" t="n">
        <v>0.76</v>
      </c>
      <c r="AG331" s="84" t="n">
        <v>0.84</v>
      </c>
      <c r="AH331" s="84" t="n">
        <v>0</v>
      </c>
      <c r="AI331" s="84" t="n">
        <v>0</v>
      </c>
      <c r="AJ331" s="84">
        <f>SUMIFS(AH$8:AH$1039,$O$8:$O$1039,O331,$AB$8:$AB$1039,AB331,$R$8:$R$1039,R331,$AA$8:$AA$1039,"&lt;="&amp;AA331)</f>
        <v/>
      </c>
      <c r="AK331" s="84">
        <f>E36</f>
        <v/>
      </c>
      <c r="AL331" s="84">
        <f>E42</f>
        <v/>
      </c>
      <c r="AM331" s="84">
        <f>MAX(0,AJ331-AK331)</f>
        <v/>
      </c>
      <c r="AN331" s="84">
        <f>IF(AM331=0,AH331,IF(AM331&gt;=AH331,0,AH331-AM331))</f>
        <v/>
      </c>
      <c r="AO331" s="84">
        <f>IF(AM331&gt;=AH331,AI331,AI331*AM331/AH331)</f>
        <v/>
      </c>
      <c r="AP331">
        <f t="array" ref="AP331">INDEX($AU$8:$BB$25,6*(R331-1)+MATCH(AB331,$AS$8:$AS$13,0),MATCH(O331,$AU$7:$BB$7,0))</f>
        <v/>
      </c>
    </row>
    <row r="332" ht="14.25" customHeight="1">
      <c r="O332" s="43" t="inlineStr">
        <is>
          <t>Q3’26</t>
        </is>
      </c>
      <c r="P332" s="43" t="n">
        <v>2</v>
      </c>
      <c r="Q332" s="43" t="n">
        <v>12</v>
      </c>
      <c r="R332" s="43" t="n">
        <v>1</v>
      </c>
      <c r="S332" s="45" t="n">
        <v>3429.44</v>
      </c>
      <c r="T332">
        <f>(S332+S333+S334)=P3</f>
        <v/>
      </c>
      <c r="X332" s="84">
        <f>MAX(S329-S332,0)</f>
        <v/>
      </c>
      <c r="Y332" s="83" t="n">
        <v>0</v>
      </c>
      <c r="AA332" s="84" t="n">
        <v>7</v>
      </c>
      <c r="AB332" s="84" t="inlineStr">
        <is>
          <t>F</t>
        </is>
      </c>
      <c r="AC332" s="84" t="inlineStr">
        <is>
          <t>F+</t>
        </is>
      </c>
      <c r="AD332" s="84" t="n">
        <v>21</v>
      </c>
      <c r="AE332" s="84" t="n">
        <v>18</v>
      </c>
      <c r="AF332" s="84" t="n">
        <v>0.8</v>
      </c>
      <c r="AG332" s="84" t="n">
        <v>0.9</v>
      </c>
      <c r="AH332" s="84" t="n">
        <v>0</v>
      </c>
      <c r="AI332" s="84" t="n">
        <v>0</v>
      </c>
      <c r="AJ332" s="84">
        <f>SUMIFS(AH$8:AH$1039,$O$8:$O$1039,O332,$AB$8:$AB$1039,AB332,$R$8:$R$1039,R332,$AA$8:$AA$1039,"&lt;="&amp;AA332)</f>
        <v/>
      </c>
      <c r="AK332" s="84">
        <f>C37</f>
        <v/>
      </c>
      <c r="AL332" s="84">
        <f>C43</f>
        <v/>
      </c>
      <c r="AM332" s="84">
        <f>MAX(0,AJ332-AK332)</f>
        <v/>
      </c>
      <c r="AN332" s="84">
        <f>IF(AM332=0,AH332,IF(AM332&gt;=AH332,0,AH332-AM332))</f>
        <v/>
      </c>
      <c r="AO332" s="84">
        <f>IF(AM332&gt;=AH332,AI332,AI332*AM332/AH332)</f>
        <v/>
      </c>
      <c r="AP332">
        <f t="array" ref="AP332">INDEX($AU$8:$BB$25,6*(R332-1)+MATCH(AB332,$AS$8:$AS$13,0),MATCH(O332,$AU$7:$BB$7,0))</f>
        <v/>
      </c>
    </row>
    <row r="333" ht="14.25" customHeight="1">
      <c r="O333" s="43" t="inlineStr">
        <is>
          <t>Q3’26</t>
        </is>
      </c>
      <c r="P333" s="43" t="n">
        <v>2</v>
      </c>
      <c r="Q333" s="43" t="n">
        <v>12</v>
      </c>
      <c r="R333" s="43" t="n">
        <v>2</v>
      </c>
      <c r="S333" s="45" t="n">
        <v>1970.56</v>
      </c>
      <c r="T333">
        <f>(S332+S333+S334)=P3</f>
        <v/>
      </c>
      <c r="X333" s="84">
        <f>MAX(S330-S333,0)</f>
        <v/>
      </c>
      <c r="Y333" s="83" t="n">
        <v>0</v>
      </c>
      <c r="AA333" s="84" t="n">
        <v>7</v>
      </c>
      <c r="AB333" s="84" t="inlineStr">
        <is>
          <t>F</t>
        </is>
      </c>
      <c r="AC333" s="84" t="inlineStr">
        <is>
          <t>F+</t>
        </is>
      </c>
      <c r="AD333" s="84" t="n">
        <v>21</v>
      </c>
      <c r="AE333" s="84" t="n">
        <v>18</v>
      </c>
      <c r="AF333" s="84" t="n">
        <v>0.8</v>
      </c>
      <c r="AG333" s="84" t="n">
        <v>0.9</v>
      </c>
      <c r="AH333" s="84" t="n">
        <v>0</v>
      </c>
      <c r="AI333" s="84" t="n">
        <v>0</v>
      </c>
      <c r="AJ333" s="84">
        <f>SUMIFS(AH$8:AH$1039,$O$8:$O$1039,O333,$AB$8:$AB$1039,AB333,$R$8:$R$1039,R333,$AA$8:$AA$1039,"&lt;="&amp;AA333)</f>
        <v/>
      </c>
      <c r="AK333" s="84">
        <f>D37</f>
        <v/>
      </c>
      <c r="AL333" s="84">
        <f>D43</f>
        <v/>
      </c>
      <c r="AM333" s="84">
        <f>MAX(0,AJ333-AK333)</f>
        <v/>
      </c>
      <c r="AN333" s="84">
        <f>IF(AM333=0,AH333,IF(AM333&gt;=AH333,0,AH333-AM333))</f>
        <v/>
      </c>
      <c r="AO333" s="84">
        <f>IF(AM333&gt;=AH333,AI333,AI333*AM333/AH333)</f>
        <v/>
      </c>
      <c r="AP333">
        <f t="array" ref="AP333">INDEX($AU$8:$BB$25,6*(R333-1)+MATCH(AB333,$AS$8:$AS$13,0),MATCH(O333,$AU$7:$BB$7,0))</f>
        <v/>
      </c>
    </row>
    <row r="334" ht="14.25" customHeight="1">
      <c r="O334" s="43" t="inlineStr">
        <is>
          <t>Q3’26</t>
        </is>
      </c>
      <c r="P334" s="43" t="n">
        <v>2</v>
      </c>
      <c r="Q334" s="43" t="n">
        <v>12</v>
      </c>
      <c r="R334" s="43" t="n">
        <v>3</v>
      </c>
      <c r="S334" s="45" t="n">
        <v>-0</v>
      </c>
      <c r="T334">
        <f>(S332+S333+S334)=P3</f>
        <v/>
      </c>
      <c r="X334" s="84">
        <f>MAX(S331-S334,0)</f>
        <v/>
      </c>
      <c r="Y334" s="83" t="n">
        <v>0</v>
      </c>
      <c r="AA334" s="84" t="n">
        <v>7</v>
      </c>
      <c r="AB334" s="84" t="inlineStr">
        <is>
          <t>F</t>
        </is>
      </c>
      <c r="AC334" s="84" t="inlineStr">
        <is>
          <t>F+</t>
        </is>
      </c>
      <c r="AD334" s="84" t="n">
        <v>21</v>
      </c>
      <c r="AE334" s="84" t="n">
        <v>18</v>
      </c>
      <c r="AF334" s="84" t="n">
        <v>0.8</v>
      </c>
      <c r="AG334" s="84" t="n">
        <v>0.9</v>
      </c>
      <c r="AH334" s="84" t="n">
        <v>0</v>
      </c>
      <c r="AI334" s="84" t="n">
        <v>0</v>
      </c>
      <c r="AJ334" s="84">
        <f>SUMIFS(AH$8:AH$1039,$O$8:$O$1039,O334,$AB$8:$AB$1039,AB334,$R$8:$R$1039,R334,$AA$8:$AA$1039,"&lt;="&amp;AA334)</f>
        <v/>
      </c>
      <c r="AK334" s="84">
        <f>E37</f>
        <v/>
      </c>
      <c r="AL334" s="84">
        <f>E43</f>
        <v/>
      </c>
      <c r="AM334" s="84">
        <f>MAX(0,AJ334-AK334)</f>
        <v/>
      </c>
      <c r="AN334" s="84">
        <f>IF(AM334=0,AH334,IF(AM334&gt;=AH334,0,AH334-AM334))</f>
        <v/>
      </c>
      <c r="AO334" s="84">
        <f>IF(AM334&gt;=AH334,AI334,AI334*AM334/AH334)</f>
        <v/>
      </c>
      <c r="AP334">
        <f t="array" ref="AP334">INDEX($AU$8:$BB$25,6*(R334-1)+MATCH(AB334,$AS$8:$AS$13,0),MATCH(O334,$AU$7:$BB$7,0))</f>
        <v/>
      </c>
    </row>
    <row r="335" ht="14.25" customHeight="1">
      <c r="O335" s="43" t="inlineStr">
        <is>
          <t>Q3’26</t>
        </is>
      </c>
      <c r="P335" s="43" t="n">
        <v>2</v>
      </c>
      <c r="Q335" s="43" t="n">
        <v>13</v>
      </c>
      <c r="R335" s="43" t="n">
        <v>1</v>
      </c>
      <c r="S335" s="45" t="n">
        <v>3429.440000000003</v>
      </c>
      <c r="T335">
        <f>(S335+S336+S337)=P3</f>
        <v/>
      </c>
      <c r="X335" s="84">
        <f>MAX(S332-S335,0)</f>
        <v/>
      </c>
      <c r="Y335" s="83" t="n">
        <v>0</v>
      </c>
      <c r="AA335" s="84" t="n">
        <v>8</v>
      </c>
      <c r="AB335" s="84" t="inlineStr">
        <is>
          <t>E</t>
        </is>
      </c>
      <c r="AC335" s="84" t="inlineStr">
        <is>
          <t>E+</t>
        </is>
      </c>
      <c r="AD335" s="84" t="n">
        <v>12</v>
      </c>
      <c r="AE335" s="84" t="n">
        <v>9</v>
      </c>
      <c r="AF335" s="84" t="n">
        <v>0.76</v>
      </c>
      <c r="AG335" s="84" t="n">
        <v>0.84</v>
      </c>
      <c r="AH335" s="84" t="n">
        <v>0</v>
      </c>
      <c r="AI335" s="84" t="n">
        <v>0</v>
      </c>
      <c r="AJ335" s="84">
        <f>SUMIFS(AH$8:AH$1039,$O$8:$O$1039,O335,$AB$8:$AB$1039,AB335,$R$8:$R$1039,R335,$AA$8:$AA$1039,"&lt;="&amp;AA335)</f>
        <v/>
      </c>
      <c r="AK335" s="84">
        <f>C36</f>
        <v/>
      </c>
      <c r="AL335" s="84">
        <f>C42</f>
        <v/>
      </c>
      <c r="AM335" s="84">
        <f>MAX(0,AJ335-AK335)</f>
        <v/>
      </c>
      <c r="AN335" s="84">
        <f>IF(AM335=0,AH335,IF(AM335&gt;=AH335,0,AH335-AM335))</f>
        <v/>
      </c>
      <c r="AO335" s="84">
        <f>IF(AM335&gt;=AH335,AI335,AI335*AM335/AH335)</f>
        <v/>
      </c>
      <c r="AP335">
        <f t="array" ref="AP335">INDEX($AU$8:$BB$25,6*(R335-1)+MATCH(AB335,$AS$8:$AS$13,0),MATCH(O335,$AU$7:$BB$7,0))</f>
        <v/>
      </c>
    </row>
    <row r="336" ht="14.25" customHeight="1">
      <c r="O336" s="43" t="inlineStr">
        <is>
          <t>Q3’26</t>
        </is>
      </c>
      <c r="P336" s="43" t="n">
        <v>2</v>
      </c>
      <c r="Q336" s="43" t="n">
        <v>13</v>
      </c>
      <c r="R336" s="43" t="n">
        <v>2</v>
      </c>
      <c r="S336" s="45" t="n">
        <v>1970.559999999997</v>
      </c>
      <c r="T336">
        <f>(S335+S336+S337)=P3</f>
        <v/>
      </c>
      <c r="X336" s="84">
        <f>MAX(S333-S336,0)</f>
        <v/>
      </c>
      <c r="Y336" s="83" t="n">
        <v>0</v>
      </c>
      <c r="AA336" s="84" t="n">
        <v>8</v>
      </c>
      <c r="AB336" s="84" t="inlineStr">
        <is>
          <t>E</t>
        </is>
      </c>
      <c r="AC336" s="84" t="inlineStr">
        <is>
          <t>E+</t>
        </is>
      </c>
      <c r="AD336" s="84" t="n">
        <v>12</v>
      </c>
      <c r="AE336" s="84" t="n">
        <v>9</v>
      </c>
      <c r="AF336" s="84" t="n">
        <v>0.76</v>
      </c>
      <c r="AG336" s="84" t="n">
        <v>0.84</v>
      </c>
      <c r="AH336" s="84" t="n">
        <v>0</v>
      </c>
      <c r="AI336" s="84" t="n">
        <v>0</v>
      </c>
      <c r="AJ336" s="84">
        <f>SUMIFS(AH$8:AH$1039,$O$8:$O$1039,O336,$AB$8:$AB$1039,AB336,$R$8:$R$1039,R336,$AA$8:$AA$1039,"&lt;="&amp;AA336)</f>
        <v/>
      </c>
      <c r="AK336" s="84">
        <f>D36</f>
        <v/>
      </c>
      <c r="AL336" s="84">
        <f>D42</f>
        <v/>
      </c>
      <c r="AM336" s="84">
        <f>MAX(0,AJ336-AK336)</f>
        <v/>
      </c>
      <c r="AN336" s="84">
        <f>IF(AM336=0,AH336,IF(AM336&gt;=AH336,0,AH336-AM336))</f>
        <v/>
      </c>
      <c r="AO336" s="84">
        <f>IF(AM336&gt;=AH336,AI336,AI336*AM336/AH336)</f>
        <v/>
      </c>
      <c r="AP336">
        <f t="array" ref="AP336">INDEX($AU$8:$BB$25,6*(R336-1)+MATCH(AB336,$AS$8:$AS$13,0),MATCH(O336,$AU$7:$BB$7,0))</f>
        <v/>
      </c>
    </row>
    <row r="337" ht="14.25" customHeight="1">
      <c r="O337" s="43" t="inlineStr">
        <is>
          <t>Q3’26</t>
        </is>
      </c>
      <c r="P337" s="43" t="n">
        <v>2</v>
      </c>
      <c r="Q337" s="43" t="n">
        <v>13</v>
      </c>
      <c r="R337" s="43" t="n">
        <v>3</v>
      </c>
      <c r="S337" s="45" t="n">
        <v>-0</v>
      </c>
      <c r="T337">
        <f>(S335+S336+S337)=P3</f>
        <v/>
      </c>
      <c r="X337" s="84">
        <f>MAX(S334-S337,0)</f>
        <v/>
      </c>
      <c r="Y337" s="83" t="n">
        <v>0</v>
      </c>
      <c r="AA337" s="84" t="n">
        <v>8</v>
      </c>
      <c r="AB337" s="84" t="inlineStr">
        <is>
          <t>E</t>
        </is>
      </c>
      <c r="AC337" s="84" t="inlineStr">
        <is>
          <t>E+</t>
        </is>
      </c>
      <c r="AD337" s="84" t="n">
        <v>12</v>
      </c>
      <c r="AE337" s="84" t="n">
        <v>9</v>
      </c>
      <c r="AF337" s="84" t="n">
        <v>0.76</v>
      </c>
      <c r="AG337" s="84" t="n">
        <v>0.84</v>
      </c>
      <c r="AH337" s="84" t="n">
        <v>0</v>
      </c>
      <c r="AI337" s="84" t="n">
        <v>0</v>
      </c>
      <c r="AJ337" s="84">
        <f>SUMIFS(AH$8:AH$1039,$O$8:$O$1039,O337,$AB$8:$AB$1039,AB337,$R$8:$R$1039,R337,$AA$8:$AA$1039,"&lt;="&amp;AA337)</f>
        <v/>
      </c>
      <c r="AK337" s="84">
        <f>E36</f>
        <v/>
      </c>
      <c r="AL337" s="84">
        <f>E42</f>
        <v/>
      </c>
      <c r="AM337" s="84">
        <f>MAX(0,AJ337-AK337)</f>
        <v/>
      </c>
      <c r="AN337" s="84">
        <f>IF(AM337=0,AH337,IF(AM337&gt;=AH337,0,AH337-AM337))</f>
        <v/>
      </c>
      <c r="AO337" s="84">
        <f>IF(AM337&gt;=AH337,AI337,AI337*AM337/AH337)</f>
        <v/>
      </c>
      <c r="AP337">
        <f t="array" ref="AP337">INDEX($AU$8:$BB$25,6*(R337-1)+MATCH(AB337,$AS$8:$AS$13,0),MATCH(O337,$AU$7:$BB$7,0))</f>
        <v/>
      </c>
    </row>
    <row r="338" ht="14.25" customHeight="1">
      <c r="O338" s="43" t="inlineStr">
        <is>
          <t>Q3’26</t>
        </is>
      </c>
      <c r="P338" s="43" t="n">
        <v>2</v>
      </c>
      <c r="Q338" s="43" t="n">
        <v>14</v>
      </c>
      <c r="R338" s="43" t="n">
        <v>1</v>
      </c>
      <c r="S338" s="45" t="n">
        <v>3429.440000000003</v>
      </c>
      <c r="T338">
        <f>(S338+S339+S340)=P3</f>
        <v/>
      </c>
      <c r="X338" s="84">
        <f>MAX(S335-S338,0)</f>
        <v/>
      </c>
      <c r="Y338" s="83" t="n">
        <v>0</v>
      </c>
      <c r="AA338" s="84" t="n">
        <v>5</v>
      </c>
      <c r="AB338" s="84" t="inlineStr">
        <is>
          <t>E</t>
        </is>
      </c>
      <c r="AC338" s="84" t="inlineStr">
        <is>
          <t>E+</t>
        </is>
      </c>
      <c r="AD338" s="84" t="n">
        <v>15</v>
      </c>
      <c r="AE338" s="84" t="n">
        <v>12</v>
      </c>
      <c r="AF338" s="84" t="n">
        <v>0.76</v>
      </c>
      <c r="AG338" s="84" t="n">
        <v>0.84</v>
      </c>
      <c r="AH338" s="84" t="n">
        <v>0</v>
      </c>
      <c r="AI338" s="84" t="n">
        <v>0</v>
      </c>
      <c r="AJ338" s="84">
        <f>SUMIFS(AH$8:AH$1039,$O$8:$O$1039,O338,$AB$8:$AB$1039,AB338,$R$8:$R$1039,R338,$AA$8:$AA$1039,"&lt;="&amp;AA338)</f>
        <v/>
      </c>
      <c r="AK338" s="84">
        <f>C36</f>
        <v/>
      </c>
      <c r="AL338" s="84">
        <f>C42</f>
        <v/>
      </c>
      <c r="AM338" s="84">
        <f>MAX(0,AJ338-AK338)</f>
        <v/>
      </c>
      <c r="AN338" s="84">
        <f>IF(AM338=0,AH338,IF(AM338&gt;=AH338,0,AH338-AM338))</f>
        <v/>
      </c>
      <c r="AO338" s="84">
        <f>IF(AM338&gt;=AH338,AI338,AI338*AM338/AH338)</f>
        <v/>
      </c>
      <c r="AP338">
        <f t="array" ref="AP338">INDEX($AU$8:$BB$25,6*(R338-1)+MATCH(AB338,$AS$8:$AS$13,0),MATCH(O338,$AU$7:$BB$7,0))</f>
        <v/>
      </c>
    </row>
    <row r="339" ht="14.25" customHeight="1">
      <c r="O339" s="43" t="inlineStr">
        <is>
          <t>Q3’26</t>
        </is>
      </c>
      <c r="P339" s="43" t="n">
        <v>2</v>
      </c>
      <c r="Q339" s="43" t="n">
        <v>14</v>
      </c>
      <c r="R339" s="43" t="n">
        <v>2</v>
      </c>
      <c r="S339" s="45" t="n">
        <v>1970.559999999997</v>
      </c>
      <c r="T339">
        <f>(S338+S339+S340)=P3</f>
        <v/>
      </c>
      <c r="X339" s="84">
        <f>MAX(S336-S339,0)</f>
        <v/>
      </c>
      <c r="Y339" s="83" t="n">
        <v>0</v>
      </c>
      <c r="AA339" s="84" t="n">
        <v>5</v>
      </c>
      <c r="AB339" s="84" t="inlineStr">
        <is>
          <t>E</t>
        </is>
      </c>
      <c r="AC339" s="84" t="inlineStr">
        <is>
          <t>E+</t>
        </is>
      </c>
      <c r="AD339" s="84" t="n">
        <v>15</v>
      </c>
      <c r="AE339" s="84" t="n">
        <v>12</v>
      </c>
      <c r="AF339" s="84" t="n">
        <v>0.76</v>
      </c>
      <c r="AG339" s="84" t="n">
        <v>0.84</v>
      </c>
      <c r="AH339" s="84" t="n">
        <v>0</v>
      </c>
      <c r="AI339" s="84" t="n">
        <v>0</v>
      </c>
      <c r="AJ339" s="84">
        <f>SUMIFS(AH$8:AH$1039,$O$8:$O$1039,O339,$AB$8:$AB$1039,AB339,$R$8:$R$1039,R339,$AA$8:$AA$1039,"&lt;="&amp;AA339)</f>
        <v/>
      </c>
      <c r="AK339" s="84">
        <f>D36</f>
        <v/>
      </c>
      <c r="AL339" s="84">
        <f>D42</f>
        <v/>
      </c>
      <c r="AM339" s="84">
        <f>MAX(0,AJ339-AK339)</f>
        <v/>
      </c>
      <c r="AN339" s="84">
        <f>IF(AM339=0,AH339,IF(AM339&gt;=AH339,0,AH339-AM339))</f>
        <v/>
      </c>
      <c r="AO339" s="84">
        <f>IF(AM339&gt;=AH339,AI339,AI339*AM339/AH339)</f>
        <v/>
      </c>
      <c r="AP339">
        <f t="array" ref="AP339">INDEX($AU$8:$BB$25,6*(R339-1)+MATCH(AB339,$AS$8:$AS$13,0),MATCH(O339,$AU$7:$BB$7,0))</f>
        <v/>
      </c>
    </row>
    <row r="340" ht="14.25" customHeight="1">
      <c r="O340" s="43" t="inlineStr">
        <is>
          <t>Q3’26</t>
        </is>
      </c>
      <c r="P340" s="43" t="n">
        <v>2</v>
      </c>
      <c r="Q340" s="43" t="n">
        <v>14</v>
      </c>
      <c r="R340" s="43" t="n">
        <v>3</v>
      </c>
      <c r="S340" s="45" t="n">
        <v>0</v>
      </c>
      <c r="T340">
        <f>(S338+S339+S340)=P3</f>
        <v/>
      </c>
      <c r="X340" s="84">
        <f>MAX(S337-S340,0)</f>
        <v/>
      </c>
      <c r="Y340" s="83" t="n">
        <v>0</v>
      </c>
      <c r="AA340" s="84" t="n">
        <v>5</v>
      </c>
      <c r="AB340" s="84" t="inlineStr">
        <is>
          <t>E</t>
        </is>
      </c>
      <c r="AC340" s="84" t="inlineStr">
        <is>
          <t>E+</t>
        </is>
      </c>
      <c r="AD340" s="84" t="n">
        <v>15</v>
      </c>
      <c r="AE340" s="84" t="n">
        <v>12</v>
      </c>
      <c r="AF340" s="84" t="n">
        <v>0.76</v>
      </c>
      <c r="AG340" s="84" t="n">
        <v>0.84</v>
      </c>
      <c r="AH340" s="84" t="n">
        <v>0</v>
      </c>
      <c r="AI340" s="84" t="n">
        <v>0</v>
      </c>
      <c r="AJ340" s="84">
        <f>SUMIFS(AH$8:AH$1039,$O$8:$O$1039,O340,$AB$8:$AB$1039,AB340,$R$8:$R$1039,R340,$AA$8:$AA$1039,"&lt;="&amp;AA340)</f>
        <v/>
      </c>
      <c r="AK340" s="84">
        <f>E36</f>
        <v/>
      </c>
      <c r="AL340" s="84">
        <f>E42</f>
        <v/>
      </c>
      <c r="AM340" s="84">
        <f>MAX(0,AJ340-AK340)</f>
        <v/>
      </c>
      <c r="AN340" s="84">
        <f>IF(AM340=0,AH340,IF(AM340&gt;=AH340,0,AH340-AM340))</f>
        <v/>
      </c>
      <c r="AO340" s="84">
        <f>IF(AM340&gt;=AH340,AI340,AI340*AM340/AH340)</f>
        <v/>
      </c>
      <c r="AP340">
        <f t="array" ref="AP340">INDEX($AU$8:$BB$25,6*(R340-1)+MATCH(AB340,$AS$8:$AS$13,0),MATCH(O340,$AU$7:$BB$7,0))</f>
        <v/>
      </c>
    </row>
    <row r="341" ht="14.25" customHeight="1">
      <c r="O341" s="43" t="inlineStr">
        <is>
          <t>Q3’26</t>
        </is>
      </c>
      <c r="P341" s="43" t="n">
        <v>2</v>
      </c>
      <c r="Q341" s="43" t="n">
        <v>15</v>
      </c>
      <c r="R341" s="43" t="n">
        <v>1</v>
      </c>
      <c r="S341" s="45" t="n">
        <v>3429.440000000004</v>
      </c>
      <c r="T341">
        <f>(S341+S342+S343)=P3</f>
        <v/>
      </c>
      <c r="X341" s="84">
        <f>MAX(S338-S341,0)</f>
        <v/>
      </c>
      <c r="Y341" s="83" t="n">
        <v>0</v>
      </c>
      <c r="AA341" s="84" t="n">
        <v>7</v>
      </c>
      <c r="AB341" s="84" t="inlineStr">
        <is>
          <t>E</t>
        </is>
      </c>
      <c r="AC341" s="84" t="inlineStr">
        <is>
          <t>E+</t>
        </is>
      </c>
      <c r="AD341" s="84" t="n">
        <v>13</v>
      </c>
      <c r="AE341" s="84" t="n">
        <v>10</v>
      </c>
      <c r="AF341" s="84" t="n">
        <v>0.76</v>
      </c>
      <c r="AG341" s="84" t="n">
        <v>0.84</v>
      </c>
      <c r="AH341" s="84" t="n">
        <v>0</v>
      </c>
      <c r="AI341" s="84" t="n">
        <v>0</v>
      </c>
      <c r="AJ341" s="84">
        <f>SUMIFS(AH$8:AH$1039,$O$8:$O$1039,O341,$AB$8:$AB$1039,AB341,$R$8:$R$1039,R341,$AA$8:$AA$1039,"&lt;="&amp;AA341)</f>
        <v/>
      </c>
      <c r="AK341" s="84">
        <f>C36</f>
        <v/>
      </c>
      <c r="AL341" s="84">
        <f>C42</f>
        <v/>
      </c>
      <c r="AM341" s="84">
        <f>MAX(0,AJ341-AK341)</f>
        <v/>
      </c>
      <c r="AN341" s="84">
        <f>IF(AM341=0,AH341,IF(AM341&gt;=AH341,0,AH341-AM341))</f>
        <v/>
      </c>
      <c r="AO341" s="84">
        <f>IF(AM341&gt;=AH341,AI341,AI341*AM341/AH341)</f>
        <v/>
      </c>
      <c r="AP341">
        <f t="array" ref="AP341">INDEX($AU$8:$BB$25,6*(R341-1)+MATCH(AB341,$AS$8:$AS$13,0),MATCH(O341,$AU$7:$BB$7,0))</f>
        <v/>
      </c>
    </row>
    <row r="342" ht="14.25" customHeight="1">
      <c r="O342" s="43" t="inlineStr">
        <is>
          <t>Q3’26</t>
        </is>
      </c>
      <c r="P342" s="43" t="n">
        <v>2</v>
      </c>
      <c r="Q342" s="43" t="n">
        <v>15</v>
      </c>
      <c r="R342" s="43" t="n">
        <v>2</v>
      </c>
      <c r="S342" s="45" t="n">
        <v>1970.559999999997</v>
      </c>
      <c r="T342">
        <f>(S341+S342+S343)=P3</f>
        <v/>
      </c>
      <c r="X342" s="84">
        <f>MAX(S339-S342,0)</f>
        <v/>
      </c>
      <c r="Y342" s="83" t="n">
        <v>0</v>
      </c>
      <c r="AA342" s="84" t="n">
        <v>7</v>
      </c>
      <c r="AB342" s="84" t="inlineStr">
        <is>
          <t>E</t>
        </is>
      </c>
      <c r="AC342" s="84" t="inlineStr">
        <is>
          <t>E+</t>
        </is>
      </c>
      <c r="AD342" s="84" t="n">
        <v>13</v>
      </c>
      <c r="AE342" s="84" t="n">
        <v>10</v>
      </c>
      <c r="AF342" s="84" t="n">
        <v>0.76</v>
      </c>
      <c r="AG342" s="84" t="n">
        <v>0.84</v>
      </c>
      <c r="AH342" s="84" t="n">
        <v>0</v>
      </c>
      <c r="AI342" s="84" t="n">
        <v>0</v>
      </c>
      <c r="AJ342" s="84">
        <f>SUMIFS(AH$8:AH$1039,$O$8:$O$1039,O342,$AB$8:$AB$1039,AB342,$R$8:$R$1039,R342,$AA$8:$AA$1039,"&lt;="&amp;AA342)</f>
        <v/>
      </c>
      <c r="AK342" s="84">
        <f>D36</f>
        <v/>
      </c>
      <c r="AL342" s="84">
        <f>D42</f>
        <v/>
      </c>
      <c r="AM342" s="84">
        <f>MAX(0,AJ342-AK342)</f>
        <v/>
      </c>
      <c r="AN342" s="84">
        <f>IF(AM342=0,AH342,IF(AM342&gt;=AH342,0,AH342-AM342))</f>
        <v/>
      </c>
      <c r="AO342" s="84">
        <f>IF(AM342&gt;=AH342,AI342,AI342*AM342/AH342)</f>
        <v/>
      </c>
      <c r="AP342">
        <f t="array" ref="AP342">INDEX($AU$8:$BB$25,6*(R342-1)+MATCH(AB342,$AS$8:$AS$13,0),MATCH(O342,$AU$7:$BB$7,0))</f>
        <v/>
      </c>
    </row>
    <row r="343" ht="14.25" customHeight="1">
      <c r="O343" s="43" t="inlineStr">
        <is>
          <t>Q3’26</t>
        </is>
      </c>
      <c r="P343" s="43" t="n">
        <v>2</v>
      </c>
      <c r="Q343" s="43" t="n">
        <v>15</v>
      </c>
      <c r="R343" s="43" t="n">
        <v>3</v>
      </c>
      <c r="S343" s="45" t="n">
        <v>-1e-12</v>
      </c>
      <c r="T343">
        <f>(S341+S342+S343)=P3</f>
        <v/>
      </c>
      <c r="X343" s="84">
        <f>MAX(S340-S343,0)</f>
        <v/>
      </c>
      <c r="Y343" s="83" t="n">
        <v>0</v>
      </c>
      <c r="AA343" s="84" t="n">
        <v>7</v>
      </c>
      <c r="AB343" s="84" t="inlineStr">
        <is>
          <t>E</t>
        </is>
      </c>
      <c r="AC343" s="84" t="inlineStr">
        <is>
          <t>E+</t>
        </is>
      </c>
      <c r="AD343" s="84" t="n">
        <v>13</v>
      </c>
      <c r="AE343" s="84" t="n">
        <v>10</v>
      </c>
      <c r="AF343" s="84" t="n">
        <v>0.76</v>
      </c>
      <c r="AG343" s="84" t="n">
        <v>0.84</v>
      </c>
      <c r="AH343" s="84" t="n">
        <v>0</v>
      </c>
      <c r="AI343" s="84" t="n">
        <v>0</v>
      </c>
      <c r="AJ343" s="84">
        <f>SUMIFS(AH$8:AH$1039,$O$8:$O$1039,O343,$AB$8:$AB$1039,AB343,$R$8:$R$1039,R343,$AA$8:$AA$1039,"&lt;="&amp;AA343)</f>
        <v/>
      </c>
      <c r="AK343" s="84">
        <f>E36</f>
        <v/>
      </c>
      <c r="AL343" s="84">
        <f>E42</f>
        <v/>
      </c>
      <c r="AM343" s="84">
        <f>MAX(0,AJ343-AK343)</f>
        <v/>
      </c>
      <c r="AN343" s="84">
        <f>IF(AM343=0,AH343,IF(AM343&gt;=AH343,0,AH343-AM343))</f>
        <v/>
      </c>
      <c r="AO343" s="84">
        <f>IF(AM343&gt;=AH343,AI343,AI343*AM343/AH343)</f>
        <v/>
      </c>
      <c r="AP343">
        <f t="array" ref="AP343">INDEX($AU$8:$BB$25,6*(R343-1)+MATCH(AB343,$AS$8:$AS$13,0),MATCH(O343,$AU$7:$BB$7,0))</f>
        <v/>
      </c>
    </row>
    <row r="344" ht="14.25" customHeight="1">
      <c r="O344" s="43" t="inlineStr">
        <is>
          <t>Q3’26</t>
        </is>
      </c>
      <c r="P344" s="43" t="n">
        <v>3</v>
      </c>
      <c r="Q344" s="43" t="n">
        <v>1</v>
      </c>
      <c r="R344" s="43" t="n">
        <v>1</v>
      </c>
      <c r="S344" s="45" t="n">
        <v>1105.394218310391</v>
      </c>
      <c r="T344">
        <f>(S344+S345+S346)=P4</f>
        <v/>
      </c>
      <c r="X344" s="84" t="n">
        <v>0</v>
      </c>
      <c r="Y344" s="83" t="n">
        <v>0</v>
      </c>
      <c r="AA344" s="84" t="n">
        <v>1</v>
      </c>
      <c r="AB344" s="84" t="inlineStr">
        <is>
          <t>C</t>
        </is>
      </c>
      <c r="AC344" s="84" t="inlineStr">
        <is>
          <t>C+</t>
        </is>
      </c>
      <c r="AD344" s="84" t="n">
        <v>21</v>
      </c>
      <c r="AE344" s="84" t="n">
        <v>20</v>
      </c>
      <c r="AF344" s="84" t="n">
        <v>0.8</v>
      </c>
      <c r="AG344" s="84" t="n">
        <v>0.86</v>
      </c>
      <c r="AH344" s="84" t="n">
        <v>0</v>
      </c>
      <c r="AI344" s="84" t="n">
        <v>0</v>
      </c>
      <c r="AJ344" s="84">
        <f>SUMIFS(AH$8:AH$1039,$O$8:$O$1039,O344,$AB$8:$AB$1039,AB344,$R$8:$R$1039,R344,$AA$8:$AA$1039,"&lt;="&amp;AA344)</f>
        <v/>
      </c>
      <c r="AK344" s="84">
        <f>C34</f>
        <v/>
      </c>
      <c r="AL344" s="84">
        <f>C40</f>
        <v/>
      </c>
      <c r="AM344" s="84">
        <f>MAX(0,AJ344-AK344)</f>
        <v/>
      </c>
      <c r="AN344" s="84">
        <f>IF(AM344=0,AH344,IF(AM344&gt;=AH344,0,AH344-AM344))</f>
        <v/>
      </c>
      <c r="AO344" s="84">
        <f>IF(AM344&gt;=AH344,AI344,AI344*AM344/AH344)</f>
        <v/>
      </c>
      <c r="AP344">
        <f t="array" ref="AP344">INDEX($AU$8:$BB$25,6*(R344-1)+MATCH(AB344,$AS$8:$AS$13,0),MATCH(O344,$AU$7:$BB$7,0))</f>
        <v/>
      </c>
    </row>
    <row r="345" ht="14.25" customHeight="1">
      <c r="O345" s="43" t="inlineStr">
        <is>
          <t>Q3’26</t>
        </is>
      </c>
      <c r="P345" s="43" t="n">
        <v>3</v>
      </c>
      <c r="Q345" s="43" t="n">
        <v>1</v>
      </c>
      <c r="R345" s="43" t="n">
        <v>2</v>
      </c>
      <c r="S345" s="45" t="n">
        <v>3058.63664931553</v>
      </c>
      <c r="T345">
        <f>(S344+S345+S346)=P4</f>
        <v/>
      </c>
      <c r="X345" s="84" t="n">
        <v>0</v>
      </c>
      <c r="Y345" s="83" t="n">
        <v>0</v>
      </c>
      <c r="AA345" s="84" t="n">
        <v>1</v>
      </c>
      <c r="AB345" s="84" t="inlineStr">
        <is>
          <t>C</t>
        </is>
      </c>
      <c r="AC345" s="84" t="inlineStr">
        <is>
          <t>C+</t>
        </is>
      </c>
      <c r="AD345" s="84" t="n">
        <v>21</v>
      </c>
      <c r="AE345" s="84" t="n">
        <v>20</v>
      </c>
      <c r="AF345" s="84" t="n">
        <v>0.8</v>
      </c>
      <c r="AG345" s="84" t="n">
        <v>0.86</v>
      </c>
      <c r="AH345" s="84" t="n">
        <v>0</v>
      </c>
      <c r="AI345" s="84" t="n">
        <v>0</v>
      </c>
      <c r="AJ345" s="84">
        <f>SUMIFS(AH$8:AH$1039,$O$8:$O$1039,O345,$AB$8:$AB$1039,AB345,$R$8:$R$1039,R345,$AA$8:$AA$1039,"&lt;="&amp;AA345)</f>
        <v/>
      </c>
      <c r="AK345" s="84">
        <f>D34</f>
        <v/>
      </c>
      <c r="AL345" s="84">
        <f>D40</f>
        <v/>
      </c>
      <c r="AM345" s="84">
        <f>MAX(0,AJ345-AK345)</f>
        <v/>
      </c>
      <c r="AN345" s="84">
        <f>IF(AM345=0,AH345,IF(AM345&gt;=AH345,0,AH345-AM345))</f>
        <v/>
      </c>
      <c r="AO345" s="84">
        <f>IF(AM345&gt;=AH345,AI345,AI345*AM345/AH345)</f>
        <v/>
      </c>
      <c r="AP345">
        <f t="array" ref="AP345">INDEX($AU$8:$BB$25,6*(R345-1)+MATCH(AB345,$AS$8:$AS$13,0),MATCH(O345,$AU$7:$BB$7,0))</f>
        <v/>
      </c>
    </row>
    <row r="346" ht="14.25" customHeight="1">
      <c r="O346" s="43" t="inlineStr">
        <is>
          <t>Q3’26</t>
        </is>
      </c>
      <c r="P346" s="43" t="n">
        <v>3</v>
      </c>
      <c r="Q346" s="43" t="n">
        <v>1</v>
      </c>
      <c r="R346" s="43" t="n">
        <v>3</v>
      </c>
      <c r="S346" s="45" t="n">
        <v>2835.969132374079</v>
      </c>
      <c r="T346">
        <f>(S344+S345+S346)=P4</f>
        <v/>
      </c>
      <c r="X346" s="84" t="n">
        <v>0</v>
      </c>
      <c r="Y346" s="83" t="n">
        <v>0</v>
      </c>
      <c r="AA346" s="84" t="n">
        <v>1</v>
      </c>
      <c r="AB346" s="84" t="inlineStr">
        <is>
          <t>C</t>
        </is>
      </c>
      <c r="AC346" s="84" t="inlineStr">
        <is>
          <t>C+</t>
        </is>
      </c>
      <c r="AD346" s="84" t="n">
        <v>21</v>
      </c>
      <c r="AE346" s="84" t="n">
        <v>20</v>
      </c>
      <c r="AF346" s="84" t="n">
        <v>0.8</v>
      </c>
      <c r="AG346" s="84" t="n">
        <v>0.86</v>
      </c>
      <c r="AH346" s="84" t="n">
        <v>0</v>
      </c>
      <c r="AI346" s="84" t="n">
        <v>0</v>
      </c>
      <c r="AJ346" s="84">
        <f>SUMIFS(AH$8:AH$1039,$O$8:$O$1039,O346,$AB$8:$AB$1039,AB346,$R$8:$R$1039,R346,$AA$8:$AA$1039,"&lt;="&amp;AA346)</f>
        <v/>
      </c>
      <c r="AK346" s="84">
        <f>E34</f>
        <v/>
      </c>
      <c r="AL346" s="84">
        <f>E40</f>
        <v/>
      </c>
      <c r="AM346" s="84">
        <f>MAX(0,AJ346-AK346)</f>
        <v/>
      </c>
      <c r="AN346" s="84">
        <f>IF(AM346=0,AH346,IF(AM346&gt;=AH346,0,AH346-AM346))</f>
        <v/>
      </c>
      <c r="AO346" s="84">
        <f>IF(AM346&gt;=AH346,AI346,AI346*AM346/AH346)</f>
        <v/>
      </c>
      <c r="AP346">
        <f t="array" ref="AP346">INDEX($AU$8:$BB$25,6*(R346-1)+MATCH(AB346,$AS$8:$AS$13,0),MATCH(O346,$AU$7:$BB$7,0))</f>
        <v/>
      </c>
    </row>
    <row r="347" ht="14.25" customHeight="1">
      <c r="O347" s="43" t="inlineStr">
        <is>
          <t>Q3’26</t>
        </is>
      </c>
      <c r="P347" s="43" t="n">
        <v>3</v>
      </c>
      <c r="Q347" s="43" t="n">
        <v>2</v>
      </c>
      <c r="R347" s="43" t="n">
        <v>1</v>
      </c>
      <c r="S347" s="45" t="n">
        <v>1105.394218310392</v>
      </c>
      <c r="T347">
        <f>(S347+S348+S349)=P4</f>
        <v/>
      </c>
      <c r="X347" s="84">
        <f>MAX(S344-S347,0)</f>
        <v/>
      </c>
      <c r="Y347" s="83" t="n">
        <v>0</v>
      </c>
      <c r="AA347" s="84" t="n">
        <v>8</v>
      </c>
      <c r="AB347" s="84" t="inlineStr">
        <is>
          <t>D</t>
        </is>
      </c>
      <c r="AC347" s="84" t="inlineStr">
        <is>
          <t>D+</t>
        </is>
      </c>
      <c r="AD347" s="84" t="n">
        <v>9</v>
      </c>
      <c r="AE347" s="84" t="n">
        <v>7</v>
      </c>
      <c r="AF347" s="84" t="n">
        <v>0.8</v>
      </c>
      <c r="AG347" s="84" t="n">
        <v>0.88</v>
      </c>
      <c r="AH347" s="84" t="n">
        <v>0</v>
      </c>
      <c r="AI347" s="84" t="n">
        <v>0</v>
      </c>
      <c r="AJ347" s="84">
        <f>SUMIFS(AH$8:AH$1039,$O$8:$O$1039,O347,$AB$8:$AB$1039,AB347,$R$8:$R$1039,R347,$AA$8:$AA$1039,"&lt;="&amp;AA347)</f>
        <v/>
      </c>
      <c r="AK347" s="84">
        <f>C35</f>
        <v/>
      </c>
      <c r="AL347" s="84">
        <f>C41</f>
        <v/>
      </c>
      <c r="AM347" s="84">
        <f>MAX(0,AJ347-AK347)</f>
        <v/>
      </c>
      <c r="AN347" s="84">
        <f>IF(AM347=0,AH347,IF(AM347&gt;=AH347,0,AH347-AM347))</f>
        <v/>
      </c>
      <c r="AO347" s="84">
        <f>IF(AM347&gt;=AH347,AI347,AI347*AM347/AH347)</f>
        <v/>
      </c>
      <c r="AP347">
        <f t="array" ref="AP347">INDEX($AU$8:$BB$25,6*(R347-1)+MATCH(AB347,$AS$8:$AS$13,0),MATCH(O347,$AU$7:$BB$7,0))</f>
        <v/>
      </c>
    </row>
    <row r="348" ht="14.25" customHeight="1">
      <c r="O348" s="43" t="inlineStr">
        <is>
          <t>Q3’26</t>
        </is>
      </c>
      <c r="P348" s="43" t="n">
        <v>3</v>
      </c>
      <c r="Q348" s="43" t="n">
        <v>2</v>
      </c>
      <c r="R348" s="43" t="n">
        <v>2</v>
      </c>
      <c r="S348" s="45" t="n">
        <v>3058.63664931553</v>
      </c>
      <c r="T348">
        <f>(S347+S348+S349)=P4</f>
        <v/>
      </c>
      <c r="X348" s="84">
        <f>MAX(S345-S348,0)</f>
        <v/>
      </c>
      <c r="Y348" s="83" t="n">
        <v>0</v>
      </c>
      <c r="AA348" s="84" t="n">
        <v>8</v>
      </c>
      <c r="AB348" s="84" t="inlineStr">
        <is>
          <t>D</t>
        </is>
      </c>
      <c r="AC348" s="84" t="inlineStr">
        <is>
          <t>D+</t>
        </is>
      </c>
      <c r="AD348" s="84" t="n">
        <v>9</v>
      </c>
      <c r="AE348" s="84" t="n">
        <v>7</v>
      </c>
      <c r="AF348" s="84" t="n">
        <v>0.8</v>
      </c>
      <c r="AG348" s="84" t="n">
        <v>0.88</v>
      </c>
      <c r="AH348" s="84" t="n">
        <v>0</v>
      </c>
      <c r="AI348" s="84" t="n">
        <v>0</v>
      </c>
      <c r="AJ348" s="84">
        <f>SUMIFS(AH$8:AH$1039,$O$8:$O$1039,O348,$AB$8:$AB$1039,AB348,$R$8:$R$1039,R348,$AA$8:$AA$1039,"&lt;="&amp;AA348)</f>
        <v/>
      </c>
      <c r="AK348" s="84">
        <f>D35</f>
        <v/>
      </c>
      <c r="AL348" s="84">
        <f>D41</f>
        <v/>
      </c>
      <c r="AM348" s="84">
        <f>MAX(0,AJ348-AK348)</f>
        <v/>
      </c>
      <c r="AN348" s="84">
        <f>IF(AM348=0,AH348,IF(AM348&gt;=AH348,0,AH348-AM348))</f>
        <v/>
      </c>
      <c r="AO348" s="84">
        <f>IF(AM348&gt;=AH348,AI348,AI348*AM348/AH348)</f>
        <v/>
      </c>
      <c r="AP348">
        <f t="array" ref="AP348">INDEX($AU$8:$BB$25,6*(R348-1)+MATCH(AB348,$AS$8:$AS$13,0),MATCH(O348,$AU$7:$BB$7,0))</f>
        <v/>
      </c>
    </row>
    <row r="349" ht="14.25" customHeight="1">
      <c r="O349" s="43" t="inlineStr">
        <is>
          <t>Q3’26</t>
        </is>
      </c>
      <c r="P349" s="43" t="n">
        <v>3</v>
      </c>
      <c r="Q349" s="43" t="n">
        <v>2</v>
      </c>
      <c r="R349" s="43" t="n">
        <v>3</v>
      </c>
      <c r="S349" s="45" t="n">
        <v>2835.969132374078</v>
      </c>
      <c r="T349">
        <f>(S347+S348+S349)=P4</f>
        <v/>
      </c>
      <c r="X349" s="84">
        <f>MAX(S346-S349,0)</f>
        <v/>
      </c>
      <c r="Y349" s="83" t="n">
        <v>0</v>
      </c>
      <c r="AA349" s="84" t="n">
        <v>8</v>
      </c>
      <c r="AB349" s="84" t="inlineStr">
        <is>
          <t>D</t>
        </is>
      </c>
      <c r="AC349" s="84" t="inlineStr">
        <is>
          <t>D+</t>
        </is>
      </c>
      <c r="AD349" s="84" t="n">
        <v>9</v>
      </c>
      <c r="AE349" s="84" t="n">
        <v>7</v>
      </c>
      <c r="AF349" s="84" t="n">
        <v>0.8</v>
      </c>
      <c r="AG349" s="84" t="n">
        <v>0.88</v>
      </c>
      <c r="AH349" s="84" t="n">
        <v>0</v>
      </c>
      <c r="AI349" s="84" t="n">
        <v>0</v>
      </c>
      <c r="AJ349" s="84">
        <f>SUMIFS(AH$8:AH$1039,$O$8:$O$1039,O349,$AB$8:$AB$1039,AB349,$R$8:$R$1039,R349,$AA$8:$AA$1039,"&lt;="&amp;AA349)</f>
        <v/>
      </c>
      <c r="AK349" s="84">
        <f>E35</f>
        <v/>
      </c>
      <c r="AL349" s="84">
        <f>E41</f>
        <v/>
      </c>
      <c r="AM349" s="84">
        <f>MAX(0,AJ349-AK349)</f>
        <v/>
      </c>
      <c r="AN349" s="84">
        <f>IF(AM349=0,AH349,IF(AM349&gt;=AH349,0,AH349-AM349))</f>
        <v/>
      </c>
      <c r="AO349" s="84">
        <f>IF(AM349&gt;=AH349,AI349,AI349*AM349/AH349)</f>
        <v/>
      </c>
      <c r="AP349">
        <f t="array" ref="AP349">INDEX($AU$8:$BB$25,6*(R349-1)+MATCH(AB349,$AS$8:$AS$13,0),MATCH(O349,$AU$7:$BB$7,0))</f>
        <v/>
      </c>
    </row>
    <row r="350" ht="14.25" customHeight="1">
      <c r="O350" s="43" t="inlineStr">
        <is>
          <t>Q3’26</t>
        </is>
      </c>
      <c r="P350" s="43" t="n">
        <v>3</v>
      </c>
      <c r="Q350" s="43" t="n">
        <v>3</v>
      </c>
      <c r="R350" s="43" t="n">
        <v>1</v>
      </c>
      <c r="S350" s="45" t="n">
        <v>1105.394218310392</v>
      </c>
      <c r="T350">
        <f>(S350+S351+S352)=P4</f>
        <v/>
      </c>
      <c r="X350" s="84">
        <f>MAX(S347-S350,0)</f>
        <v/>
      </c>
      <c r="Y350" s="83" t="n">
        <v>0</v>
      </c>
      <c r="AA350" s="84" t="n">
        <v>1</v>
      </c>
      <c r="AB350" s="84" t="inlineStr">
        <is>
          <t>E</t>
        </is>
      </c>
      <c r="AC350" s="84" t="inlineStr">
        <is>
          <t>E+</t>
        </is>
      </c>
      <c r="AD350" s="84" t="n">
        <v>24</v>
      </c>
      <c r="AE350" s="84" t="n">
        <v>23</v>
      </c>
      <c r="AF350" s="84" t="n">
        <v>0.76</v>
      </c>
      <c r="AG350" s="84" t="n">
        <v>0.84</v>
      </c>
      <c r="AH350" s="84" t="n">
        <v>0</v>
      </c>
      <c r="AI350" s="84" t="n">
        <v>0</v>
      </c>
      <c r="AJ350" s="84">
        <f>SUMIFS(AH$8:AH$1039,$O$8:$O$1039,O350,$AB$8:$AB$1039,AB350,$R$8:$R$1039,R350,$AA$8:$AA$1039,"&lt;="&amp;AA350)</f>
        <v/>
      </c>
      <c r="AK350" s="84">
        <f>C36</f>
        <v/>
      </c>
      <c r="AL350" s="84">
        <f>C42</f>
        <v/>
      </c>
      <c r="AM350" s="84">
        <f>MAX(0,AJ350-AK350)</f>
        <v/>
      </c>
      <c r="AN350" s="84">
        <f>IF(AM350=0,AH350,IF(AM350&gt;=AH350,0,AH350-AM350))</f>
        <v/>
      </c>
      <c r="AO350" s="84">
        <f>IF(AM350&gt;=AH350,AI350,AI350*AM350/AH350)</f>
        <v/>
      </c>
      <c r="AP350">
        <f t="array" ref="AP350">INDEX($AU$8:$BB$25,6*(R350-1)+MATCH(AB350,$AS$8:$AS$13,0),MATCH(O350,$AU$7:$BB$7,0))</f>
        <v/>
      </c>
    </row>
    <row r="351" ht="14.25" customHeight="1">
      <c r="O351" s="43" t="inlineStr">
        <is>
          <t>Q3’26</t>
        </is>
      </c>
      <c r="P351" s="43" t="n">
        <v>3</v>
      </c>
      <c r="Q351" s="43" t="n">
        <v>3</v>
      </c>
      <c r="R351" s="43" t="n">
        <v>2</v>
      </c>
      <c r="S351" s="45" t="n">
        <v>3058.63664931553</v>
      </c>
      <c r="T351">
        <f>(S350+S351+S352)=P4</f>
        <v/>
      </c>
      <c r="X351" s="84">
        <f>MAX(S348-S351,0)</f>
        <v/>
      </c>
      <c r="Y351" s="83" t="n">
        <v>0</v>
      </c>
      <c r="AA351" s="84" t="n">
        <v>1</v>
      </c>
      <c r="AB351" s="84" t="inlineStr">
        <is>
          <t>E</t>
        </is>
      </c>
      <c r="AC351" s="84" t="inlineStr">
        <is>
          <t>E+</t>
        </is>
      </c>
      <c r="AD351" s="84" t="n">
        <v>24</v>
      </c>
      <c r="AE351" s="84" t="n">
        <v>23</v>
      </c>
      <c r="AF351" s="84" t="n">
        <v>0.76</v>
      </c>
      <c r="AG351" s="84" t="n">
        <v>0.84</v>
      </c>
      <c r="AH351" s="84" t="n">
        <v>0</v>
      </c>
      <c r="AI351" s="84" t="n">
        <v>0</v>
      </c>
      <c r="AJ351" s="84">
        <f>SUMIFS(AH$8:AH$1039,$O$8:$O$1039,O351,$AB$8:$AB$1039,AB351,$R$8:$R$1039,R351,$AA$8:$AA$1039,"&lt;="&amp;AA351)</f>
        <v/>
      </c>
      <c r="AK351" s="84">
        <f>D36</f>
        <v/>
      </c>
      <c r="AL351" s="84">
        <f>D42</f>
        <v/>
      </c>
      <c r="AM351" s="84">
        <f>MAX(0,AJ351-AK351)</f>
        <v/>
      </c>
      <c r="AN351" s="84">
        <f>IF(AM351=0,AH351,IF(AM351&gt;=AH351,0,AH351-AM351))</f>
        <v/>
      </c>
      <c r="AO351" s="84">
        <f>IF(AM351&gt;=AH351,AI351,AI351*AM351/AH351)</f>
        <v/>
      </c>
      <c r="AP351">
        <f t="array" ref="AP351">INDEX($AU$8:$BB$25,6*(R351-1)+MATCH(AB351,$AS$8:$AS$13,0),MATCH(O351,$AU$7:$BB$7,0))</f>
        <v/>
      </c>
    </row>
    <row r="352" ht="14.25" customHeight="1">
      <c r="O352" s="43" t="inlineStr">
        <is>
          <t>Q3’26</t>
        </is>
      </c>
      <c r="P352" s="43" t="n">
        <v>3</v>
      </c>
      <c r="Q352" s="43" t="n">
        <v>3</v>
      </c>
      <c r="R352" s="43" t="n">
        <v>3</v>
      </c>
      <c r="S352" s="45" t="n">
        <v>2835.969132374078</v>
      </c>
      <c r="T352">
        <f>(S350+S351+S352)=P4</f>
        <v/>
      </c>
      <c r="X352" s="84">
        <f>MAX(S349-S352,0)</f>
        <v/>
      </c>
      <c r="Y352" s="83" t="n">
        <v>0</v>
      </c>
      <c r="AA352" s="84" t="n">
        <v>1</v>
      </c>
      <c r="AB352" s="84" t="inlineStr">
        <is>
          <t>E</t>
        </is>
      </c>
      <c r="AC352" s="84" t="inlineStr">
        <is>
          <t>E+</t>
        </is>
      </c>
      <c r="AD352" s="84" t="n">
        <v>24</v>
      </c>
      <c r="AE352" s="84" t="n">
        <v>23</v>
      </c>
      <c r="AF352" s="84" t="n">
        <v>0.76</v>
      </c>
      <c r="AG352" s="84" t="n">
        <v>0.84</v>
      </c>
      <c r="AH352" s="84" t="n">
        <v>0</v>
      </c>
      <c r="AI352" s="84" t="n">
        <v>0</v>
      </c>
      <c r="AJ352" s="84">
        <f>SUMIFS(AH$8:AH$1039,$O$8:$O$1039,O352,$AB$8:$AB$1039,AB352,$R$8:$R$1039,R352,$AA$8:$AA$1039,"&lt;="&amp;AA352)</f>
        <v/>
      </c>
      <c r="AK352" s="84">
        <f>E36</f>
        <v/>
      </c>
      <c r="AL352" s="84">
        <f>E42</f>
        <v/>
      </c>
      <c r="AM352" s="84">
        <f>MAX(0,AJ352-AK352)</f>
        <v/>
      </c>
      <c r="AN352" s="84">
        <f>IF(AM352=0,AH352,IF(AM352&gt;=AH352,0,AH352-AM352))</f>
        <v/>
      </c>
      <c r="AO352" s="84">
        <f>IF(AM352&gt;=AH352,AI352,AI352*AM352/AH352)</f>
        <v/>
      </c>
      <c r="AP352">
        <f t="array" ref="AP352">INDEX($AU$8:$BB$25,6*(R352-1)+MATCH(AB352,$AS$8:$AS$13,0),MATCH(O352,$AU$7:$BB$7,0))</f>
        <v/>
      </c>
    </row>
    <row r="353" ht="14.25" customHeight="1">
      <c r="O353" s="43" t="inlineStr">
        <is>
          <t>Q3’26</t>
        </is>
      </c>
      <c r="P353" s="43" t="n">
        <v>3</v>
      </c>
      <c r="Q353" s="43" t="n">
        <v>4</v>
      </c>
      <c r="R353" s="43" t="n">
        <v>1</v>
      </c>
      <c r="S353" s="45" t="n">
        <v>1105.394218310392</v>
      </c>
      <c r="T353">
        <f>(S353+S354+S355)=P4</f>
        <v/>
      </c>
      <c r="X353" s="84">
        <f>MAX(S350-S353,0)</f>
        <v/>
      </c>
      <c r="Y353" s="83" t="n">
        <v>0</v>
      </c>
      <c r="AA353" s="84" t="n">
        <v>9</v>
      </c>
      <c r="AB353" s="84" t="inlineStr">
        <is>
          <t>E</t>
        </is>
      </c>
      <c r="AC353" s="84" t="inlineStr">
        <is>
          <t>E+</t>
        </is>
      </c>
      <c r="AD353" s="84" t="n">
        <v>15</v>
      </c>
      <c r="AE353" s="84" t="n">
        <v>11</v>
      </c>
      <c r="AF353" s="84" t="n">
        <v>0.76</v>
      </c>
      <c r="AG353" s="84" t="n">
        <v>0.84</v>
      </c>
      <c r="AH353" s="84" t="n">
        <v>0</v>
      </c>
      <c r="AI353" s="84" t="n">
        <v>0</v>
      </c>
      <c r="AJ353" s="84">
        <f>SUMIFS(AH$8:AH$1039,$O$8:$O$1039,O353,$AB$8:$AB$1039,AB353,$R$8:$R$1039,R353,$AA$8:$AA$1039,"&lt;="&amp;AA353)</f>
        <v/>
      </c>
      <c r="AK353" s="84">
        <f>C36</f>
        <v/>
      </c>
      <c r="AL353" s="84">
        <f>C42</f>
        <v/>
      </c>
      <c r="AM353" s="84">
        <f>MAX(0,AJ353-AK353)</f>
        <v/>
      </c>
      <c r="AN353" s="84">
        <f>IF(AM353=0,AH353,IF(AM353&gt;=AH353,0,AH353-AM353))</f>
        <v/>
      </c>
      <c r="AO353" s="84">
        <f>IF(AM353&gt;=AH353,AI353,AI353*AM353/AH353)</f>
        <v/>
      </c>
      <c r="AP353">
        <f t="array" ref="AP353">INDEX($AU$8:$BB$25,6*(R353-1)+MATCH(AB353,$AS$8:$AS$13,0),MATCH(O353,$AU$7:$BB$7,0))</f>
        <v/>
      </c>
    </row>
    <row r="354" ht="14.25" customHeight="1">
      <c r="O354" s="43" t="inlineStr">
        <is>
          <t>Q3’26</t>
        </is>
      </c>
      <c r="P354" s="43" t="n">
        <v>3</v>
      </c>
      <c r="Q354" s="43" t="n">
        <v>4</v>
      </c>
      <c r="R354" s="43" t="n">
        <v>2</v>
      </c>
      <c r="S354" s="45" t="n">
        <v>3058.63664931553</v>
      </c>
      <c r="T354">
        <f>(S353+S354+S355)=P4</f>
        <v/>
      </c>
      <c r="X354" s="84">
        <f>MAX(S351-S354,0)</f>
        <v/>
      </c>
      <c r="Y354" s="83" t="n">
        <v>0</v>
      </c>
      <c r="AA354" s="84" t="n">
        <v>9</v>
      </c>
      <c r="AB354" s="84" t="inlineStr">
        <is>
          <t>E</t>
        </is>
      </c>
      <c r="AC354" s="84" t="inlineStr">
        <is>
          <t>E+</t>
        </is>
      </c>
      <c r="AD354" s="84" t="n">
        <v>15</v>
      </c>
      <c r="AE354" s="84" t="n">
        <v>11</v>
      </c>
      <c r="AF354" s="84" t="n">
        <v>0.76</v>
      </c>
      <c r="AG354" s="84" t="n">
        <v>0.84</v>
      </c>
      <c r="AH354" s="84" t="n">
        <v>0</v>
      </c>
      <c r="AI354" s="84" t="n">
        <v>0</v>
      </c>
      <c r="AJ354" s="84">
        <f>SUMIFS(AH$8:AH$1039,$O$8:$O$1039,O354,$AB$8:$AB$1039,AB354,$R$8:$R$1039,R354,$AA$8:$AA$1039,"&lt;="&amp;AA354)</f>
        <v/>
      </c>
      <c r="AK354" s="84">
        <f>D36</f>
        <v/>
      </c>
      <c r="AL354" s="84">
        <f>D42</f>
        <v/>
      </c>
      <c r="AM354" s="84">
        <f>MAX(0,AJ354-AK354)</f>
        <v/>
      </c>
      <c r="AN354" s="84">
        <f>IF(AM354=0,AH354,IF(AM354&gt;=AH354,0,AH354-AM354))</f>
        <v/>
      </c>
      <c r="AO354" s="84">
        <f>IF(AM354&gt;=AH354,AI354,AI354*AM354/AH354)</f>
        <v/>
      </c>
      <c r="AP354">
        <f t="array" ref="AP354">INDEX($AU$8:$BB$25,6*(R354-1)+MATCH(AB354,$AS$8:$AS$13,0),MATCH(O354,$AU$7:$BB$7,0))</f>
        <v/>
      </c>
    </row>
    <row r="355" ht="14.25" customHeight="1">
      <c r="O355" s="43" t="inlineStr">
        <is>
          <t>Q3’26</t>
        </is>
      </c>
      <c r="P355" s="43" t="n">
        <v>3</v>
      </c>
      <c r="Q355" s="43" t="n">
        <v>4</v>
      </c>
      <c r="R355" s="43" t="n">
        <v>3</v>
      </c>
      <c r="S355" s="45" t="n">
        <v>2835.969132374078</v>
      </c>
      <c r="T355">
        <f>(S353+S354+S355)=P4</f>
        <v/>
      </c>
      <c r="X355" s="84">
        <f>MAX(S352-S355,0)</f>
        <v/>
      </c>
      <c r="Y355" s="83" t="n">
        <v>0</v>
      </c>
      <c r="AA355" s="84" t="n">
        <v>9</v>
      </c>
      <c r="AB355" s="84" t="inlineStr">
        <is>
          <t>E</t>
        </is>
      </c>
      <c r="AC355" s="84" t="inlineStr">
        <is>
          <t>E+</t>
        </is>
      </c>
      <c r="AD355" s="84" t="n">
        <v>15</v>
      </c>
      <c r="AE355" s="84" t="n">
        <v>11</v>
      </c>
      <c r="AF355" s="84" t="n">
        <v>0.76</v>
      </c>
      <c r="AG355" s="84" t="n">
        <v>0.84</v>
      </c>
      <c r="AH355" s="84" t="n">
        <v>0</v>
      </c>
      <c r="AI355" s="84" t="n">
        <v>0</v>
      </c>
      <c r="AJ355" s="84">
        <f>SUMIFS(AH$8:AH$1039,$O$8:$O$1039,O355,$AB$8:$AB$1039,AB355,$R$8:$R$1039,R355,$AA$8:$AA$1039,"&lt;="&amp;AA355)</f>
        <v/>
      </c>
      <c r="AK355" s="84">
        <f>E36</f>
        <v/>
      </c>
      <c r="AL355" s="84">
        <f>E42</f>
        <v/>
      </c>
      <c r="AM355" s="84">
        <f>MAX(0,AJ355-AK355)</f>
        <v/>
      </c>
      <c r="AN355" s="84">
        <f>IF(AM355=0,AH355,IF(AM355&gt;=AH355,0,AH355-AM355))</f>
        <v/>
      </c>
      <c r="AO355" s="84">
        <f>IF(AM355&gt;=AH355,AI355,AI355*AM355/AH355)</f>
        <v/>
      </c>
      <c r="AP355">
        <f t="array" ref="AP355">INDEX($AU$8:$BB$25,6*(R355-1)+MATCH(AB355,$AS$8:$AS$13,0),MATCH(O355,$AU$7:$BB$7,0))</f>
        <v/>
      </c>
    </row>
    <row r="356" ht="14.25" customHeight="1">
      <c r="O356" s="43" t="inlineStr">
        <is>
          <t>Q3’26</t>
        </is>
      </c>
      <c r="P356" s="43" t="n">
        <v>3</v>
      </c>
      <c r="Q356" s="43" t="n">
        <v>5</v>
      </c>
      <c r="R356" s="43" t="n">
        <v>1</v>
      </c>
      <c r="S356" s="45" t="n">
        <v>1105.394218310392</v>
      </c>
      <c r="T356">
        <f>(S356+S357+S358)=P4</f>
        <v/>
      </c>
      <c r="X356" s="84">
        <f>MAX(S353-S356,0)</f>
        <v/>
      </c>
      <c r="Y356" s="83" t="n">
        <v>0</v>
      </c>
      <c r="AA356" s="84" t="n">
        <v>6</v>
      </c>
      <c r="AB356" s="84" t="inlineStr">
        <is>
          <t>F</t>
        </is>
      </c>
      <c r="AC356" s="84" t="inlineStr">
        <is>
          <t>F+</t>
        </is>
      </c>
      <c r="AD356" s="84" t="n">
        <v>16</v>
      </c>
      <c r="AE356" s="84" t="n">
        <v>14</v>
      </c>
      <c r="AF356" s="84" t="n">
        <v>0.8</v>
      </c>
      <c r="AG356" s="84" t="n">
        <v>0.9</v>
      </c>
      <c r="AH356" s="84" t="n">
        <v>0</v>
      </c>
      <c r="AI356" s="84" t="n">
        <v>0</v>
      </c>
      <c r="AJ356" s="84">
        <f>SUMIFS(AH$8:AH$1039,$O$8:$O$1039,O356,$AB$8:$AB$1039,AB356,$R$8:$R$1039,R356,$AA$8:$AA$1039,"&lt;="&amp;AA356)</f>
        <v/>
      </c>
      <c r="AK356" s="84">
        <f>C37</f>
        <v/>
      </c>
      <c r="AL356" s="84">
        <f>C43</f>
        <v/>
      </c>
      <c r="AM356" s="84">
        <f>MAX(0,AJ356-AK356)</f>
        <v/>
      </c>
      <c r="AN356" s="84">
        <f>IF(AM356=0,AH356,IF(AM356&gt;=AH356,0,AH356-AM356))</f>
        <v/>
      </c>
      <c r="AO356" s="84">
        <f>IF(AM356&gt;=AH356,AI356,AI356*AM356/AH356)</f>
        <v/>
      </c>
      <c r="AP356">
        <f t="array" ref="AP356">INDEX($AU$8:$BB$25,6*(R356-1)+MATCH(AB356,$AS$8:$AS$13,0),MATCH(O356,$AU$7:$BB$7,0))</f>
        <v/>
      </c>
    </row>
    <row r="357" ht="14.25" customHeight="1">
      <c r="O357" s="43" t="inlineStr">
        <is>
          <t>Q3’26</t>
        </is>
      </c>
      <c r="P357" s="43" t="n">
        <v>3</v>
      </c>
      <c r="Q357" s="43" t="n">
        <v>5</v>
      </c>
      <c r="R357" s="43" t="n">
        <v>2</v>
      </c>
      <c r="S357" s="45" t="n">
        <v>3058.63664931553</v>
      </c>
      <c r="T357">
        <f>(S356+S357+S358)=P4</f>
        <v/>
      </c>
      <c r="X357" s="84">
        <f>MAX(S354-S357,0)</f>
        <v/>
      </c>
      <c r="Y357" s="83" t="n">
        <v>0</v>
      </c>
      <c r="AA357" s="84" t="n">
        <v>6</v>
      </c>
      <c r="AB357" s="84" t="inlineStr">
        <is>
          <t>F</t>
        </is>
      </c>
      <c r="AC357" s="84" t="inlineStr">
        <is>
          <t>F+</t>
        </is>
      </c>
      <c r="AD357" s="84" t="n">
        <v>16</v>
      </c>
      <c r="AE357" s="84" t="n">
        <v>14</v>
      </c>
      <c r="AF357" s="84" t="n">
        <v>0.8</v>
      </c>
      <c r="AG357" s="84" t="n">
        <v>0.9</v>
      </c>
      <c r="AH357" s="84" t="n">
        <v>0</v>
      </c>
      <c r="AI357" s="84" t="n">
        <v>0</v>
      </c>
      <c r="AJ357" s="84">
        <f>SUMIFS(AH$8:AH$1039,$O$8:$O$1039,O357,$AB$8:$AB$1039,AB357,$R$8:$R$1039,R357,$AA$8:$AA$1039,"&lt;="&amp;AA357)</f>
        <v/>
      </c>
      <c r="AK357" s="84">
        <f>D37</f>
        <v/>
      </c>
      <c r="AL357" s="84">
        <f>D43</f>
        <v/>
      </c>
      <c r="AM357" s="84">
        <f>MAX(0,AJ357-AK357)</f>
        <v/>
      </c>
      <c r="AN357" s="84">
        <f>IF(AM357=0,AH357,IF(AM357&gt;=AH357,0,AH357-AM357))</f>
        <v/>
      </c>
      <c r="AO357" s="84">
        <f>IF(AM357&gt;=AH357,AI357,AI357*AM357/AH357)</f>
        <v/>
      </c>
      <c r="AP357">
        <f t="array" ref="AP357">INDEX($AU$8:$BB$25,6*(R357-1)+MATCH(AB357,$AS$8:$AS$13,0),MATCH(O357,$AU$7:$BB$7,0))</f>
        <v/>
      </c>
    </row>
    <row r="358" ht="14.25" customHeight="1">
      <c r="O358" s="43" t="inlineStr">
        <is>
          <t>Q3’26</t>
        </is>
      </c>
      <c r="P358" s="43" t="n">
        <v>3</v>
      </c>
      <c r="Q358" s="43" t="n">
        <v>5</v>
      </c>
      <c r="R358" s="43" t="n">
        <v>3</v>
      </c>
      <c r="S358" s="45" t="n">
        <v>2835.969132374078</v>
      </c>
      <c r="T358">
        <f>(S356+S357+S358)=P4</f>
        <v/>
      </c>
      <c r="X358" s="84">
        <f>MAX(S355-S358,0)</f>
        <v/>
      </c>
      <c r="Y358" s="83" t="n">
        <v>0</v>
      </c>
      <c r="AA358" s="84" t="n">
        <v>6</v>
      </c>
      <c r="AB358" s="84" t="inlineStr">
        <is>
          <t>F</t>
        </is>
      </c>
      <c r="AC358" s="84" t="inlineStr">
        <is>
          <t>F+</t>
        </is>
      </c>
      <c r="AD358" s="84" t="n">
        <v>16</v>
      </c>
      <c r="AE358" s="84" t="n">
        <v>14</v>
      </c>
      <c r="AF358" s="84" t="n">
        <v>0.8</v>
      </c>
      <c r="AG358" s="84" t="n">
        <v>0.9</v>
      </c>
      <c r="AH358" s="84" t="n">
        <v>0</v>
      </c>
      <c r="AI358" s="84" t="n">
        <v>0</v>
      </c>
      <c r="AJ358" s="84">
        <f>SUMIFS(AH$8:AH$1039,$O$8:$O$1039,O358,$AB$8:$AB$1039,AB358,$R$8:$R$1039,R358,$AA$8:$AA$1039,"&lt;="&amp;AA358)</f>
        <v/>
      </c>
      <c r="AK358" s="84">
        <f>E37</f>
        <v/>
      </c>
      <c r="AL358" s="84">
        <f>E43</f>
        <v/>
      </c>
      <c r="AM358" s="84">
        <f>MAX(0,AJ358-AK358)</f>
        <v/>
      </c>
      <c r="AN358" s="84">
        <f>IF(AM358=0,AH358,IF(AM358&gt;=AH358,0,AH358-AM358))</f>
        <v/>
      </c>
      <c r="AO358" s="84">
        <f>IF(AM358&gt;=AH358,AI358,AI358*AM358/AH358)</f>
        <v/>
      </c>
      <c r="AP358">
        <f t="array" ref="AP358">INDEX($AU$8:$BB$25,6*(R358-1)+MATCH(AB358,$AS$8:$AS$13,0),MATCH(O358,$AU$7:$BB$7,0))</f>
        <v/>
      </c>
    </row>
    <row r="359" ht="14.25" customHeight="1">
      <c r="O359" s="43" t="inlineStr">
        <is>
          <t>Q3’26</t>
        </is>
      </c>
      <c r="P359" s="43" t="n">
        <v>3</v>
      </c>
      <c r="Q359" s="43" t="n">
        <v>6</v>
      </c>
      <c r="R359" s="43" t="n">
        <v>1</v>
      </c>
      <c r="S359" s="45" t="n">
        <v>1105.394218310392</v>
      </c>
      <c r="T359">
        <f>(S359+S360+S361)=P4</f>
        <v/>
      </c>
      <c r="X359" s="84">
        <f>MAX(S356-S359,0)</f>
        <v/>
      </c>
      <c r="Y359" s="83" t="n">
        <v>0</v>
      </c>
      <c r="AA359" s="84" t="n">
        <v>1</v>
      </c>
      <c r="AB359" s="84" t="inlineStr">
        <is>
          <t>D</t>
        </is>
      </c>
      <c r="AC359" s="84" t="inlineStr">
        <is>
          <t>D+</t>
        </is>
      </c>
      <c r="AD359" s="84" t="n">
        <v>12</v>
      </c>
      <c r="AE359" s="84" t="n">
        <v>11</v>
      </c>
      <c r="AF359" s="84" t="n">
        <v>0.8</v>
      </c>
      <c r="AG359" s="84" t="n">
        <v>0.88</v>
      </c>
      <c r="AH359" s="84" t="n">
        <v>0</v>
      </c>
      <c r="AI359" s="84" t="n">
        <v>0</v>
      </c>
      <c r="AJ359" s="84">
        <f>SUMIFS(AH$8:AH$1039,$O$8:$O$1039,O359,$AB$8:$AB$1039,AB359,$R$8:$R$1039,R359,$AA$8:$AA$1039,"&lt;="&amp;AA359)</f>
        <v/>
      </c>
      <c r="AK359" s="84">
        <f>C35</f>
        <v/>
      </c>
      <c r="AL359" s="84">
        <f>C41</f>
        <v/>
      </c>
      <c r="AM359" s="84">
        <f>MAX(0,AJ359-AK359)</f>
        <v/>
      </c>
      <c r="AN359" s="84">
        <f>IF(AM359=0,AH359,IF(AM359&gt;=AH359,0,AH359-AM359))</f>
        <v/>
      </c>
      <c r="AO359" s="84">
        <f>IF(AM359&gt;=AH359,AI359,AI359*AM359/AH359)</f>
        <v/>
      </c>
      <c r="AP359">
        <f t="array" ref="AP359">INDEX($AU$8:$BB$25,6*(R359-1)+MATCH(AB359,$AS$8:$AS$13,0),MATCH(O359,$AU$7:$BB$7,0))</f>
        <v/>
      </c>
    </row>
    <row r="360" ht="14.25" customHeight="1">
      <c r="O360" s="43" t="inlineStr">
        <is>
          <t>Q3’26</t>
        </is>
      </c>
      <c r="P360" s="43" t="n">
        <v>3</v>
      </c>
      <c r="Q360" s="43" t="n">
        <v>6</v>
      </c>
      <c r="R360" s="43" t="n">
        <v>2</v>
      </c>
      <c r="S360" s="45" t="n">
        <v>3058.63664931553</v>
      </c>
      <c r="T360">
        <f>(S359+S360+S361)=P4</f>
        <v/>
      </c>
      <c r="X360" s="84">
        <f>MAX(S357-S360,0)</f>
        <v/>
      </c>
      <c r="Y360" s="83" t="n">
        <v>0</v>
      </c>
      <c r="AA360" s="84" t="n">
        <v>1</v>
      </c>
      <c r="AB360" s="84" t="inlineStr">
        <is>
          <t>D</t>
        </is>
      </c>
      <c r="AC360" s="84" t="inlineStr">
        <is>
          <t>D+</t>
        </is>
      </c>
      <c r="AD360" s="84" t="n">
        <v>12</v>
      </c>
      <c r="AE360" s="84" t="n">
        <v>11</v>
      </c>
      <c r="AF360" s="84" t="n">
        <v>0.8</v>
      </c>
      <c r="AG360" s="84" t="n">
        <v>0.88</v>
      </c>
      <c r="AH360" s="84" t="n">
        <v>0</v>
      </c>
      <c r="AI360" s="84" t="n">
        <v>0</v>
      </c>
      <c r="AJ360" s="84">
        <f>SUMIFS(AH$8:AH$1039,$O$8:$O$1039,O360,$AB$8:$AB$1039,AB360,$R$8:$R$1039,R360,$AA$8:$AA$1039,"&lt;="&amp;AA360)</f>
        <v/>
      </c>
      <c r="AK360" s="84">
        <f>D35</f>
        <v/>
      </c>
      <c r="AL360" s="84">
        <f>D41</f>
        <v/>
      </c>
      <c r="AM360" s="84">
        <f>MAX(0,AJ360-AK360)</f>
        <v/>
      </c>
      <c r="AN360" s="84">
        <f>IF(AM360=0,AH360,IF(AM360&gt;=AH360,0,AH360-AM360))</f>
        <v/>
      </c>
      <c r="AO360" s="84">
        <f>IF(AM360&gt;=AH360,AI360,AI360*AM360/AH360)</f>
        <v/>
      </c>
      <c r="AP360">
        <f t="array" ref="AP360">INDEX($AU$8:$BB$25,6*(R360-1)+MATCH(AB360,$AS$8:$AS$13,0),MATCH(O360,$AU$7:$BB$7,0))</f>
        <v/>
      </c>
    </row>
    <row r="361" ht="14.25" customHeight="1">
      <c r="O361" s="43" t="inlineStr">
        <is>
          <t>Q3’26</t>
        </is>
      </c>
      <c r="P361" s="43" t="n">
        <v>3</v>
      </c>
      <c r="Q361" s="43" t="n">
        <v>6</v>
      </c>
      <c r="R361" s="43" t="n">
        <v>3</v>
      </c>
      <c r="S361" s="45" t="n">
        <v>2835.969132374078</v>
      </c>
      <c r="T361">
        <f>(S359+S360+S361)=P4</f>
        <v/>
      </c>
      <c r="X361" s="84">
        <f>MAX(S358-S361,0)</f>
        <v/>
      </c>
      <c r="Y361" s="83" t="n">
        <v>0</v>
      </c>
      <c r="AA361" s="84" t="n">
        <v>1</v>
      </c>
      <c r="AB361" s="84" t="inlineStr">
        <is>
          <t>D</t>
        </is>
      </c>
      <c r="AC361" s="84" t="inlineStr">
        <is>
          <t>D+</t>
        </is>
      </c>
      <c r="AD361" s="84" t="n">
        <v>12</v>
      </c>
      <c r="AE361" s="84" t="n">
        <v>11</v>
      </c>
      <c r="AF361" s="84" t="n">
        <v>0.8</v>
      </c>
      <c r="AG361" s="84" t="n">
        <v>0.88</v>
      </c>
      <c r="AH361" s="84" t="n">
        <v>0</v>
      </c>
      <c r="AI361" s="84" t="n">
        <v>0</v>
      </c>
      <c r="AJ361" s="84">
        <f>SUMIFS(AH$8:AH$1039,$O$8:$O$1039,O361,$AB$8:$AB$1039,AB361,$R$8:$R$1039,R361,$AA$8:$AA$1039,"&lt;="&amp;AA361)</f>
        <v/>
      </c>
      <c r="AK361" s="84">
        <f>E35</f>
        <v/>
      </c>
      <c r="AL361" s="84">
        <f>E41</f>
        <v/>
      </c>
      <c r="AM361" s="84">
        <f>MAX(0,AJ361-AK361)</f>
        <v/>
      </c>
      <c r="AN361" s="84">
        <f>IF(AM361=0,AH361,IF(AM361&gt;=AH361,0,AH361-AM361))</f>
        <v/>
      </c>
      <c r="AO361" s="84">
        <f>IF(AM361&gt;=AH361,AI361,AI361*AM361/AH361)</f>
        <v/>
      </c>
      <c r="AP361">
        <f t="array" ref="AP361">INDEX($AU$8:$BB$25,6*(R361-1)+MATCH(AB361,$AS$8:$AS$13,0),MATCH(O361,$AU$7:$BB$7,0))</f>
        <v/>
      </c>
    </row>
    <row r="362" ht="14.25" customHeight="1">
      <c r="O362" s="43" t="inlineStr">
        <is>
          <t>Q3’26</t>
        </is>
      </c>
      <c r="P362" s="43" t="n">
        <v>3</v>
      </c>
      <c r="Q362" s="43" t="n">
        <v>7</v>
      </c>
      <c r="R362" s="43" t="n">
        <v>1</v>
      </c>
      <c r="S362" s="45" t="n">
        <v>1105.394218310392</v>
      </c>
      <c r="T362">
        <f>(S362+S363+S364)=P4</f>
        <v/>
      </c>
      <c r="X362" s="84">
        <f>MAX(S359-S362,0)</f>
        <v/>
      </c>
      <c r="Y362" s="83" t="n">
        <v>0</v>
      </c>
      <c r="AA362" s="84" t="n">
        <v>3</v>
      </c>
      <c r="AB362" s="84" t="inlineStr">
        <is>
          <t>C</t>
        </is>
      </c>
      <c r="AC362" s="84" t="inlineStr">
        <is>
          <t>C+</t>
        </is>
      </c>
      <c r="AD362" s="84" t="n">
        <v>24</v>
      </c>
      <c r="AE362" s="84" t="n">
        <v>21</v>
      </c>
      <c r="AF362" s="84" t="n">
        <v>0.8</v>
      </c>
      <c r="AG362" s="84" t="n">
        <v>0.86</v>
      </c>
      <c r="AH362" s="84" t="n">
        <v>0</v>
      </c>
      <c r="AI362" s="84" t="n">
        <v>0</v>
      </c>
      <c r="AJ362" s="84">
        <f>SUMIFS(AH$8:AH$1039,$O$8:$O$1039,O362,$AB$8:$AB$1039,AB362,$R$8:$R$1039,R362,$AA$8:$AA$1039,"&lt;="&amp;AA362)</f>
        <v/>
      </c>
      <c r="AK362" s="84">
        <f>C34</f>
        <v/>
      </c>
      <c r="AL362" s="84">
        <f>C40</f>
        <v/>
      </c>
      <c r="AM362" s="84">
        <f>MAX(0,AJ362-AK362)</f>
        <v/>
      </c>
      <c r="AN362" s="84">
        <f>IF(AM362=0,AH362,IF(AM362&gt;=AH362,0,AH362-AM362))</f>
        <v/>
      </c>
      <c r="AO362" s="84">
        <f>IF(AM362&gt;=AH362,AI362,AI362*AM362/AH362)</f>
        <v/>
      </c>
      <c r="AP362">
        <f t="array" ref="AP362">INDEX($AU$8:$BB$25,6*(R362-1)+MATCH(AB362,$AS$8:$AS$13,0),MATCH(O362,$AU$7:$BB$7,0))</f>
        <v/>
      </c>
    </row>
    <row r="363" ht="14.25" customHeight="1">
      <c r="O363" s="43" t="inlineStr">
        <is>
          <t>Q3’26</t>
        </is>
      </c>
      <c r="P363" s="43" t="n">
        <v>3</v>
      </c>
      <c r="Q363" s="43" t="n">
        <v>7</v>
      </c>
      <c r="R363" s="43" t="n">
        <v>2</v>
      </c>
      <c r="S363" s="45" t="n">
        <v>3058.63664931553</v>
      </c>
      <c r="T363">
        <f>(S362+S363+S364)=P4</f>
        <v/>
      </c>
      <c r="X363" s="84">
        <f>MAX(S360-S363,0)</f>
        <v/>
      </c>
      <c r="Y363" s="83" t="n">
        <v>0</v>
      </c>
      <c r="AA363" s="84" t="n">
        <v>3</v>
      </c>
      <c r="AB363" s="84" t="inlineStr">
        <is>
          <t>C</t>
        </is>
      </c>
      <c r="AC363" s="84" t="inlineStr">
        <is>
          <t>C+</t>
        </is>
      </c>
      <c r="AD363" s="84" t="n">
        <v>24</v>
      </c>
      <c r="AE363" s="84" t="n">
        <v>21</v>
      </c>
      <c r="AF363" s="84" t="n">
        <v>0.8</v>
      </c>
      <c r="AG363" s="84" t="n">
        <v>0.86</v>
      </c>
      <c r="AH363" s="84" t="n">
        <v>0</v>
      </c>
      <c r="AI363" s="84" t="n">
        <v>0</v>
      </c>
      <c r="AJ363" s="84">
        <f>SUMIFS(AH$8:AH$1039,$O$8:$O$1039,O363,$AB$8:$AB$1039,AB363,$R$8:$R$1039,R363,$AA$8:$AA$1039,"&lt;="&amp;AA363)</f>
        <v/>
      </c>
      <c r="AK363" s="84">
        <f>D34</f>
        <v/>
      </c>
      <c r="AL363" s="84">
        <f>D40</f>
        <v/>
      </c>
      <c r="AM363" s="84">
        <f>MAX(0,AJ363-AK363)</f>
        <v/>
      </c>
      <c r="AN363" s="84">
        <f>IF(AM363=0,AH363,IF(AM363&gt;=AH363,0,AH363-AM363))</f>
        <v/>
      </c>
      <c r="AO363" s="84">
        <f>IF(AM363&gt;=AH363,AI363,AI363*AM363/AH363)</f>
        <v/>
      </c>
      <c r="AP363">
        <f t="array" ref="AP363">INDEX($AU$8:$BB$25,6*(R363-1)+MATCH(AB363,$AS$8:$AS$13,0),MATCH(O363,$AU$7:$BB$7,0))</f>
        <v/>
      </c>
    </row>
    <row r="364" ht="14.25" customHeight="1">
      <c r="O364" s="43" t="inlineStr">
        <is>
          <t>Q3’26</t>
        </is>
      </c>
      <c r="P364" s="43" t="n">
        <v>3</v>
      </c>
      <c r="Q364" s="43" t="n">
        <v>7</v>
      </c>
      <c r="R364" s="43" t="n">
        <v>3</v>
      </c>
      <c r="S364" s="45" t="n">
        <v>2835.969132374078</v>
      </c>
      <c r="T364">
        <f>(S362+S363+S364)=P4</f>
        <v/>
      </c>
      <c r="X364" s="84">
        <f>MAX(S361-S364,0)</f>
        <v/>
      </c>
      <c r="Y364" s="83" t="n">
        <v>0</v>
      </c>
      <c r="AA364" s="84" t="n">
        <v>3</v>
      </c>
      <c r="AB364" s="84" t="inlineStr">
        <is>
          <t>C</t>
        </is>
      </c>
      <c r="AC364" s="84" t="inlineStr">
        <is>
          <t>C+</t>
        </is>
      </c>
      <c r="AD364" s="84" t="n">
        <v>24</v>
      </c>
      <c r="AE364" s="84" t="n">
        <v>21</v>
      </c>
      <c r="AF364" s="84" t="n">
        <v>0.8</v>
      </c>
      <c r="AG364" s="84" t="n">
        <v>0.86</v>
      </c>
      <c r="AH364" s="84" t="n">
        <v>0</v>
      </c>
      <c r="AI364" s="84" t="n">
        <v>0</v>
      </c>
      <c r="AJ364" s="84">
        <f>SUMIFS(AH$8:AH$1039,$O$8:$O$1039,O364,$AB$8:$AB$1039,AB364,$R$8:$R$1039,R364,$AA$8:$AA$1039,"&lt;="&amp;AA364)</f>
        <v/>
      </c>
      <c r="AK364" s="84">
        <f>E34</f>
        <v/>
      </c>
      <c r="AL364" s="84">
        <f>E40</f>
        <v/>
      </c>
      <c r="AM364" s="84">
        <f>MAX(0,AJ364-AK364)</f>
        <v/>
      </c>
      <c r="AN364" s="84">
        <f>IF(AM364=0,AH364,IF(AM364&gt;=AH364,0,AH364-AM364))</f>
        <v/>
      </c>
      <c r="AO364" s="84">
        <f>IF(AM364&gt;=AH364,AI364,AI364*AM364/AH364)</f>
        <v/>
      </c>
      <c r="AP364">
        <f t="array" ref="AP364">INDEX($AU$8:$BB$25,6*(R364-1)+MATCH(AB364,$AS$8:$AS$13,0),MATCH(O364,$AU$7:$BB$7,0))</f>
        <v/>
      </c>
    </row>
    <row r="365" ht="14.25" customHeight="1">
      <c r="O365" s="43" t="inlineStr">
        <is>
          <t>Q3’26</t>
        </is>
      </c>
      <c r="P365" s="43" t="n">
        <v>3</v>
      </c>
      <c r="Q365" s="43" t="n">
        <v>8</v>
      </c>
      <c r="R365" s="43" t="n">
        <v>1</v>
      </c>
      <c r="S365" s="45" t="n">
        <v>1105.394218310392</v>
      </c>
      <c r="T365">
        <f>(S365+S366+S367)=P4</f>
        <v/>
      </c>
      <c r="X365" s="84">
        <f>MAX(S362-S365,0)</f>
        <v/>
      </c>
      <c r="Y365" s="83" t="n">
        <v>0</v>
      </c>
      <c r="AA365" s="84" t="n">
        <v>5</v>
      </c>
      <c r="AB365" s="84" t="inlineStr">
        <is>
          <t>C</t>
        </is>
      </c>
      <c r="AC365" s="84" t="inlineStr">
        <is>
          <t>C+</t>
        </is>
      </c>
      <c r="AD365" s="84" t="n">
        <v>19</v>
      </c>
      <c r="AE365" s="84" t="n">
        <v>13</v>
      </c>
      <c r="AF365" s="84" t="n">
        <v>0.8</v>
      </c>
      <c r="AG365" s="84" t="n">
        <v>0.86</v>
      </c>
      <c r="AH365" s="84" t="n">
        <v>0</v>
      </c>
      <c r="AI365" s="84" t="n">
        <v>0</v>
      </c>
      <c r="AJ365" s="84">
        <f>SUMIFS(AH$8:AH$1039,$O$8:$O$1039,O365,$AB$8:$AB$1039,AB365,$R$8:$R$1039,R365,$AA$8:$AA$1039,"&lt;="&amp;AA365)</f>
        <v/>
      </c>
      <c r="AK365" s="84">
        <f>C34</f>
        <v/>
      </c>
      <c r="AL365" s="84">
        <f>C40</f>
        <v/>
      </c>
      <c r="AM365" s="84">
        <f>MAX(0,AJ365-AK365)</f>
        <v/>
      </c>
      <c r="AN365" s="84">
        <f>IF(AM365=0,AH365,IF(AM365&gt;=AH365,0,AH365-AM365))</f>
        <v/>
      </c>
      <c r="AO365" s="84">
        <f>IF(AM365&gt;=AH365,AI365,AI365*AM365/AH365)</f>
        <v/>
      </c>
      <c r="AP365">
        <f t="array" ref="AP365">INDEX($AU$8:$BB$25,6*(R365-1)+MATCH(AB365,$AS$8:$AS$13,0),MATCH(O365,$AU$7:$BB$7,0))</f>
        <v/>
      </c>
    </row>
    <row r="366" ht="14.25" customHeight="1">
      <c r="O366" s="43" t="inlineStr">
        <is>
          <t>Q3’26</t>
        </is>
      </c>
      <c r="P366" s="43" t="n">
        <v>3</v>
      </c>
      <c r="Q366" s="43" t="n">
        <v>8</v>
      </c>
      <c r="R366" s="43" t="n">
        <v>2</v>
      </c>
      <c r="S366" s="45" t="n">
        <v>3058.63664931553</v>
      </c>
      <c r="T366">
        <f>(S365+S366+S367)=P4</f>
        <v/>
      </c>
      <c r="X366" s="84">
        <f>MAX(S363-S366,0)</f>
        <v/>
      </c>
      <c r="Y366" s="83" t="n">
        <v>0</v>
      </c>
      <c r="AA366" s="84" t="n">
        <v>5</v>
      </c>
      <c r="AB366" s="84" t="inlineStr">
        <is>
          <t>C</t>
        </is>
      </c>
      <c r="AC366" s="84" t="inlineStr">
        <is>
          <t>C+</t>
        </is>
      </c>
      <c r="AD366" s="84" t="n">
        <v>19</v>
      </c>
      <c r="AE366" s="84" t="n">
        <v>13</v>
      </c>
      <c r="AF366" s="84" t="n">
        <v>0.8</v>
      </c>
      <c r="AG366" s="84" t="n">
        <v>0.86</v>
      </c>
      <c r="AH366" s="84" t="n">
        <v>0</v>
      </c>
      <c r="AI366" s="84" t="n">
        <v>0</v>
      </c>
      <c r="AJ366" s="84">
        <f>SUMIFS(AH$8:AH$1039,$O$8:$O$1039,O366,$AB$8:$AB$1039,AB366,$R$8:$R$1039,R366,$AA$8:$AA$1039,"&lt;="&amp;AA366)</f>
        <v/>
      </c>
      <c r="AK366" s="84">
        <f>D34</f>
        <v/>
      </c>
      <c r="AL366" s="84">
        <f>D40</f>
        <v/>
      </c>
      <c r="AM366" s="84">
        <f>MAX(0,AJ366-AK366)</f>
        <v/>
      </c>
      <c r="AN366" s="84">
        <f>IF(AM366=0,AH366,IF(AM366&gt;=AH366,0,AH366-AM366))</f>
        <v/>
      </c>
      <c r="AO366" s="84">
        <f>IF(AM366&gt;=AH366,AI366,AI366*AM366/AH366)</f>
        <v/>
      </c>
      <c r="AP366">
        <f t="array" ref="AP366">INDEX($AU$8:$BB$25,6*(R366-1)+MATCH(AB366,$AS$8:$AS$13,0),MATCH(O366,$AU$7:$BB$7,0))</f>
        <v/>
      </c>
    </row>
    <row r="367" ht="14.25" customHeight="1">
      <c r="O367" s="43" t="inlineStr">
        <is>
          <t>Q3’26</t>
        </is>
      </c>
      <c r="P367" s="43" t="n">
        <v>3</v>
      </c>
      <c r="Q367" s="43" t="n">
        <v>8</v>
      </c>
      <c r="R367" s="43" t="n">
        <v>3</v>
      </c>
      <c r="S367" s="45" t="n">
        <v>2835.969132374078</v>
      </c>
      <c r="T367">
        <f>(S365+S366+S367)=P4</f>
        <v/>
      </c>
      <c r="X367" s="84">
        <f>MAX(S364-S367,0)</f>
        <v/>
      </c>
      <c r="Y367" s="83" t="n">
        <v>0</v>
      </c>
      <c r="AA367" s="84" t="n">
        <v>5</v>
      </c>
      <c r="AB367" s="84" t="inlineStr">
        <is>
          <t>C</t>
        </is>
      </c>
      <c r="AC367" s="84" t="inlineStr">
        <is>
          <t>C+</t>
        </is>
      </c>
      <c r="AD367" s="84" t="n">
        <v>19</v>
      </c>
      <c r="AE367" s="84" t="n">
        <v>13</v>
      </c>
      <c r="AF367" s="84" t="n">
        <v>0.8</v>
      </c>
      <c r="AG367" s="84" t="n">
        <v>0.86</v>
      </c>
      <c r="AH367" s="84" t="n">
        <v>0</v>
      </c>
      <c r="AI367" s="84" t="n">
        <v>0</v>
      </c>
      <c r="AJ367" s="84">
        <f>SUMIFS(AH$8:AH$1039,$O$8:$O$1039,O367,$AB$8:$AB$1039,AB367,$R$8:$R$1039,R367,$AA$8:$AA$1039,"&lt;="&amp;AA367)</f>
        <v/>
      </c>
      <c r="AK367" s="84">
        <f>E34</f>
        <v/>
      </c>
      <c r="AL367" s="84">
        <f>E40</f>
        <v/>
      </c>
      <c r="AM367" s="84">
        <f>MAX(0,AJ367-AK367)</f>
        <v/>
      </c>
      <c r="AN367" s="84">
        <f>IF(AM367=0,AH367,IF(AM367&gt;=AH367,0,AH367-AM367))</f>
        <v/>
      </c>
      <c r="AO367" s="84">
        <f>IF(AM367&gt;=AH367,AI367,AI367*AM367/AH367)</f>
        <v/>
      </c>
      <c r="AP367">
        <f t="array" ref="AP367">INDEX($AU$8:$BB$25,6*(R367-1)+MATCH(AB367,$AS$8:$AS$13,0),MATCH(O367,$AU$7:$BB$7,0))</f>
        <v/>
      </c>
    </row>
    <row r="368" ht="14.25" customHeight="1">
      <c r="O368" s="43" t="inlineStr">
        <is>
          <t>Q3’26</t>
        </is>
      </c>
      <c r="P368" s="43" t="n">
        <v>3</v>
      </c>
      <c r="Q368" s="43" t="n">
        <v>9</v>
      </c>
      <c r="R368" s="43" t="n">
        <v>1</v>
      </c>
      <c r="S368" s="45" t="n">
        <v>63.620802864586</v>
      </c>
      <c r="T368">
        <f>(S368+S369+S370)=P4</f>
        <v/>
      </c>
      <c r="X368" s="84">
        <f>MAX(S365-S368,0)</f>
        <v/>
      </c>
      <c r="Y368" s="83" t="n">
        <v>0</v>
      </c>
      <c r="AA368" s="84" t="n">
        <v>3</v>
      </c>
      <c r="AB368" s="84" t="inlineStr">
        <is>
          <t>D</t>
        </is>
      </c>
      <c r="AC368" s="84" t="inlineStr">
        <is>
          <t>D+</t>
        </is>
      </c>
      <c r="AD368" s="84" t="n">
        <v>15</v>
      </c>
      <c r="AE368" s="84" t="n">
        <v>13</v>
      </c>
      <c r="AF368" s="84" t="n">
        <v>0.8</v>
      </c>
      <c r="AG368" s="84" t="n">
        <v>0.88</v>
      </c>
      <c r="AH368" s="84" t="n">
        <v>0</v>
      </c>
      <c r="AI368" s="84" t="n">
        <v>0</v>
      </c>
      <c r="AJ368" s="84">
        <f>SUMIFS(AH$8:AH$1039,$O$8:$O$1039,O368,$AB$8:$AB$1039,AB368,$R$8:$R$1039,R368,$AA$8:$AA$1039,"&lt;="&amp;AA368)</f>
        <v/>
      </c>
      <c r="AK368" s="84">
        <f>C35</f>
        <v/>
      </c>
      <c r="AL368" s="84">
        <f>C41</f>
        <v/>
      </c>
      <c r="AM368" s="84">
        <f>MAX(0,AJ368-AK368)</f>
        <v/>
      </c>
      <c r="AN368" s="84">
        <f>IF(AM368=0,AH368,IF(AM368&gt;=AH368,0,AH368-AM368))</f>
        <v/>
      </c>
      <c r="AO368" s="84">
        <f>IF(AM368&gt;=AH368,AI368,AI368*AM368/AH368)</f>
        <v/>
      </c>
      <c r="AP368">
        <f t="array" ref="AP368">INDEX($AU$8:$BB$25,6*(R368-1)+MATCH(AB368,$AS$8:$AS$13,0),MATCH(O368,$AU$7:$BB$7,0))</f>
        <v/>
      </c>
    </row>
    <row r="369" ht="14.25" customHeight="1">
      <c r="O369" s="43" t="inlineStr">
        <is>
          <t>Q3’26</t>
        </is>
      </c>
      <c r="P369" s="43" t="n">
        <v>3</v>
      </c>
      <c r="Q369" s="43" t="n">
        <v>9</v>
      </c>
      <c r="R369" s="43" t="n">
        <v>2</v>
      </c>
      <c r="S369" s="45" t="n">
        <v>2781.574868934236</v>
      </c>
      <c r="T369">
        <f>(S368+S369+S370)=P4</f>
        <v/>
      </c>
      <c r="X369" s="84">
        <f>MAX(S366-S369,0)</f>
        <v/>
      </c>
      <c r="Y369" s="83" t="n">
        <v>0</v>
      </c>
      <c r="AA369" s="84" t="n">
        <v>3</v>
      </c>
      <c r="AB369" s="84" t="inlineStr">
        <is>
          <t>D</t>
        </is>
      </c>
      <c r="AC369" s="84" t="inlineStr">
        <is>
          <t>D+</t>
        </is>
      </c>
      <c r="AD369" s="84" t="n">
        <v>15</v>
      </c>
      <c r="AE369" s="84" t="n">
        <v>13</v>
      </c>
      <c r="AF369" s="84" t="n">
        <v>0.8</v>
      </c>
      <c r="AG369" s="84" t="n">
        <v>0.88</v>
      </c>
      <c r="AH369" s="84" t="n">
        <v>0</v>
      </c>
      <c r="AI369" s="84" t="n">
        <v>0</v>
      </c>
      <c r="AJ369" s="84">
        <f>SUMIFS(AH$8:AH$1039,$O$8:$O$1039,O369,$AB$8:$AB$1039,AB369,$R$8:$R$1039,R369,$AA$8:$AA$1039,"&lt;="&amp;AA369)</f>
        <v/>
      </c>
      <c r="AK369" s="84">
        <f>D35</f>
        <v/>
      </c>
      <c r="AL369" s="84">
        <f>D41</f>
        <v/>
      </c>
      <c r="AM369" s="84">
        <f>MAX(0,AJ369-AK369)</f>
        <v/>
      </c>
      <c r="AN369" s="84">
        <f>IF(AM369=0,AH369,IF(AM369&gt;=AH369,0,AH369-AM369))</f>
        <v/>
      </c>
      <c r="AO369" s="84">
        <f>IF(AM369&gt;=AH369,AI369,AI369*AM369/AH369)</f>
        <v/>
      </c>
      <c r="AP369">
        <f t="array" ref="AP369">INDEX($AU$8:$BB$25,6*(R369-1)+MATCH(AB369,$AS$8:$AS$13,0),MATCH(O369,$AU$7:$BB$7,0))</f>
        <v/>
      </c>
    </row>
    <row r="370" ht="14.25" customHeight="1">
      <c r="O370" s="43" t="inlineStr">
        <is>
          <t>Q3’26</t>
        </is>
      </c>
      <c r="P370" s="43" t="n">
        <v>3</v>
      </c>
      <c r="Q370" s="43" t="n">
        <v>9</v>
      </c>
      <c r="R370" s="43" t="n">
        <v>3</v>
      </c>
      <c r="S370" s="45" t="n">
        <v>4154.804328201178</v>
      </c>
      <c r="T370">
        <f>(S368+S369+S370)=P4</f>
        <v/>
      </c>
      <c r="X370" s="84">
        <f>MAX(S367-S370,0)</f>
        <v/>
      </c>
      <c r="Y370" s="83" t="n">
        <v>0</v>
      </c>
      <c r="AA370" s="84" t="n">
        <v>3</v>
      </c>
      <c r="AB370" s="84" t="inlineStr">
        <is>
          <t>D</t>
        </is>
      </c>
      <c r="AC370" s="84" t="inlineStr">
        <is>
          <t>D+</t>
        </is>
      </c>
      <c r="AD370" s="84" t="n">
        <v>15</v>
      </c>
      <c r="AE370" s="84" t="n">
        <v>13</v>
      </c>
      <c r="AF370" s="84" t="n">
        <v>0.8</v>
      </c>
      <c r="AG370" s="84" t="n">
        <v>0.88</v>
      </c>
      <c r="AH370" s="84" t="n">
        <v>0</v>
      </c>
      <c r="AI370" s="84" t="n">
        <v>0</v>
      </c>
      <c r="AJ370" s="84">
        <f>SUMIFS(AH$8:AH$1039,$O$8:$O$1039,O370,$AB$8:$AB$1039,AB370,$R$8:$R$1039,R370,$AA$8:$AA$1039,"&lt;="&amp;AA370)</f>
        <v/>
      </c>
      <c r="AK370" s="84">
        <f>E35</f>
        <v/>
      </c>
      <c r="AL370" s="84">
        <f>E41</f>
        <v/>
      </c>
      <c r="AM370" s="84">
        <f>MAX(0,AJ370-AK370)</f>
        <v/>
      </c>
      <c r="AN370" s="84">
        <f>IF(AM370=0,AH370,IF(AM370&gt;=AH370,0,AH370-AM370))</f>
        <v/>
      </c>
      <c r="AO370" s="84">
        <f>IF(AM370&gt;=AH370,AI370,AI370*AM370/AH370)</f>
        <v/>
      </c>
      <c r="AP370">
        <f t="array" ref="AP370">INDEX($AU$8:$BB$25,6*(R370-1)+MATCH(AB370,$AS$8:$AS$13,0),MATCH(O370,$AU$7:$BB$7,0))</f>
        <v/>
      </c>
    </row>
    <row r="371" ht="14.25" customHeight="1">
      <c r="O371" s="43" t="inlineStr">
        <is>
          <t>Q3’26</t>
        </is>
      </c>
      <c r="P371" s="43" t="n">
        <v>3</v>
      </c>
      <c r="Q371" s="43" t="n">
        <v>10</v>
      </c>
      <c r="R371" s="43" t="n">
        <v>1</v>
      </c>
      <c r="S371" s="45" t="n">
        <v>63.620802864586</v>
      </c>
      <c r="T371">
        <f>(S371+S372+S373)=P4</f>
        <v/>
      </c>
      <c r="X371" s="84">
        <f>MAX(S368-S371,0)</f>
        <v/>
      </c>
      <c r="Y371" s="83" t="n">
        <v>0</v>
      </c>
      <c r="AA371" s="84" t="n">
        <v>5</v>
      </c>
      <c r="AB371" s="84" t="inlineStr">
        <is>
          <t>D</t>
        </is>
      </c>
      <c r="AC371" s="84" t="inlineStr">
        <is>
          <t>D+</t>
        </is>
      </c>
      <c r="AD371" s="84" t="n">
        <v>24</v>
      </c>
      <c r="AE371" s="84" t="n">
        <v>20</v>
      </c>
      <c r="AF371" s="84" t="n">
        <v>0.8</v>
      </c>
      <c r="AG371" s="84" t="n">
        <v>0.88</v>
      </c>
      <c r="AH371" s="84" t="n">
        <v>0</v>
      </c>
      <c r="AI371" s="84" t="n">
        <v>0</v>
      </c>
      <c r="AJ371" s="84">
        <f>SUMIFS(AH$8:AH$1039,$O$8:$O$1039,O371,$AB$8:$AB$1039,AB371,$R$8:$R$1039,R371,$AA$8:$AA$1039,"&lt;="&amp;AA371)</f>
        <v/>
      </c>
      <c r="AK371" s="84">
        <f>C35</f>
        <v/>
      </c>
      <c r="AL371" s="84">
        <f>C41</f>
        <v/>
      </c>
      <c r="AM371" s="84">
        <f>MAX(0,AJ371-AK371)</f>
        <v/>
      </c>
      <c r="AN371" s="84">
        <f>IF(AM371=0,AH371,IF(AM371&gt;=AH371,0,AH371-AM371))</f>
        <v/>
      </c>
      <c r="AO371" s="84">
        <f>IF(AM371&gt;=AH371,AI371,AI371*AM371/AH371)</f>
        <v/>
      </c>
      <c r="AP371">
        <f t="array" ref="AP371">INDEX($AU$8:$BB$25,6*(R371-1)+MATCH(AB371,$AS$8:$AS$13,0),MATCH(O371,$AU$7:$BB$7,0))</f>
        <v/>
      </c>
    </row>
    <row r="372" ht="14.25" customHeight="1">
      <c r="O372" s="43" t="inlineStr">
        <is>
          <t>Q3’26</t>
        </is>
      </c>
      <c r="P372" s="43" t="n">
        <v>3</v>
      </c>
      <c r="Q372" s="43" t="n">
        <v>10</v>
      </c>
      <c r="R372" s="43" t="n">
        <v>2</v>
      </c>
      <c r="S372" s="45" t="n">
        <v>2781.574868934236</v>
      </c>
      <c r="T372">
        <f>(S371+S372+S373)=P4</f>
        <v/>
      </c>
      <c r="X372" s="84">
        <f>MAX(S369-S372,0)</f>
        <v/>
      </c>
      <c r="Y372" s="83" t="n">
        <v>0</v>
      </c>
      <c r="AA372" s="84" t="n">
        <v>5</v>
      </c>
      <c r="AB372" s="84" t="inlineStr">
        <is>
          <t>D</t>
        </is>
      </c>
      <c r="AC372" s="84" t="inlineStr">
        <is>
          <t>D+</t>
        </is>
      </c>
      <c r="AD372" s="84" t="n">
        <v>24</v>
      </c>
      <c r="AE372" s="84" t="n">
        <v>20</v>
      </c>
      <c r="AF372" s="84" t="n">
        <v>0.8</v>
      </c>
      <c r="AG372" s="84" t="n">
        <v>0.88</v>
      </c>
      <c r="AH372" s="84" t="n">
        <v>0</v>
      </c>
      <c r="AI372" s="84" t="n">
        <v>0</v>
      </c>
      <c r="AJ372" s="84">
        <f>SUMIFS(AH$8:AH$1039,$O$8:$O$1039,O372,$AB$8:$AB$1039,AB372,$R$8:$R$1039,R372,$AA$8:$AA$1039,"&lt;="&amp;AA372)</f>
        <v/>
      </c>
      <c r="AK372" s="84">
        <f>D35</f>
        <v/>
      </c>
      <c r="AL372" s="84">
        <f>D41</f>
        <v/>
      </c>
      <c r="AM372" s="84">
        <f>MAX(0,AJ372-AK372)</f>
        <v/>
      </c>
      <c r="AN372" s="84">
        <f>IF(AM372=0,AH372,IF(AM372&gt;=AH372,0,AH372-AM372))</f>
        <v/>
      </c>
      <c r="AO372" s="84">
        <f>IF(AM372&gt;=AH372,AI372,AI372*AM372/AH372)</f>
        <v/>
      </c>
      <c r="AP372">
        <f t="array" ref="AP372">INDEX($AU$8:$BB$25,6*(R372-1)+MATCH(AB372,$AS$8:$AS$13,0),MATCH(O372,$AU$7:$BB$7,0))</f>
        <v/>
      </c>
    </row>
    <row r="373" ht="14.25" customHeight="1">
      <c r="O373" s="43" t="inlineStr">
        <is>
          <t>Q3’26</t>
        </is>
      </c>
      <c r="P373" s="43" t="n">
        <v>3</v>
      </c>
      <c r="Q373" s="43" t="n">
        <v>10</v>
      </c>
      <c r="R373" s="43" t="n">
        <v>3</v>
      </c>
      <c r="S373" s="45" t="n">
        <v>4154.804328201178</v>
      </c>
      <c r="T373">
        <f>(S371+S372+S373)=P4</f>
        <v/>
      </c>
      <c r="X373" s="84">
        <f>MAX(S370-S373,0)</f>
        <v/>
      </c>
      <c r="Y373" s="83" t="n">
        <v>0</v>
      </c>
      <c r="AA373" s="84" t="n">
        <v>5</v>
      </c>
      <c r="AB373" s="84" t="inlineStr">
        <is>
          <t>D</t>
        </is>
      </c>
      <c r="AC373" s="84" t="inlineStr">
        <is>
          <t>D+</t>
        </is>
      </c>
      <c r="AD373" s="84" t="n">
        <v>24</v>
      </c>
      <c r="AE373" s="84" t="n">
        <v>20</v>
      </c>
      <c r="AF373" s="84" t="n">
        <v>0.8</v>
      </c>
      <c r="AG373" s="84" t="n">
        <v>0.88</v>
      </c>
      <c r="AH373" s="84" t="n">
        <v>0</v>
      </c>
      <c r="AI373" s="84" t="n">
        <v>0</v>
      </c>
      <c r="AJ373" s="84">
        <f>SUMIFS(AH$8:AH$1039,$O$8:$O$1039,O373,$AB$8:$AB$1039,AB373,$R$8:$R$1039,R373,$AA$8:$AA$1039,"&lt;="&amp;AA373)</f>
        <v/>
      </c>
      <c r="AK373" s="84">
        <f>E35</f>
        <v/>
      </c>
      <c r="AL373" s="84">
        <f>E41</f>
        <v/>
      </c>
      <c r="AM373" s="84">
        <f>MAX(0,AJ373-AK373)</f>
        <v/>
      </c>
      <c r="AN373" s="84">
        <f>IF(AM373=0,AH373,IF(AM373&gt;=AH373,0,AH373-AM373))</f>
        <v/>
      </c>
      <c r="AO373" s="84">
        <f>IF(AM373&gt;=AH373,AI373,AI373*AM373/AH373)</f>
        <v/>
      </c>
      <c r="AP373">
        <f t="array" ref="AP373">INDEX($AU$8:$BB$25,6*(R373-1)+MATCH(AB373,$AS$8:$AS$13,0),MATCH(O373,$AU$7:$BB$7,0))</f>
        <v/>
      </c>
    </row>
    <row r="374" ht="14.25" customHeight="1">
      <c r="O374" s="43" t="inlineStr">
        <is>
          <t>Q3’26</t>
        </is>
      </c>
      <c r="P374" s="43" t="n">
        <v>3</v>
      </c>
      <c r="Q374" s="43" t="n">
        <v>11</v>
      </c>
      <c r="R374" s="43" t="n">
        <v>1</v>
      </c>
      <c r="S374" s="45" t="n">
        <v>63.620802864586</v>
      </c>
      <c r="T374">
        <f>(S374+S375+S376)=P4</f>
        <v/>
      </c>
      <c r="X374" s="84">
        <f>MAX(S371-S374,0)</f>
        <v/>
      </c>
      <c r="Y374" s="83" t="n">
        <v>0</v>
      </c>
      <c r="AA374" s="84" t="n">
        <v>3</v>
      </c>
      <c r="AB374" s="84" t="inlineStr">
        <is>
          <t>E</t>
        </is>
      </c>
      <c r="AC374" s="84" t="inlineStr">
        <is>
          <t>E+</t>
        </is>
      </c>
      <c r="AD374" s="84" t="n">
        <v>17</v>
      </c>
      <c r="AE374" s="84" t="n">
        <v>15</v>
      </c>
      <c r="AF374" s="84" t="n">
        <v>0.76</v>
      </c>
      <c r="AG374" s="84" t="n">
        <v>0.84</v>
      </c>
      <c r="AH374" s="84" t="n">
        <v>0</v>
      </c>
      <c r="AI374" s="84" t="n">
        <v>0</v>
      </c>
      <c r="AJ374" s="84">
        <f>SUMIFS(AH$8:AH$1039,$O$8:$O$1039,O374,$AB$8:$AB$1039,AB374,$R$8:$R$1039,R374,$AA$8:$AA$1039,"&lt;="&amp;AA374)</f>
        <v/>
      </c>
      <c r="AK374" s="84">
        <f>C36</f>
        <v/>
      </c>
      <c r="AL374" s="84">
        <f>C42</f>
        <v/>
      </c>
      <c r="AM374" s="84">
        <f>MAX(0,AJ374-AK374)</f>
        <v/>
      </c>
      <c r="AN374" s="84">
        <f>IF(AM374=0,AH374,IF(AM374&gt;=AH374,0,AH374-AM374))</f>
        <v/>
      </c>
      <c r="AO374" s="84">
        <f>IF(AM374&gt;=AH374,AI374,AI374*AM374/AH374)</f>
        <v/>
      </c>
      <c r="AP374">
        <f t="array" ref="AP374">INDEX($AU$8:$BB$25,6*(R374-1)+MATCH(AB374,$AS$8:$AS$13,0),MATCH(O374,$AU$7:$BB$7,0))</f>
        <v/>
      </c>
    </row>
    <row r="375" ht="14.25" customHeight="1">
      <c r="O375" s="43" t="inlineStr">
        <is>
          <t>Q3’26</t>
        </is>
      </c>
      <c r="P375" s="43" t="n">
        <v>3</v>
      </c>
      <c r="Q375" s="43" t="n">
        <v>11</v>
      </c>
      <c r="R375" s="43" t="n">
        <v>2</v>
      </c>
      <c r="S375" s="45" t="n">
        <v>2781.574868934236</v>
      </c>
      <c r="T375">
        <f>(S374+S375+S376)=P4</f>
        <v/>
      </c>
      <c r="X375" s="84">
        <f>MAX(S372-S375,0)</f>
        <v/>
      </c>
      <c r="Y375" s="83" t="n">
        <v>0</v>
      </c>
      <c r="AA375" s="84" t="n">
        <v>3</v>
      </c>
      <c r="AB375" s="84" t="inlineStr">
        <is>
          <t>E</t>
        </is>
      </c>
      <c r="AC375" s="84" t="inlineStr">
        <is>
          <t>E+</t>
        </is>
      </c>
      <c r="AD375" s="84" t="n">
        <v>17</v>
      </c>
      <c r="AE375" s="84" t="n">
        <v>15</v>
      </c>
      <c r="AF375" s="84" t="n">
        <v>0.76</v>
      </c>
      <c r="AG375" s="84" t="n">
        <v>0.84</v>
      </c>
      <c r="AH375" s="84" t="n">
        <v>0</v>
      </c>
      <c r="AI375" s="84" t="n">
        <v>0</v>
      </c>
      <c r="AJ375" s="84">
        <f>SUMIFS(AH$8:AH$1039,$O$8:$O$1039,O375,$AB$8:$AB$1039,AB375,$R$8:$R$1039,R375,$AA$8:$AA$1039,"&lt;="&amp;AA375)</f>
        <v/>
      </c>
      <c r="AK375" s="84">
        <f>D36</f>
        <v/>
      </c>
      <c r="AL375" s="84">
        <f>D42</f>
        <v/>
      </c>
      <c r="AM375" s="84">
        <f>MAX(0,AJ375-AK375)</f>
        <v/>
      </c>
      <c r="AN375" s="84">
        <f>IF(AM375=0,AH375,IF(AM375&gt;=AH375,0,AH375-AM375))</f>
        <v/>
      </c>
      <c r="AO375" s="84">
        <f>IF(AM375&gt;=AH375,AI375,AI375*AM375/AH375)</f>
        <v/>
      </c>
      <c r="AP375">
        <f t="array" ref="AP375">INDEX($AU$8:$BB$25,6*(R375-1)+MATCH(AB375,$AS$8:$AS$13,0),MATCH(O375,$AU$7:$BB$7,0))</f>
        <v/>
      </c>
    </row>
    <row r="376" ht="14.25" customHeight="1">
      <c r="O376" s="43" t="inlineStr">
        <is>
          <t>Q3’26</t>
        </is>
      </c>
      <c r="P376" s="43" t="n">
        <v>3</v>
      </c>
      <c r="Q376" s="43" t="n">
        <v>11</v>
      </c>
      <c r="R376" s="43" t="n">
        <v>3</v>
      </c>
      <c r="S376" s="45" t="n">
        <v>4154.804328201178</v>
      </c>
      <c r="T376">
        <f>(S374+S375+S376)=P4</f>
        <v/>
      </c>
      <c r="X376" s="84">
        <f>MAX(S373-S376,0)</f>
        <v/>
      </c>
      <c r="Y376" s="83" t="n">
        <v>0</v>
      </c>
      <c r="AA376" s="84" t="n">
        <v>3</v>
      </c>
      <c r="AB376" s="84" t="inlineStr">
        <is>
          <t>E</t>
        </is>
      </c>
      <c r="AC376" s="84" t="inlineStr">
        <is>
          <t>E+</t>
        </is>
      </c>
      <c r="AD376" s="84" t="n">
        <v>17</v>
      </c>
      <c r="AE376" s="84" t="n">
        <v>15</v>
      </c>
      <c r="AF376" s="84" t="n">
        <v>0.76</v>
      </c>
      <c r="AG376" s="84" t="n">
        <v>0.84</v>
      </c>
      <c r="AH376" s="84" t="n">
        <v>0</v>
      </c>
      <c r="AI376" s="84" t="n">
        <v>0</v>
      </c>
      <c r="AJ376" s="84">
        <f>SUMIFS(AH$8:AH$1039,$O$8:$O$1039,O376,$AB$8:$AB$1039,AB376,$R$8:$R$1039,R376,$AA$8:$AA$1039,"&lt;="&amp;AA376)</f>
        <v/>
      </c>
      <c r="AK376" s="84">
        <f>E36</f>
        <v/>
      </c>
      <c r="AL376" s="84">
        <f>E42</f>
        <v/>
      </c>
      <c r="AM376" s="84">
        <f>MAX(0,AJ376-AK376)</f>
        <v/>
      </c>
      <c r="AN376" s="84">
        <f>IF(AM376=0,AH376,IF(AM376&gt;=AH376,0,AH376-AM376))</f>
        <v/>
      </c>
      <c r="AO376" s="84">
        <f>IF(AM376&gt;=AH376,AI376,AI376*AM376/AH376)</f>
        <v/>
      </c>
      <c r="AP376">
        <f t="array" ref="AP376">INDEX($AU$8:$BB$25,6*(R376-1)+MATCH(AB376,$AS$8:$AS$13,0),MATCH(O376,$AU$7:$BB$7,0))</f>
        <v/>
      </c>
    </row>
    <row r="377" ht="14.25" customHeight="1">
      <c r="O377" s="43" t="inlineStr">
        <is>
          <t>Q3’26</t>
        </is>
      </c>
      <c r="P377" s="43" t="n">
        <v>3</v>
      </c>
      <c r="Q377" s="43" t="n">
        <v>12</v>
      </c>
      <c r="R377" s="43" t="n">
        <v>1</v>
      </c>
      <c r="S377" s="45" t="n">
        <v>63.620802864586</v>
      </c>
      <c r="T377">
        <f>(S377+S378+S379)=P4</f>
        <v/>
      </c>
      <c r="X377" s="84">
        <f>MAX(S374-S377,0)</f>
        <v/>
      </c>
      <c r="Y377" s="83" t="n">
        <v>0</v>
      </c>
      <c r="AA377" s="84" t="n">
        <v>10</v>
      </c>
      <c r="AB377" s="84" t="inlineStr">
        <is>
          <t>E</t>
        </is>
      </c>
      <c r="AC377" s="84" t="inlineStr">
        <is>
          <t>E+</t>
        </is>
      </c>
      <c r="AD377" s="84" t="n">
        <v>18</v>
      </c>
      <c r="AE377" s="84" t="n">
        <v>13</v>
      </c>
      <c r="AF377" s="84" t="n">
        <v>0.76</v>
      </c>
      <c r="AG377" s="84" t="n">
        <v>0.84</v>
      </c>
      <c r="AH377" s="84" t="n">
        <v>0</v>
      </c>
      <c r="AI377" s="84" t="n">
        <v>0</v>
      </c>
      <c r="AJ377" s="84">
        <f>SUMIFS(AH$8:AH$1039,$O$8:$O$1039,O377,$AB$8:$AB$1039,AB377,$R$8:$R$1039,R377,$AA$8:$AA$1039,"&lt;="&amp;AA377)</f>
        <v/>
      </c>
      <c r="AK377" s="84">
        <f>C36</f>
        <v/>
      </c>
      <c r="AL377" s="84">
        <f>C42</f>
        <v/>
      </c>
      <c r="AM377" s="84">
        <f>MAX(0,AJ377-AK377)</f>
        <v/>
      </c>
      <c r="AN377" s="84">
        <f>IF(AM377=0,AH377,IF(AM377&gt;=AH377,0,AH377-AM377))</f>
        <v/>
      </c>
      <c r="AO377" s="84">
        <f>IF(AM377&gt;=AH377,AI377,AI377*AM377/AH377)</f>
        <v/>
      </c>
      <c r="AP377">
        <f t="array" ref="AP377">INDEX($AU$8:$BB$25,6*(R377-1)+MATCH(AB377,$AS$8:$AS$13,0),MATCH(O377,$AU$7:$BB$7,0))</f>
        <v/>
      </c>
    </row>
    <row r="378" ht="14.25" customHeight="1">
      <c r="O378" s="43" t="inlineStr">
        <is>
          <t>Q3’26</t>
        </is>
      </c>
      <c r="P378" s="43" t="n">
        <v>3</v>
      </c>
      <c r="Q378" s="43" t="n">
        <v>12</v>
      </c>
      <c r="R378" s="43" t="n">
        <v>2</v>
      </c>
      <c r="S378" s="45" t="n">
        <v>2781.574868934236</v>
      </c>
      <c r="T378">
        <f>(S377+S378+S379)=P4</f>
        <v/>
      </c>
      <c r="X378" s="84">
        <f>MAX(S375-S378,0)</f>
        <v/>
      </c>
      <c r="Y378" s="83" t="n">
        <v>0</v>
      </c>
      <c r="AA378" s="84" t="n">
        <v>10</v>
      </c>
      <c r="AB378" s="84" t="inlineStr">
        <is>
          <t>E</t>
        </is>
      </c>
      <c r="AC378" s="84" t="inlineStr">
        <is>
          <t>E+</t>
        </is>
      </c>
      <c r="AD378" s="84" t="n">
        <v>18</v>
      </c>
      <c r="AE378" s="84" t="n">
        <v>13</v>
      </c>
      <c r="AF378" s="84" t="n">
        <v>0.76</v>
      </c>
      <c r="AG378" s="84" t="n">
        <v>0.84</v>
      </c>
      <c r="AH378" s="84" t="n">
        <v>0</v>
      </c>
      <c r="AI378" s="84" t="n">
        <v>0</v>
      </c>
      <c r="AJ378" s="84">
        <f>SUMIFS(AH$8:AH$1039,$O$8:$O$1039,O378,$AB$8:$AB$1039,AB378,$R$8:$R$1039,R378,$AA$8:$AA$1039,"&lt;="&amp;AA378)</f>
        <v/>
      </c>
      <c r="AK378" s="84">
        <f>D36</f>
        <v/>
      </c>
      <c r="AL378" s="84">
        <f>D42</f>
        <v/>
      </c>
      <c r="AM378" s="84">
        <f>MAX(0,AJ378-AK378)</f>
        <v/>
      </c>
      <c r="AN378" s="84">
        <f>IF(AM378=0,AH378,IF(AM378&gt;=AH378,0,AH378-AM378))</f>
        <v/>
      </c>
      <c r="AO378" s="84">
        <f>IF(AM378&gt;=AH378,AI378,AI378*AM378/AH378)</f>
        <v/>
      </c>
      <c r="AP378">
        <f t="array" ref="AP378">INDEX($AU$8:$BB$25,6*(R378-1)+MATCH(AB378,$AS$8:$AS$13,0),MATCH(O378,$AU$7:$BB$7,0))</f>
        <v/>
      </c>
    </row>
    <row r="379" ht="14.25" customHeight="1">
      <c r="O379" s="43" t="inlineStr">
        <is>
          <t>Q3’26</t>
        </is>
      </c>
      <c r="P379" s="43" t="n">
        <v>3</v>
      </c>
      <c r="Q379" s="43" t="n">
        <v>12</v>
      </c>
      <c r="R379" s="43" t="n">
        <v>3</v>
      </c>
      <c r="S379" s="45" t="n">
        <v>4154.804328201178</v>
      </c>
      <c r="T379">
        <f>(S377+S378+S379)=P4</f>
        <v/>
      </c>
      <c r="X379" s="84">
        <f>MAX(S376-S379,0)</f>
        <v/>
      </c>
      <c r="Y379" s="83" t="n">
        <v>0</v>
      </c>
      <c r="AA379" s="84" t="n">
        <v>10</v>
      </c>
      <c r="AB379" s="84" t="inlineStr">
        <is>
          <t>E</t>
        </is>
      </c>
      <c r="AC379" s="84" t="inlineStr">
        <is>
          <t>E+</t>
        </is>
      </c>
      <c r="AD379" s="84" t="n">
        <v>18</v>
      </c>
      <c r="AE379" s="84" t="n">
        <v>13</v>
      </c>
      <c r="AF379" s="84" t="n">
        <v>0.76</v>
      </c>
      <c r="AG379" s="84" t="n">
        <v>0.84</v>
      </c>
      <c r="AH379" s="84" t="n">
        <v>0</v>
      </c>
      <c r="AI379" s="84" t="n">
        <v>0</v>
      </c>
      <c r="AJ379" s="84">
        <f>SUMIFS(AH$8:AH$1039,$O$8:$O$1039,O379,$AB$8:$AB$1039,AB379,$R$8:$R$1039,R379,$AA$8:$AA$1039,"&lt;="&amp;AA379)</f>
        <v/>
      </c>
      <c r="AK379" s="84">
        <f>E36</f>
        <v/>
      </c>
      <c r="AL379" s="84">
        <f>E42</f>
        <v/>
      </c>
      <c r="AM379" s="84">
        <f>MAX(0,AJ379-AK379)</f>
        <v/>
      </c>
      <c r="AN379" s="84">
        <f>IF(AM379=0,AH379,IF(AM379&gt;=AH379,0,AH379-AM379))</f>
        <v/>
      </c>
      <c r="AO379" s="84">
        <f>IF(AM379&gt;=AH379,AI379,AI379*AM379/AH379)</f>
        <v/>
      </c>
      <c r="AP379">
        <f t="array" ref="AP379">INDEX($AU$8:$BB$25,6*(R379-1)+MATCH(AB379,$AS$8:$AS$13,0),MATCH(O379,$AU$7:$BB$7,0))</f>
        <v/>
      </c>
    </row>
    <row r="380" ht="14.25" customHeight="1">
      <c r="O380" s="43" t="inlineStr">
        <is>
          <t>Q3’26</t>
        </is>
      </c>
      <c r="P380" s="43" t="n">
        <v>3</v>
      </c>
      <c r="Q380" s="43" t="n">
        <v>13</v>
      </c>
      <c r="R380" s="43" t="n">
        <v>1</v>
      </c>
      <c r="S380" s="45" t="n">
        <v>63.620802864586</v>
      </c>
      <c r="T380">
        <f>(S380+S381+S382)=P4</f>
        <v/>
      </c>
      <c r="X380" s="84">
        <f>MAX(S377-S380,0)</f>
        <v/>
      </c>
      <c r="Y380" s="83" t="n">
        <v>0</v>
      </c>
      <c r="AA380" s="84" t="n">
        <v>2</v>
      </c>
      <c r="AB380" s="84" t="inlineStr">
        <is>
          <t>F</t>
        </is>
      </c>
      <c r="AC380" s="84" t="inlineStr">
        <is>
          <t>F+</t>
        </is>
      </c>
      <c r="AD380" s="84" t="n">
        <v>20</v>
      </c>
      <c r="AE380" s="84" t="n">
        <v>18</v>
      </c>
      <c r="AF380" s="84" t="n">
        <v>0.8</v>
      </c>
      <c r="AG380" s="84" t="n">
        <v>0.9</v>
      </c>
      <c r="AH380" s="84" t="n">
        <v>0</v>
      </c>
      <c r="AI380" s="84" t="n">
        <v>0</v>
      </c>
      <c r="AJ380" s="84">
        <f>SUMIFS(AH$8:AH$1039,$O$8:$O$1039,O380,$AB$8:$AB$1039,AB380,$R$8:$R$1039,R380,$AA$8:$AA$1039,"&lt;="&amp;AA380)</f>
        <v/>
      </c>
      <c r="AK380" s="84">
        <f>C37</f>
        <v/>
      </c>
      <c r="AL380" s="84">
        <f>C43</f>
        <v/>
      </c>
      <c r="AM380" s="84">
        <f>MAX(0,AJ380-AK380)</f>
        <v/>
      </c>
      <c r="AN380" s="84">
        <f>IF(AM380=0,AH380,IF(AM380&gt;=AH380,0,AH380-AM380))</f>
        <v/>
      </c>
      <c r="AO380" s="84">
        <f>IF(AM380&gt;=AH380,AI380,AI380*AM380/AH380)</f>
        <v/>
      </c>
      <c r="AP380">
        <f t="array" ref="AP380">INDEX($AU$8:$BB$25,6*(R380-1)+MATCH(AB380,$AS$8:$AS$13,0),MATCH(O380,$AU$7:$BB$7,0))</f>
        <v/>
      </c>
    </row>
    <row r="381" ht="14.25" customHeight="1">
      <c r="O381" s="43" t="inlineStr">
        <is>
          <t>Q3’26</t>
        </is>
      </c>
      <c r="P381" s="43" t="n">
        <v>3</v>
      </c>
      <c r="Q381" s="43" t="n">
        <v>13</v>
      </c>
      <c r="R381" s="43" t="n">
        <v>2</v>
      </c>
      <c r="S381" s="45" t="n">
        <v>2781.574868934236</v>
      </c>
      <c r="T381">
        <f>(S380+S381+S382)=P4</f>
        <v/>
      </c>
      <c r="X381" s="84">
        <f>MAX(S378-S381,0)</f>
        <v/>
      </c>
      <c r="Y381" s="83" t="n">
        <v>0</v>
      </c>
      <c r="AA381" s="84" t="n">
        <v>2</v>
      </c>
      <c r="AB381" s="84" t="inlineStr">
        <is>
          <t>F</t>
        </is>
      </c>
      <c r="AC381" s="84" t="inlineStr">
        <is>
          <t>F+</t>
        </is>
      </c>
      <c r="AD381" s="84" t="n">
        <v>20</v>
      </c>
      <c r="AE381" s="84" t="n">
        <v>18</v>
      </c>
      <c r="AF381" s="84" t="n">
        <v>0.8</v>
      </c>
      <c r="AG381" s="84" t="n">
        <v>0.9</v>
      </c>
      <c r="AH381" s="84" t="n">
        <v>0</v>
      </c>
      <c r="AI381" s="84" t="n">
        <v>0</v>
      </c>
      <c r="AJ381" s="84">
        <f>SUMIFS(AH$8:AH$1039,$O$8:$O$1039,O381,$AB$8:$AB$1039,AB381,$R$8:$R$1039,R381,$AA$8:$AA$1039,"&lt;="&amp;AA381)</f>
        <v/>
      </c>
      <c r="AK381" s="84">
        <f>D37</f>
        <v/>
      </c>
      <c r="AL381" s="84">
        <f>D43</f>
        <v/>
      </c>
      <c r="AM381" s="84">
        <f>MAX(0,AJ381-AK381)</f>
        <v/>
      </c>
      <c r="AN381" s="84">
        <f>IF(AM381=0,AH381,IF(AM381&gt;=AH381,0,AH381-AM381))</f>
        <v/>
      </c>
      <c r="AO381" s="84">
        <f>IF(AM381&gt;=AH381,AI381,AI381*AM381/AH381)</f>
        <v/>
      </c>
      <c r="AP381">
        <f t="array" ref="AP381">INDEX($AU$8:$BB$25,6*(R381-1)+MATCH(AB381,$AS$8:$AS$13,0),MATCH(O381,$AU$7:$BB$7,0))</f>
        <v/>
      </c>
    </row>
    <row r="382" ht="14.25" customHeight="1">
      <c r="O382" s="43" t="inlineStr">
        <is>
          <t>Q3’26</t>
        </is>
      </c>
      <c r="P382" s="43" t="n">
        <v>3</v>
      </c>
      <c r="Q382" s="43" t="n">
        <v>13</v>
      </c>
      <c r="R382" s="43" t="n">
        <v>3</v>
      </c>
      <c r="S382" s="45" t="n">
        <v>4154.804328201178</v>
      </c>
      <c r="T382">
        <f>(S380+S381+S382)=P4</f>
        <v/>
      </c>
      <c r="X382" s="84">
        <f>MAX(S379-S382,0)</f>
        <v/>
      </c>
      <c r="Y382" s="83" t="n">
        <v>0</v>
      </c>
      <c r="AA382" s="84" t="n">
        <v>2</v>
      </c>
      <c r="AB382" s="84" t="inlineStr">
        <is>
          <t>F</t>
        </is>
      </c>
      <c r="AC382" s="84" t="inlineStr">
        <is>
          <t>F+</t>
        </is>
      </c>
      <c r="AD382" s="84" t="n">
        <v>20</v>
      </c>
      <c r="AE382" s="84" t="n">
        <v>18</v>
      </c>
      <c r="AF382" s="84" t="n">
        <v>0.8</v>
      </c>
      <c r="AG382" s="84" t="n">
        <v>0.9</v>
      </c>
      <c r="AH382" s="84" t="n">
        <v>0</v>
      </c>
      <c r="AI382" s="84" t="n">
        <v>0</v>
      </c>
      <c r="AJ382" s="84">
        <f>SUMIFS(AH$8:AH$1039,$O$8:$O$1039,O382,$AB$8:$AB$1039,AB382,$R$8:$R$1039,R382,$AA$8:$AA$1039,"&lt;="&amp;AA382)</f>
        <v/>
      </c>
      <c r="AK382" s="84">
        <f>E37</f>
        <v/>
      </c>
      <c r="AL382" s="84">
        <f>E43</f>
        <v/>
      </c>
      <c r="AM382" s="84">
        <f>MAX(0,AJ382-AK382)</f>
        <v/>
      </c>
      <c r="AN382" s="84">
        <f>IF(AM382=0,AH382,IF(AM382&gt;=AH382,0,AH382-AM382))</f>
        <v/>
      </c>
      <c r="AO382" s="84">
        <f>IF(AM382&gt;=AH382,AI382,AI382*AM382/AH382)</f>
        <v/>
      </c>
      <c r="AP382">
        <f t="array" ref="AP382">INDEX($AU$8:$BB$25,6*(R382-1)+MATCH(AB382,$AS$8:$AS$13,0),MATCH(O382,$AU$7:$BB$7,0))</f>
        <v/>
      </c>
    </row>
    <row r="383" ht="14.25" customHeight="1">
      <c r="O383" s="43" t="inlineStr">
        <is>
          <t>Q3’26</t>
        </is>
      </c>
      <c r="P383" s="43" t="n">
        <v>3</v>
      </c>
      <c r="Q383" s="43" t="n">
        <v>14</v>
      </c>
      <c r="R383" s="43" t="n">
        <v>1</v>
      </c>
      <c r="S383" s="45" t="n">
        <v>63.620802864586</v>
      </c>
      <c r="T383">
        <f>(S383+S384+S385)=P4</f>
        <v/>
      </c>
      <c r="X383" s="84">
        <f>MAX(S380-S383,0)</f>
        <v/>
      </c>
      <c r="Y383" s="83" t="n">
        <v>0</v>
      </c>
      <c r="AA383" s="84" t="n">
        <v>2</v>
      </c>
      <c r="AB383" s="84" t="inlineStr">
        <is>
          <t>C</t>
        </is>
      </c>
      <c r="AC383" s="84" t="inlineStr">
        <is>
          <t>C+</t>
        </is>
      </c>
      <c r="AD383" s="84" t="n">
        <v>12</v>
      </c>
      <c r="AE383" s="84" t="n">
        <v>11</v>
      </c>
      <c r="AF383" s="84" t="n">
        <v>0.8</v>
      </c>
      <c r="AG383" s="84" t="n">
        <v>0.86</v>
      </c>
      <c r="AH383" s="84" t="n">
        <v>0</v>
      </c>
      <c r="AI383" s="84" t="n">
        <v>0</v>
      </c>
      <c r="AJ383" s="84">
        <f>SUMIFS(AH$8:AH$1039,$O$8:$O$1039,O383,$AB$8:$AB$1039,AB383,$R$8:$R$1039,R383,$AA$8:$AA$1039,"&lt;="&amp;AA383)</f>
        <v/>
      </c>
      <c r="AK383" s="84">
        <f>C34</f>
        <v/>
      </c>
      <c r="AL383" s="84">
        <f>C40</f>
        <v/>
      </c>
      <c r="AM383" s="84">
        <f>MAX(0,AJ383-AK383)</f>
        <v/>
      </c>
      <c r="AN383" s="84">
        <f>IF(AM383=0,AH383,IF(AM383&gt;=AH383,0,AH383-AM383))</f>
        <v/>
      </c>
      <c r="AO383" s="84">
        <f>IF(AM383&gt;=AH383,AI383,AI383*AM383/AH383)</f>
        <v/>
      </c>
      <c r="AP383">
        <f t="array" ref="AP383">INDEX($AU$8:$BB$25,6*(R383-1)+MATCH(AB383,$AS$8:$AS$13,0),MATCH(O383,$AU$7:$BB$7,0))</f>
        <v/>
      </c>
    </row>
    <row r="384" ht="14.25" customHeight="1">
      <c r="O384" s="43" t="inlineStr">
        <is>
          <t>Q3’26</t>
        </is>
      </c>
      <c r="P384" s="43" t="n">
        <v>3</v>
      </c>
      <c r="Q384" s="43" t="n">
        <v>14</v>
      </c>
      <c r="R384" s="43" t="n">
        <v>2</v>
      </c>
      <c r="S384" s="45" t="n">
        <v>2781.574868934236</v>
      </c>
      <c r="T384">
        <f>(S383+S384+S385)=P4</f>
        <v/>
      </c>
      <c r="X384" s="84">
        <f>MAX(S381-S384,0)</f>
        <v/>
      </c>
      <c r="Y384" s="83" t="n">
        <v>0</v>
      </c>
      <c r="AA384" s="84" t="n">
        <v>2</v>
      </c>
      <c r="AB384" s="84" t="inlineStr">
        <is>
          <t>C</t>
        </is>
      </c>
      <c r="AC384" s="84" t="inlineStr">
        <is>
          <t>C+</t>
        </is>
      </c>
      <c r="AD384" s="84" t="n">
        <v>12</v>
      </c>
      <c r="AE384" s="84" t="n">
        <v>11</v>
      </c>
      <c r="AF384" s="84" t="n">
        <v>0.8</v>
      </c>
      <c r="AG384" s="84" t="n">
        <v>0.86</v>
      </c>
      <c r="AH384" s="84" t="n">
        <v>0</v>
      </c>
      <c r="AI384" s="84" t="n">
        <v>0</v>
      </c>
      <c r="AJ384" s="84">
        <f>SUMIFS(AH$8:AH$1039,$O$8:$O$1039,O384,$AB$8:$AB$1039,AB384,$R$8:$R$1039,R384,$AA$8:$AA$1039,"&lt;="&amp;AA384)</f>
        <v/>
      </c>
      <c r="AK384" s="84">
        <f>D34</f>
        <v/>
      </c>
      <c r="AL384" s="84">
        <f>D40</f>
        <v/>
      </c>
      <c r="AM384" s="84">
        <f>MAX(0,AJ384-AK384)</f>
        <v/>
      </c>
      <c r="AN384" s="84">
        <f>IF(AM384=0,AH384,IF(AM384&gt;=AH384,0,AH384-AM384))</f>
        <v/>
      </c>
      <c r="AO384" s="84">
        <f>IF(AM384&gt;=AH384,AI384,AI384*AM384/AH384)</f>
        <v/>
      </c>
      <c r="AP384">
        <f t="array" ref="AP384">INDEX($AU$8:$BB$25,6*(R384-1)+MATCH(AB384,$AS$8:$AS$13,0),MATCH(O384,$AU$7:$BB$7,0))</f>
        <v/>
      </c>
    </row>
    <row r="385" ht="14.25" customHeight="1">
      <c r="O385" s="43" t="inlineStr">
        <is>
          <t>Q3’26</t>
        </is>
      </c>
      <c r="P385" s="43" t="n">
        <v>3</v>
      </c>
      <c r="Q385" s="43" t="n">
        <v>14</v>
      </c>
      <c r="R385" s="43" t="n">
        <v>3</v>
      </c>
      <c r="S385" s="45" t="n">
        <v>4154.804328201178</v>
      </c>
      <c r="T385">
        <f>(S383+S384+S385)=P4</f>
        <v/>
      </c>
      <c r="X385" s="84">
        <f>MAX(S382-S385,0)</f>
        <v/>
      </c>
      <c r="Y385" s="83" t="n">
        <v>0</v>
      </c>
      <c r="AA385" s="84" t="n">
        <v>2</v>
      </c>
      <c r="AB385" s="84" t="inlineStr">
        <is>
          <t>C</t>
        </is>
      </c>
      <c r="AC385" s="84" t="inlineStr">
        <is>
          <t>C+</t>
        </is>
      </c>
      <c r="AD385" s="84" t="n">
        <v>12</v>
      </c>
      <c r="AE385" s="84" t="n">
        <v>11</v>
      </c>
      <c r="AF385" s="84" t="n">
        <v>0.8</v>
      </c>
      <c r="AG385" s="84" t="n">
        <v>0.86</v>
      </c>
      <c r="AH385" s="84" t="n">
        <v>0</v>
      </c>
      <c r="AI385" s="84" t="n">
        <v>0</v>
      </c>
      <c r="AJ385" s="84">
        <f>SUMIFS(AH$8:AH$1039,$O$8:$O$1039,O385,$AB$8:$AB$1039,AB385,$R$8:$R$1039,R385,$AA$8:$AA$1039,"&lt;="&amp;AA385)</f>
        <v/>
      </c>
      <c r="AK385" s="84">
        <f>E34</f>
        <v/>
      </c>
      <c r="AL385" s="84">
        <f>E40</f>
        <v/>
      </c>
      <c r="AM385" s="84">
        <f>MAX(0,AJ385-AK385)</f>
        <v/>
      </c>
      <c r="AN385" s="84">
        <f>IF(AM385=0,AH385,IF(AM385&gt;=AH385,0,AH385-AM385))</f>
        <v/>
      </c>
      <c r="AO385" s="84">
        <f>IF(AM385&gt;=AH385,AI385,AI385*AM385/AH385)</f>
        <v/>
      </c>
      <c r="AP385">
        <f t="array" ref="AP385">INDEX($AU$8:$BB$25,6*(R385-1)+MATCH(AB385,$AS$8:$AS$13,0),MATCH(O385,$AU$7:$BB$7,0))</f>
        <v/>
      </c>
    </row>
    <row r="386" ht="14.25" customHeight="1">
      <c r="O386" s="43" t="inlineStr">
        <is>
          <t>Q3’26</t>
        </is>
      </c>
      <c r="P386" s="43" t="n">
        <v>3</v>
      </c>
      <c r="Q386" s="43" t="n">
        <v>15</v>
      </c>
      <c r="R386" s="43" t="n">
        <v>1</v>
      </c>
      <c r="S386" s="45" t="n">
        <v>63.620802864586</v>
      </c>
      <c r="T386">
        <f>(S386+S387+S388)=P4</f>
        <v/>
      </c>
      <c r="X386" s="84">
        <f>MAX(S383-S386,0)</f>
        <v/>
      </c>
      <c r="Y386" s="83" t="n">
        <v>0</v>
      </c>
      <c r="AA386" s="84" t="n">
        <v>2</v>
      </c>
      <c r="AB386" s="84" t="inlineStr">
        <is>
          <t>D</t>
        </is>
      </c>
      <c r="AC386" s="84" t="inlineStr">
        <is>
          <t>D+</t>
        </is>
      </c>
      <c r="AD386" s="84" t="n">
        <v>11</v>
      </c>
      <c r="AE386" s="84" t="n">
        <v>10</v>
      </c>
      <c r="AF386" s="84" t="n">
        <v>0.8</v>
      </c>
      <c r="AG386" s="84" t="n">
        <v>0.88</v>
      </c>
      <c r="AH386" s="84" t="n">
        <v>0</v>
      </c>
      <c r="AI386" s="84" t="n">
        <v>0</v>
      </c>
      <c r="AJ386" s="84">
        <f>SUMIFS(AH$8:AH$1039,$O$8:$O$1039,O386,$AB$8:$AB$1039,AB386,$R$8:$R$1039,R386,$AA$8:$AA$1039,"&lt;="&amp;AA386)</f>
        <v/>
      </c>
      <c r="AK386" s="84">
        <f>C35</f>
        <v/>
      </c>
      <c r="AL386" s="84">
        <f>C41</f>
        <v/>
      </c>
      <c r="AM386" s="84">
        <f>MAX(0,AJ386-AK386)</f>
        <v/>
      </c>
      <c r="AN386" s="84">
        <f>IF(AM386=0,AH386,IF(AM386&gt;=AH386,0,AH386-AM386))</f>
        <v/>
      </c>
      <c r="AO386" s="84">
        <f>IF(AM386&gt;=AH386,AI386,AI386*AM386/AH386)</f>
        <v/>
      </c>
      <c r="AP386">
        <f t="array" ref="AP386">INDEX($AU$8:$BB$25,6*(R386-1)+MATCH(AB386,$AS$8:$AS$13,0),MATCH(O386,$AU$7:$BB$7,0))</f>
        <v/>
      </c>
    </row>
    <row r="387" ht="14.25" customHeight="1">
      <c r="O387" s="43" t="inlineStr">
        <is>
          <t>Q3’26</t>
        </is>
      </c>
      <c r="P387" s="43" t="n">
        <v>3</v>
      </c>
      <c r="Q387" s="43" t="n">
        <v>15</v>
      </c>
      <c r="R387" s="43" t="n">
        <v>2</v>
      </c>
      <c r="S387" s="45" t="n">
        <v>2781.574868934236</v>
      </c>
      <c r="T387">
        <f>(S386+S387+S388)=P4</f>
        <v/>
      </c>
      <c r="X387" s="84">
        <f>MAX(S384-S387,0)</f>
        <v/>
      </c>
      <c r="Y387" s="83" t="n">
        <v>0</v>
      </c>
      <c r="AA387" s="84" t="n">
        <v>2</v>
      </c>
      <c r="AB387" s="84" t="inlineStr">
        <is>
          <t>D</t>
        </is>
      </c>
      <c r="AC387" s="84" t="inlineStr">
        <is>
          <t>D+</t>
        </is>
      </c>
      <c r="AD387" s="84" t="n">
        <v>11</v>
      </c>
      <c r="AE387" s="84" t="n">
        <v>10</v>
      </c>
      <c r="AF387" s="84" t="n">
        <v>0.8</v>
      </c>
      <c r="AG387" s="84" t="n">
        <v>0.88</v>
      </c>
      <c r="AH387" s="84" t="n">
        <v>0</v>
      </c>
      <c r="AI387" s="84" t="n">
        <v>0</v>
      </c>
      <c r="AJ387" s="84">
        <f>SUMIFS(AH$8:AH$1039,$O$8:$O$1039,O387,$AB$8:$AB$1039,AB387,$R$8:$R$1039,R387,$AA$8:$AA$1039,"&lt;="&amp;AA387)</f>
        <v/>
      </c>
      <c r="AK387" s="84">
        <f>D35</f>
        <v/>
      </c>
      <c r="AL387" s="84">
        <f>D41</f>
        <v/>
      </c>
      <c r="AM387" s="84">
        <f>MAX(0,AJ387-AK387)</f>
        <v/>
      </c>
      <c r="AN387" s="84">
        <f>IF(AM387=0,AH387,IF(AM387&gt;=AH387,0,AH387-AM387))</f>
        <v/>
      </c>
      <c r="AO387" s="84">
        <f>IF(AM387&gt;=AH387,AI387,AI387*AM387/AH387)</f>
        <v/>
      </c>
      <c r="AP387">
        <f t="array" ref="AP387">INDEX($AU$8:$BB$25,6*(R387-1)+MATCH(AB387,$AS$8:$AS$13,0),MATCH(O387,$AU$7:$BB$7,0))</f>
        <v/>
      </c>
    </row>
    <row r="388" ht="14.25" customHeight="1">
      <c r="O388" s="43" t="inlineStr">
        <is>
          <t>Q3’26</t>
        </is>
      </c>
      <c r="P388" s="43" t="n">
        <v>3</v>
      </c>
      <c r="Q388" s="43" t="n">
        <v>15</v>
      </c>
      <c r="R388" s="43" t="n">
        <v>3</v>
      </c>
      <c r="S388" s="45" t="n">
        <v>4154.804328201178</v>
      </c>
      <c r="T388">
        <f>(S386+S387+S388)=P4</f>
        <v/>
      </c>
      <c r="X388" s="84">
        <f>MAX(S385-S388,0)</f>
        <v/>
      </c>
      <c r="Y388" s="83" t="n">
        <v>0</v>
      </c>
      <c r="AA388" s="84" t="n">
        <v>2</v>
      </c>
      <c r="AB388" s="84" t="inlineStr">
        <is>
          <t>D</t>
        </is>
      </c>
      <c r="AC388" s="84" t="inlineStr">
        <is>
          <t>D+</t>
        </is>
      </c>
      <c r="AD388" s="84" t="n">
        <v>11</v>
      </c>
      <c r="AE388" s="84" t="n">
        <v>10</v>
      </c>
      <c r="AF388" s="84" t="n">
        <v>0.8</v>
      </c>
      <c r="AG388" s="84" t="n">
        <v>0.88</v>
      </c>
      <c r="AH388" s="84" t="n">
        <v>0</v>
      </c>
      <c r="AI388" s="84" t="n">
        <v>0</v>
      </c>
      <c r="AJ388" s="84">
        <f>SUMIFS(AH$8:AH$1039,$O$8:$O$1039,O388,$AB$8:$AB$1039,AB388,$R$8:$R$1039,R388,$AA$8:$AA$1039,"&lt;="&amp;AA388)</f>
        <v/>
      </c>
      <c r="AK388" s="84">
        <f>E35</f>
        <v/>
      </c>
      <c r="AL388" s="84">
        <f>E41</f>
        <v/>
      </c>
      <c r="AM388" s="84">
        <f>MAX(0,AJ388-AK388)</f>
        <v/>
      </c>
      <c r="AN388" s="84">
        <f>IF(AM388=0,AH388,IF(AM388&gt;=AH388,0,AH388-AM388))</f>
        <v/>
      </c>
      <c r="AO388" s="84">
        <f>IF(AM388&gt;=AH388,AI388,AI388*AM388/AH388)</f>
        <v/>
      </c>
      <c r="AP388">
        <f t="array" ref="AP388">INDEX($AU$8:$BB$25,6*(R388-1)+MATCH(AB388,$AS$8:$AS$13,0),MATCH(O388,$AU$7:$BB$7,0))</f>
        <v/>
      </c>
    </row>
    <row r="389" ht="14.25" customHeight="1">
      <c r="O389" s="43" t="inlineStr">
        <is>
          <t>Q3’26</t>
        </is>
      </c>
      <c r="P389" s="43" t="n">
        <v>3</v>
      </c>
      <c r="Q389" s="43" t="n">
        <v>16</v>
      </c>
      <c r="R389" s="43" t="n">
        <v>1</v>
      </c>
      <c r="S389" s="45" t="n">
        <v>63.620802864586</v>
      </c>
      <c r="T389">
        <f>(S389+S390+S391)=P4</f>
        <v/>
      </c>
      <c r="X389" s="84">
        <f>MAX(S386-S389,0)</f>
        <v/>
      </c>
      <c r="Y389" s="83" t="n">
        <v>0</v>
      </c>
      <c r="AA389" s="84" t="n">
        <v>4</v>
      </c>
      <c r="AB389" s="84" t="inlineStr">
        <is>
          <t>C</t>
        </is>
      </c>
      <c r="AC389" s="84" t="inlineStr">
        <is>
          <t>C+</t>
        </is>
      </c>
      <c r="AD389" s="84" t="n">
        <v>25</v>
      </c>
      <c r="AE389" s="84" t="n">
        <v>20</v>
      </c>
      <c r="AF389" s="84" t="n">
        <v>0.8</v>
      </c>
      <c r="AG389" s="84" t="n">
        <v>0.86</v>
      </c>
      <c r="AH389" s="84" t="n">
        <v>0</v>
      </c>
      <c r="AI389" s="84" t="n">
        <v>0</v>
      </c>
      <c r="AJ389" s="84">
        <f>SUMIFS(AH$8:AH$1039,$O$8:$O$1039,O389,$AB$8:$AB$1039,AB389,$R$8:$R$1039,R389,$AA$8:$AA$1039,"&lt;="&amp;AA389)</f>
        <v/>
      </c>
      <c r="AK389" s="84">
        <f>C34</f>
        <v/>
      </c>
      <c r="AL389" s="84">
        <f>C40</f>
        <v/>
      </c>
      <c r="AM389" s="84">
        <f>MAX(0,AJ389-AK389)</f>
        <v/>
      </c>
      <c r="AN389" s="84">
        <f>IF(AM389=0,AH389,IF(AM389&gt;=AH389,0,AH389-AM389))</f>
        <v/>
      </c>
      <c r="AO389" s="84">
        <f>IF(AM389&gt;=AH389,AI389,AI389*AM389/AH389)</f>
        <v/>
      </c>
      <c r="AP389">
        <f t="array" ref="AP389">INDEX($AU$8:$BB$25,6*(R389-1)+MATCH(AB389,$AS$8:$AS$13,0),MATCH(O389,$AU$7:$BB$7,0))</f>
        <v/>
      </c>
    </row>
    <row r="390" ht="14.25" customHeight="1">
      <c r="O390" s="43" t="inlineStr">
        <is>
          <t>Q3’26</t>
        </is>
      </c>
      <c r="P390" s="43" t="n">
        <v>3</v>
      </c>
      <c r="Q390" s="43" t="n">
        <v>16</v>
      </c>
      <c r="R390" s="43" t="n">
        <v>2</v>
      </c>
      <c r="S390" s="45" t="n">
        <v>2781.574868934236</v>
      </c>
      <c r="T390">
        <f>(S389+S390+S391)=P4</f>
        <v/>
      </c>
      <c r="X390" s="84">
        <f>MAX(S387-S390,0)</f>
        <v/>
      </c>
      <c r="Y390" s="83" t="n">
        <v>0</v>
      </c>
      <c r="AA390" s="84" t="n">
        <v>4</v>
      </c>
      <c r="AB390" s="84" t="inlineStr">
        <is>
          <t>C</t>
        </is>
      </c>
      <c r="AC390" s="84" t="inlineStr">
        <is>
          <t>C+</t>
        </is>
      </c>
      <c r="AD390" s="84" t="n">
        <v>25</v>
      </c>
      <c r="AE390" s="84" t="n">
        <v>20</v>
      </c>
      <c r="AF390" s="84" t="n">
        <v>0.8</v>
      </c>
      <c r="AG390" s="84" t="n">
        <v>0.86</v>
      </c>
      <c r="AH390" s="84" t="n">
        <v>0</v>
      </c>
      <c r="AI390" s="84" t="n">
        <v>0</v>
      </c>
      <c r="AJ390" s="84">
        <f>SUMIFS(AH$8:AH$1039,$O$8:$O$1039,O390,$AB$8:$AB$1039,AB390,$R$8:$R$1039,R390,$AA$8:$AA$1039,"&lt;="&amp;AA390)</f>
        <v/>
      </c>
      <c r="AK390" s="84">
        <f>D34</f>
        <v/>
      </c>
      <c r="AL390" s="84">
        <f>D40</f>
        <v/>
      </c>
      <c r="AM390" s="84">
        <f>MAX(0,AJ390-AK390)</f>
        <v/>
      </c>
      <c r="AN390" s="84">
        <f>IF(AM390=0,AH390,IF(AM390&gt;=AH390,0,AH390-AM390))</f>
        <v/>
      </c>
      <c r="AO390" s="84">
        <f>IF(AM390&gt;=AH390,AI390,AI390*AM390/AH390)</f>
        <v/>
      </c>
      <c r="AP390">
        <f t="array" ref="AP390">INDEX($AU$8:$BB$25,6*(R390-1)+MATCH(AB390,$AS$8:$AS$13,0),MATCH(O390,$AU$7:$BB$7,0))</f>
        <v/>
      </c>
    </row>
    <row r="391" ht="14.25" customHeight="1">
      <c r="O391" s="43" t="inlineStr">
        <is>
          <t>Q3’26</t>
        </is>
      </c>
      <c r="P391" s="43" t="n">
        <v>3</v>
      </c>
      <c r="Q391" s="43" t="n">
        <v>16</v>
      </c>
      <c r="R391" s="43" t="n">
        <v>3</v>
      </c>
      <c r="S391" s="45" t="n">
        <v>4154.804328201178</v>
      </c>
      <c r="T391">
        <f>(S389+S390+S391)=P4</f>
        <v/>
      </c>
      <c r="X391" s="84">
        <f>MAX(S388-S391,0)</f>
        <v/>
      </c>
      <c r="Y391" s="83" t="n">
        <v>0</v>
      </c>
      <c r="AA391" s="84" t="n">
        <v>4</v>
      </c>
      <c r="AB391" s="84" t="inlineStr">
        <is>
          <t>C</t>
        </is>
      </c>
      <c r="AC391" s="84" t="inlineStr">
        <is>
          <t>C+</t>
        </is>
      </c>
      <c r="AD391" s="84" t="n">
        <v>25</v>
      </c>
      <c r="AE391" s="84" t="n">
        <v>20</v>
      </c>
      <c r="AF391" s="84" t="n">
        <v>0.8</v>
      </c>
      <c r="AG391" s="84" t="n">
        <v>0.86</v>
      </c>
      <c r="AH391" s="84" t="n">
        <v>0</v>
      </c>
      <c r="AI391" s="84" t="n">
        <v>0</v>
      </c>
      <c r="AJ391" s="84">
        <f>SUMIFS(AH$8:AH$1039,$O$8:$O$1039,O391,$AB$8:$AB$1039,AB391,$R$8:$R$1039,R391,$AA$8:$AA$1039,"&lt;="&amp;AA391)</f>
        <v/>
      </c>
      <c r="AK391" s="84">
        <f>E34</f>
        <v/>
      </c>
      <c r="AL391" s="84">
        <f>E40</f>
        <v/>
      </c>
      <c r="AM391" s="84">
        <f>MAX(0,AJ391-AK391)</f>
        <v/>
      </c>
      <c r="AN391" s="84">
        <f>IF(AM391=0,AH391,IF(AM391&gt;=AH391,0,AH391-AM391))</f>
        <v/>
      </c>
      <c r="AO391" s="84">
        <f>IF(AM391&gt;=AH391,AI391,AI391*AM391/AH391)</f>
        <v/>
      </c>
      <c r="AP391">
        <f t="array" ref="AP391">INDEX($AU$8:$BB$25,6*(R391-1)+MATCH(AB391,$AS$8:$AS$13,0),MATCH(O391,$AU$7:$BB$7,0))</f>
        <v/>
      </c>
    </row>
    <row r="392" ht="14.25" customHeight="1">
      <c r="O392" s="43" t="inlineStr">
        <is>
          <t>Q3’26</t>
        </is>
      </c>
      <c r="P392" s="43" t="n">
        <v>3</v>
      </c>
      <c r="Q392" s="43" t="n">
        <v>17</v>
      </c>
      <c r="R392" s="43" t="n">
        <v>1</v>
      </c>
      <c r="S392" s="45" t="n">
        <v>63.620802864586</v>
      </c>
      <c r="T392">
        <f>(S392+S393+S394)=P4</f>
        <v/>
      </c>
      <c r="X392" s="84">
        <f>MAX(S389-S392,0)</f>
        <v/>
      </c>
      <c r="Y392" s="83" t="n">
        <v>0</v>
      </c>
      <c r="AA392" s="84" t="n">
        <v>1</v>
      </c>
      <c r="AB392" s="84" t="inlineStr">
        <is>
          <t>F</t>
        </is>
      </c>
      <c r="AC392" s="84" t="inlineStr">
        <is>
          <t>F+</t>
        </is>
      </c>
      <c r="AD392" s="84" t="n">
        <v>14</v>
      </c>
      <c r="AE392" s="84" t="n">
        <v>13</v>
      </c>
      <c r="AF392" s="84" t="n">
        <v>0.8</v>
      </c>
      <c r="AG392" s="84" t="n">
        <v>0.9</v>
      </c>
      <c r="AH392" s="84" t="n">
        <v>0</v>
      </c>
      <c r="AI392" s="84" t="n">
        <v>0</v>
      </c>
      <c r="AJ392" s="84">
        <f>SUMIFS(AH$8:AH$1039,$O$8:$O$1039,O392,$AB$8:$AB$1039,AB392,$R$8:$R$1039,R392,$AA$8:$AA$1039,"&lt;="&amp;AA392)</f>
        <v/>
      </c>
      <c r="AK392" s="84">
        <f>C37</f>
        <v/>
      </c>
      <c r="AL392" s="84">
        <f>C43</f>
        <v/>
      </c>
      <c r="AM392" s="84">
        <f>MAX(0,AJ392-AK392)</f>
        <v/>
      </c>
      <c r="AN392" s="84">
        <f>IF(AM392=0,AH392,IF(AM392&gt;=AH392,0,AH392-AM392))</f>
        <v/>
      </c>
      <c r="AO392" s="84">
        <f>IF(AM392&gt;=AH392,AI392,AI392*AM392/AH392)</f>
        <v/>
      </c>
      <c r="AP392">
        <f t="array" ref="AP392">INDEX($AU$8:$BB$25,6*(R392-1)+MATCH(AB392,$AS$8:$AS$13,0),MATCH(O392,$AU$7:$BB$7,0))</f>
        <v/>
      </c>
    </row>
    <row r="393" ht="14.25" customHeight="1">
      <c r="O393" s="43" t="inlineStr">
        <is>
          <t>Q3’26</t>
        </is>
      </c>
      <c r="P393" s="43" t="n">
        <v>3</v>
      </c>
      <c r="Q393" s="43" t="n">
        <v>17</v>
      </c>
      <c r="R393" s="43" t="n">
        <v>2</v>
      </c>
      <c r="S393" s="45" t="n">
        <v>2781.574868934236</v>
      </c>
      <c r="T393">
        <f>(S392+S393+S394)=P4</f>
        <v/>
      </c>
      <c r="X393" s="84">
        <f>MAX(S390-S393,0)</f>
        <v/>
      </c>
      <c r="Y393" s="83" t="n">
        <v>0</v>
      </c>
      <c r="AA393" s="84" t="n">
        <v>1</v>
      </c>
      <c r="AB393" s="84" t="inlineStr">
        <is>
          <t>F</t>
        </is>
      </c>
      <c r="AC393" s="84" t="inlineStr">
        <is>
          <t>F+</t>
        </is>
      </c>
      <c r="AD393" s="84" t="n">
        <v>14</v>
      </c>
      <c r="AE393" s="84" t="n">
        <v>13</v>
      </c>
      <c r="AF393" s="84" t="n">
        <v>0.8</v>
      </c>
      <c r="AG393" s="84" t="n">
        <v>0.9</v>
      </c>
      <c r="AH393" s="84" t="n">
        <v>0</v>
      </c>
      <c r="AI393" s="84" t="n">
        <v>0</v>
      </c>
      <c r="AJ393" s="84">
        <f>SUMIFS(AH$8:AH$1039,$O$8:$O$1039,O393,$AB$8:$AB$1039,AB393,$R$8:$R$1039,R393,$AA$8:$AA$1039,"&lt;="&amp;AA393)</f>
        <v/>
      </c>
      <c r="AK393" s="84">
        <f>D37</f>
        <v/>
      </c>
      <c r="AL393" s="84">
        <f>D43</f>
        <v/>
      </c>
      <c r="AM393" s="84">
        <f>MAX(0,AJ393-AK393)</f>
        <v/>
      </c>
      <c r="AN393" s="84">
        <f>IF(AM393=0,AH393,IF(AM393&gt;=AH393,0,AH393-AM393))</f>
        <v/>
      </c>
      <c r="AO393" s="84">
        <f>IF(AM393&gt;=AH393,AI393,AI393*AM393/AH393)</f>
        <v/>
      </c>
      <c r="AP393">
        <f t="array" ref="AP393">INDEX($AU$8:$BB$25,6*(R393-1)+MATCH(AB393,$AS$8:$AS$13,0),MATCH(O393,$AU$7:$BB$7,0))</f>
        <v/>
      </c>
    </row>
    <row r="394" ht="14.25" customHeight="1">
      <c r="O394" s="43" t="inlineStr">
        <is>
          <t>Q3’26</t>
        </is>
      </c>
      <c r="P394" s="43" t="n">
        <v>3</v>
      </c>
      <c r="Q394" s="43" t="n">
        <v>17</v>
      </c>
      <c r="R394" s="43" t="n">
        <v>3</v>
      </c>
      <c r="S394" s="45" t="n">
        <v>4154.804328201178</v>
      </c>
      <c r="T394">
        <f>(S392+S393+S394)=P4</f>
        <v/>
      </c>
      <c r="X394" s="84">
        <f>MAX(S391-S394,0)</f>
        <v/>
      </c>
      <c r="Y394" s="83" t="n">
        <v>0</v>
      </c>
      <c r="AA394" s="84" t="n">
        <v>1</v>
      </c>
      <c r="AB394" s="84" t="inlineStr">
        <is>
          <t>F</t>
        </is>
      </c>
      <c r="AC394" s="84" t="inlineStr">
        <is>
          <t>F+</t>
        </is>
      </c>
      <c r="AD394" s="84" t="n">
        <v>14</v>
      </c>
      <c r="AE394" s="84" t="n">
        <v>13</v>
      </c>
      <c r="AF394" s="84" t="n">
        <v>0.8</v>
      </c>
      <c r="AG394" s="84" t="n">
        <v>0.9</v>
      </c>
      <c r="AH394" s="84" t="n">
        <v>0</v>
      </c>
      <c r="AI394" s="84" t="n">
        <v>0</v>
      </c>
      <c r="AJ394" s="84">
        <f>SUMIFS(AH$8:AH$1039,$O$8:$O$1039,O394,$AB$8:$AB$1039,AB394,$R$8:$R$1039,R394,$AA$8:$AA$1039,"&lt;="&amp;AA394)</f>
        <v/>
      </c>
      <c r="AK394" s="84">
        <f>E37</f>
        <v/>
      </c>
      <c r="AL394" s="84">
        <f>E43</f>
        <v/>
      </c>
      <c r="AM394" s="84">
        <f>MAX(0,AJ394-AK394)</f>
        <v/>
      </c>
      <c r="AN394" s="84">
        <f>IF(AM394=0,AH394,IF(AM394&gt;=AH394,0,AH394-AM394))</f>
        <v/>
      </c>
      <c r="AO394" s="84">
        <f>IF(AM394&gt;=AH394,AI394,AI394*AM394/AH394)</f>
        <v/>
      </c>
      <c r="AP394">
        <f t="array" ref="AP394">INDEX($AU$8:$BB$25,6*(R394-1)+MATCH(AB394,$AS$8:$AS$13,0),MATCH(O394,$AU$7:$BB$7,0))</f>
        <v/>
      </c>
    </row>
    <row r="395" ht="14.25" customHeight="1">
      <c r="O395" s="43" t="inlineStr">
        <is>
          <t>Q4’26</t>
        </is>
      </c>
      <c r="P395" s="43" t="n">
        <v>1</v>
      </c>
      <c r="Q395" s="43" t="n">
        <v>1</v>
      </c>
      <c r="R395" s="43" t="n">
        <v>1</v>
      </c>
      <c r="S395" s="45" t="n">
        <v>5409.919506933744</v>
      </c>
      <c r="T395">
        <f>(S395+S396+S397)=Q2</f>
        <v/>
      </c>
      <c r="X395" s="84" t="n">
        <v>0</v>
      </c>
      <c r="Y395" s="83" t="n">
        <v>0</v>
      </c>
      <c r="AA395" s="84" t="n">
        <v>4</v>
      </c>
      <c r="AB395" s="84" t="inlineStr">
        <is>
          <t>D</t>
        </is>
      </c>
      <c r="AC395" s="84" t="inlineStr">
        <is>
          <t>D+</t>
        </is>
      </c>
      <c r="AD395" s="84" t="n">
        <v>14</v>
      </c>
      <c r="AE395" s="84" t="n">
        <v>12</v>
      </c>
      <c r="AF395" s="84" t="n">
        <v>0.8</v>
      </c>
      <c r="AG395" s="84" t="n">
        <v>0.88</v>
      </c>
      <c r="AH395" s="84" t="n">
        <v>0</v>
      </c>
      <c r="AI395" s="84" t="n">
        <v>0</v>
      </c>
      <c r="AJ395" s="84">
        <f>SUMIFS(AH$8:AH$1039,$O$8:$O$1039,O395,$AB$8:$AB$1039,AB395,$R$8:$R$1039,R395,$AA$8:$AA$1039,"&lt;="&amp;AA395)</f>
        <v/>
      </c>
      <c r="AK395" s="84">
        <f>C47</f>
        <v/>
      </c>
      <c r="AL395" s="84">
        <f>C53</f>
        <v/>
      </c>
      <c r="AM395" s="84">
        <f>MAX(0,AJ395-AK395)</f>
        <v/>
      </c>
      <c r="AN395" s="84">
        <f>IF(AM395=0,AH395,IF(AM395&gt;=AH395,0,AH395-AM395))</f>
        <v/>
      </c>
      <c r="AO395" s="84">
        <f>IF(AM395&gt;=AH395,AI395,AI395*AM395/AH395)</f>
        <v/>
      </c>
      <c r="AP395">
        <f t="array" ref="AP395">INDEX($AU$8:$BB$25,6*(R395-1)+MATCH(AB395,$AS$8:$AS$13,0),MATCH(O395,$AU$7:$BB$7,0))</f>
        <v/>
      </c>
    </row>
    <row r="396" ht="14.25" customHeight="1">
      <c r="O396" s="43" t="inlineStr">
        <is>
          <t>Q4’26</t>
        </is>
      </c>
      <c r="P396" s="43" t="n">
        <v>1</v>
      </c>
      <c r="Q396" s="43" t="n">
        <v>1</v>
      </c>
      <c r="R396" s="43" t="n">
        <v>2</v>
      </c>
      <c r="S396" s="45" t="n">
        <v>1521.386864859965</v>
      </c>
      <c r="T396">
        <f>(S395+S396+S397)=Q2</f>
        <v/>
      </c>
      <c r="X396" s="84" t="n">
        <v>0</v>
      </c>
      <c r="Y396" s="83" t="n">
        <v>0</v>
      </c>
      <c r="AA396" s="84" t="n">
        <v>4</v>
      </c>
      <c r="AB396" s="84" t="inlineStr">
        <is>
          <t>D</t>
        </is>
      </c>
      <c r="AC396" s="84" t="inlineStr">
        <is>
          <t>D+</t>
        </is>
      </c>
      <c r="AD396" s="84" t="n">
        <v>14</v>
      </c>
      <c r="AE396" s="84" t="n">
        <v>12</v>
      </c>
      <c r="AF396" s="84" t="n">
        <v>0.8</v>
      </c>
      <c r="AG396" s="84" t="n">
        <v>0.88</v>
      </c>
      <c r="AH396" s="84" t="n">
        <v>0</v>
      </c>
      <c r="AI396" s="84" t="n">
        <v>0</v>
      </c>
      <c r="AJ396" s="84">
        <f>SUMIFS(AH$8:AH$1039,$O$8:$O$1039,O396,$AB$8:$AB$1039,AB396,$R$8:$R$1039,R396,$AA$8:$AA$1039,"&lt;="&amp;AA396)</f>
        <v/>
      </c>
      <c r="AK396" s="84">
        <f>D47</f>
        <v/>
      </c>
      <c r="AL396" s="84">
        <f>D53</f>
        <v/>
      </c>
      <c r="AM396" s="84">
        <f>MAX(0,AJ396-AK396)</f>
        <v/>
      </c>
      <c r="AN396" s="84">
        <f>IF(AM396=0,AH396,IF(AM396&gt;=AH396,0,AH396-AM396))</f>
        <v/>
      </c>
      <c r="AO396" s="84">
        <f>IF(AM396&gt;=AH396,AI396,AI396*AM396/AH396)</f>
        <v/>
      </c>
      <c r="AP396">
        <f t="array" ref="AP396">INDEX($AU$8:$BB$25,6*(R396-1)+MATCH(AB396,$AS$8:$AS$13,0),MATCH(O396,$AU$7:$BB$7,0))</f>
        <v/>
      </c>
    </row>
    <row r="397" ht="14.25" customHeight="1">
      <c r="O397" s="43" t="inlineStr">
        <is>
          <t>Q4’26</t>
        </is>
      </c>
      <c r="P397" s="43" t="n">
        <v>1</v>
      </c>
      <c r="Q397" s="43" t="n">
        <v>1</v>
      </c>
      <c r="R397" s="43" t="n">
        <v>3</v>
      </c>
      <c r="S397" s="45" t="n">
        <v>568.693628206291</v>
      </c>
      <c r="T397">
        <f>(S395+S396+S397)=Q2</f>
        <v/>
      </c>
      <c r="X397" s="84" t="n">
        <v>0</v>
      </c>
      <c r="Y397" s="83" t="n">
        <v>0</v>
      </c>
      <c r="AA397" s="84" t="n">
        <v>4</v>
      </c>
      <c r="AB397" s="84" t="inlineStr">
        <is>
          <t>D</t>
        </is>
      </c>
      <c r="AC397" s="84" t="inlineStr">
        <is>
          <t>D+</t>
        </is>
      </c>
      <c r="AD397" s="84" t="n">
        <v>14</v>
      </c>
      <c r="AE397" s="84" t="n">
        <v>12</v>
      </c>
      <c r="AF397" s="84" t="n">
        <v>0.8</v>
      </c>
      <c r="AG397" s="84" t="n">
        <v>0.88</v>
      </c>
      <c r="AH397" s="84" t="n">
        <v>0</v>
      </c>
      <c r="AI397" s="84" t="n">
        <v>0</v>
      </c>
      <c r="AJ397" s="84">
        <f>SUMIFS(AH$8:AH$1039,$O$8:$O$1039,O397,$AB$8:$AB$1039,AB397,$R$8:$R$1039,R397,$AA$8:$AA$1039,"&lt;="&amp;AA397)</f>
        <v/>
      </c>
      <c r="AK397" s="84">
        <f>E47</f>
        <v/>
      </c>
      <c r="AL397" s="84">
        <f>E53</f>
        <v/>
      </c>
      <c r="AM397" s="84">
        <f>MAX(0,AJ397-AK397)</f>
        <v/>
      </c>
      <c r="AN397" s="84">
        <f>IF(AM397=0,AH397,IF(AM397&gt;=AH397,0,AH397-AM397))</f>
        <v/>
      </c>
      <c r="AO397" s="84">
        <f>IF(AM397&gt;=AH397,AI397,AI397*AM397/AH397)</f>
        <v/>
      </c>
      <c r="AP397">
        <f t="array" ref="AP397">INDEX($AU$8:$BB$25,6*(R397-1)+MATCH(AB397,$AS$8:$AS$13,0),MATCH(O397,$AU$7:$BB$7,0))</f>
        <v/>
      </c>
    </row>
    <row r="398" ht="14.25" customHeight="1">
      <c r="O398" s="43" t="inlineStr">
        <is>
          <t>Q4’26</t>
        </is>
      </c>
      <c r="P398" s="43" t="n">
        <v>1</v>
      </c>
      <c r="Q398" s="43" t="n">
        <v>2</v>
      </c>
      <c r="R398" s="43" t="n">
        <v>1</v>
      </c>
      <c r="S398" s="45" t="n">
        <v>5409.919506933744</v>
      </c>
      <c r="T398">
        <f>(S398+S399+S400)=Q2</f>
        <v/>
      </c>
      <c r="X398" s="84">
        <f>MAX(S395-S398,0)</f>
        <v/>
      </c>
      <c r="Y398" s="83" t="n">
        <v>0</v>
      </c>
      <c r="AA398" s="84" t="n">
        <v>10</v>
      </c>
      <c r="AB398" s="84" t="inlineStr">
        <is>
          <t>F</t>
        </is>
      </c>
      <c r="AC398" s="84" t="inlineStr">
        <is>
          <t>F+</t>
        </is>
      </c>
      <c r="AD398" s="84" t="n">
        <v>25</v>
      </c>
      <c r="AE398" s="84" t="n">
        <v>21</v>
      </c>
      <c r="AF398" s="84" t="n">
        <v>0.8</v>
      </c>
      <c r="AG398" s="84" t="n">
        <v>0.9</v>
      </c>
      <c r="AH398" s="84" t="n">
        <v>0</v>
      </c>
      <c r="AI398" s="84" t="n">
        <v>0</v>
      </c>
      <c r="AJ398" s="84">
        <f>SUMIFS(AH$8:AH$1039,$O$8:$O$1039,O398,$AB$8:$AB$1039,AB398,$R$8:$R$1039,R398,$AA$8:$AA$1039,"&lt;="&amp;AA398)</f>
        <v/>
      </c>
      <c r="AK398" s="84">
        <f>C49</f>
        <v/>
      </c>
      <c r="AL398" s="84">
        <f>C55</f>
        <v/>
      </c>
      <c r="AM398" s="84">
        <f>MAX(0,AJ398-AK398)</f>
        <v/>
      </c>
      <c r="AN398" s="84">
        <f>IF(AM398=0,AH398,IF(AM398&gt;=AH398,0,AH398-AM398))</f>
        <v/>
      </c>
      <c r="AO398" s="84">
        <f>IF(AM398&gt;=AH398,AI398,AI398*AM398/AH398)</f>
        <v/>
      </c>
      <c r="AP398">
        <f t="array" ref="AP398">INDEX($AU$8:$BB$25,6*(R398-1)+MATCH(AB398,$AS$8:$AS$13,0),MATCH(O398,$AU$7:$BB$7,0))</f>
        <v/>
      </c>
    </row>
    <row r="399" ht="14.25" customHeight="1">
      <c r="O399" s="43" t="inlineStr">
        <is>
          <t>Q4’26</t>
        </is>
      </c>
      <c r="P399" s="43" t="n">
        <v>1</v>
      </c>
      <c r="Q399" s="43" t="n">
        <v>2</v>
      </c>
      <c r="R399" s="43" t="n">
        <v>2</v>
      </c>
      <c r="S399" s="45" t="n">
        <v>1521.386864859965</v>
      </c>
      <c r="T399">
        <f>(S398+S399+S400)=Q2</f>
        <v/>
      </c>
      <c r="X399" s="84">
        <f>MAX(S396-S399,0)</f>
        <v/>
      </c>
      <c r="Y399" s="83" t="n">
        <v>0</v>
      </c>
      <c r="AA399" s="84" t="n">
        <v>10</v>
      </c>
      <c r="AB399" s="84" t="inlineStr">
        <is>
          <t>F</t>
        </is>
      </c>
      <c r="AC399" s="84" t="inlineStr">
        <is>
          <t>F+</t>
        </is>
      </c>
      <c r="AD399" s="84" t="n">
        <v>25</v>
      </c>
      <c r="AE399" s="84" t="n">
        <v>21</v>
      </c>
      <c r="AF399" s="84" t="n">
        <v>0.8</v>
      </c>
      <c r="AG399" s="84" t="n">
        <v>0.9</v>
      </c>
      <c r="AH399" s="84" t="n">
        <v>0</v>
      </c>
      <c r="AI399" s="84" t="n">
        <v>0</v>
      </c>
      <c r="AJ399" s="84">
        <f>SUMIFS(AH$8:AH$1039,$O$8:$O$1039,O399,$AB$8:$AB$1039,AB399,$R$8:$R$1039,R399,$AA$8:$AA$1039,"&lt;="&amp;AA399)</f>
        <v/>
      </c>
      <c r="AK399" s="84">
        <f>D49</f>
        <v/>
      </c>
      <c r="AL399" s="84">
        <f>D55</f>
        <v/>
      </c>
      <c r="AM399" s="84">
        <f>MAX(0,AJ399-AK399)</f>
        <v/>
      </c>
      <c r="AN399" s="84">
        <f>IF(AM399=0,AH399,IF(AM399&gt;=AH399,0,AH399-AM399))</f>
        <v/>
      </c>
      <c r="AO399" s="84">
        <f>IF(AM399&gt;=AH399,AI399,AI399*AM399/AH399)</f>
        <v/>
      </c>
      <c r="AP399">
        <f t="array" ref="AP399">INDEX($AU$8:$BB$25,6*(R399-1)+MATCH(AB399,$AS$8:$AS$13,0),MATCH(O399,$AU$7:$BB$7,0))</f>
        <v/>
      </c>
    </row>
    <row r="400" ht="14.25" customHeight="1">
      <c r="O400" s="43" t="inlineStr">
        <is>
          <t>Q4’26</t>
        </is>
      </c>
      <c r="P400" s="43" t="n">
        <v>1</v>
      </c>
      <c r="Q400" s="43" t="n">
        <v>2</v>
      </c>
      <c r="R400" s="43" t="n">
        <v>3</v>
      </c>
      <c r="S400" s="45" t="n">
        <v>568.693628206291</v>
      </c>
      <c r="T400">
        <f>(S398+S399+S400)=Q2</f>
        <v/>
      </c>
      <c r="X400" s="84">
        <f>MAX(S397-S400,0)</f>
        <v/>
      </c>
      <c r="Y400" s="83" t="n">
        <v>0</v>
      </c>
      <c r="AA400" s="84" t="n">
        <v>10</v>
      </c>
      <c r="AB400" s="84" t="inlineStr">
        <is>
          <t>F</t>
        </is>
      </c>
      <c r="AC400" s="84" t="inlineStr">
        <is>
          <t>F+</t>
        </is>
      </c>
      <c r="AD400" s="84" t="n">
        <v>25</v>
      </c>
      <c r="AE400" s="84" t="n">
        <v>21</v>
      </c>
      <c r="AF400" s="84" t="n">
        <v>0.8</v>
      </c>
      <c r="AG400" s="84" t="n">
        <v>0.9</v>
      </c>
      <c r="AH400" s="84" t="n">
        <v>0</v>
      </c>
      <c r="AI400" s="84" t="n">
        <v>0</v>
      </c>
      <c r="AJ400" s="84">
        <f>SUMIFS(AH$8:AH$1039,$O$8:$O$1039,O400,$AB$8:$AB$1039,AB400,$R$8:$R$1039,R400,$AA$8:$AA$1039,"&lt;="&amp;AA400)</f>
        <v/>
      </c>
      <c r="AK400" s="84">
        <f>E49</f>
        <v/>
      </c>
      <c r="AL400" s="84">
        <f>E55</f>
        <v/>
      </c>
      <c r="AM400" s="84">
        <f>MAX(0,AJ400-AK400)</f>
        <v/>
      </c>
      <c r="AN400" s="84">
        <f>IF(AM400=0,AH400,IF(AM400&gt;=AH400,0,AH400-AM400))</f>
        <v/>
      </c>
      <c r="AO400" s="84">
        <f>IF(AM400&gt;=AH400,AI400,AI400*AM400/AH400)</f>
        <v/>
      </c>
      <c r="AP400">
        <f t="array" ref="AP400">INDEX($AU$8:$BB$25,6*(R400-1)+MATCH(AB400,$AS$8:$AS$13,0),MATCH(O400,$AU$7:$BB$7,0))</f>
        <v/>
      </c>
    </row>
    <row r="401" ht="14.25" customHeight="1">
      <c r="O401" s="43" t="inlineStr">
        <is>
          <t>Q4’26</t>
        </is>
      </c>
      <c r="P401" s="43" t="n">
        <v>1</v>
      </c>
      <c r="Q401" s="43" t="n">
        <v>3</v>
      </c>
      <c r="R401" s="43" t="n">
        <v>1</v>
      </c>
      <c r="S401" s="45" t="n">
        <v>5409.919506933744</v>
      </c>
      <c r="T401">
        <f>(S401+S402+S403)=Q2</f>
        <v/>
      </c>
      <c r="X401" s="84">
        <f>MAX(S398-S401,0)</f>
        <v/>
      </c>
      <c r="Y401" s="83" t="n">
        <v>0</v>
      </c>
      <c r="AA401" s="84" t="n">
        <v>8</v>
      </c>
      <c r="AB401" s="84" t="inlineStr">
        <is>
          <t>F</t>
        </is>
      </c>
      <c r="AC401" s="84" t="inlineStr">
        <is>
          <t>F+</t>
        </is>
      </c>
      <c r="AD401" s="84" t="n">
        <v>27</v>
      </c>
      <c r="AE401" s="84" t="n">
        <v>23</v>
      </c>
      <c r="AF401" s="84" t="n">
        <v>0.8</v>
      </c>
      <c r="AG401" s="84" t="n">
        <v>0.9</v>
      </c>
      <c r="AH401" s="84" t="n">
        <v>0</v>
      </c>
      <c r="AI401" s="84" t="n">
        <v>0</v>
      </c>
      <c r="AJ401" s="84">
        <f>SUMIFS(AH$8:AH$1039,$O$8:$O$1039,O401,$AB$8:$AB$1039,AB401,$R$8:$R$1039,R401,$AA$8:$AA$1039,"&lt;="&amp;AA401)</f>
        <v/>
      </c>
      <c r="AK401" s="84">
        <f>C49</f>
        <v/>
      </c>
      <c r="AL401" s="84">
        <f>C55</f>
        <v/>
      </c>
      <c r="AM401" s="84">
        <f>MAX(0,AJ401-AK401)</f>
        <v/>
      </c>
      <c r="AN401" s="84">
        <f>IF(AM401=0,AH401,IF(AM401&gt;=AH401,0,AH401-AM401))</f>
        <v/>
      </c>
      <c r="AO401" s="84">
        <f>IF(AM401&gt;=AH401,AI401,AI401*AM401/AH401)</f>
        <v/>
      </c>
      <c r="AP401">
        <f t="array" ref="AP401">INDEX($AU$8:$BB$25,6*(R401-1)+MATCH(AB401,$AS$8:$AS$13,0),MATCH(O401,$AU$7:$BB$7,0))</f>
        <v/>
      </c>
    </row>
    <row r="402" ht="14.25" customHeight="1">
      <c r="O402" s="43" t="inlineStr">
        <is>
          <t>Q4’26</t>
        </is>
      </c>
      <c r="P402" s="43" t="n">
        <v>1</v>
      </c>
      <c r="Q402" s="43" t="n">
        <v>3</v>
      </c>
      <c r="R402" s="43" t="n">
        <v>2</v>
      </c>
      <c r="S402" s="45" t="n">
        <v>1521.386864859965</v>
      </c>
      <c r="T402">
        <f>(S401+S402+S403)=Q2</f>
        <v/>
      </c>
      <c r="X402" s="84">
        <f>MAX(S399-S402,0)</f>
        <v/>
      </c>
      <c r="Y402" s="83" t="n">
        <v>0</v>
      </c>
      <c r="AA402" s="84" t="n">
        <v>8</v>
      </c>
      <c r="AB402" s="84" t="inlineStr">
        <is>
          <t>F</t>
        </is>
      </c>
      <c r="AC402" s="84" t="inlineStr">
        <is>
          <t>F+</t>
        </is>
      </c>
      <c r="AD402" s="84" t="n">
        <v>27</v>
      </c>
      <c r="AE402" s="84" t="n">
        <v>23</v>
      </c>
      <c r="AF402" s="84" t="n">
        <v>0.8</v>
      </c>
      <c r="AG402" s="84" t="n">
        <v>0.9</v>
      </c>
      <c r="AH402" s="84" t="n">
        <v>0</v>
      </c>
      <c r="AI402" s="84" t="n">
        <v>0</v>
      </c>
      <c r="AJ402" s="84">
        <f>SUMIFS(AH$8:AH$1039,$O$8:$O$1039,O402,$AB$8:$AB$1039,AB402,$R$8:$R$1039,R402,$AA$8:$AA$1039,"&lt;="&amp;AA402)</f>
        <v/>
      </c>
      <c r="AK402" s="84">
        <f>D49</f>
        <v/>
      </c>
      <c r="AL402" s="84">
        <f>D55</f>
        <v/>
      </c>
      <c r="AM402" s="84">
        <f>MAX(0,AJ402-AK402)</f>
        <v/>
      </c>
      <c r="AN402" s="84">
        <f>IF(AM402=0,AH402,IF(AM402&gt;=AH402,0,AH402-AM402))</f>
        <v/>
      </c>
      <c r="AO402" s="84">
        <f>IF(AM402&gt;=AH402,AI402,AI402*AM402/AH402)</f>
        <v/>
      </c>
      <c r="AP402">
        <f t="array" ref="AP402">INDEX($AU$8:$BB$25,6*(R402-1)+MATCH(AB402,$AS$8:$AS$13,0),MATCH(O402,$AU$7:$BB$7,0))</f>
        <v/>
      </c>
    </row>
    <row r="403" ht="14.25" customHeight="1">
      <c r="O403" s="43" t="inlineStr">
        <is>
          <t>Q4’26</t>
        </is>
      </c>
      <c r="P403" s="43" t="n">
        <v>1</v>
      </c>
      <c r="Q403" s="43" t="n">
        <v>3</v>
      </c>
      <c r="R403" s="43" t="n">
        <v>3</v>
      </c>
      <c r="S403" s="45" t="n">
        <v>568.693628206291</v>
      </c>
      <c r="T403">
        <f>(S401+S402+S403)=Q2</f>
        <v/>
      </c>
      <c r="X403" s="84">
        <f>MAX(S400-S403,0)</f>
        <v/>
      </c>
      <c r="Y403" s="83" t="n">
        <v>0</v>
      </c>
      <c r="AA403" s="84" t="n">
        <v>8</v>
      </c>
      <c r="AB403" s="84" t="inlineStr">
        <is>
          <t>F</t>
        </is>
      </c>
      <c r="AC403" s="84" t="inlineStr">
        <is>
          <t>F+</t>
        </is>
      </c>
      <c r="AD403" s="84" t="n">
        <v>27</v>
      </c>
      <c r="AE403" s="84" t="n">
        <v>23</v>
      </c>
      <c r="AF403" s="84" t="n">
        <v>0.8</v>
      </c>
      <c r="AG403" s="84" t="n">
        <v>0.9</v>
      </c>
      <c r="AH403" s="84" t="n">
        <v>0</v>
      </c>
      <c r="AI403" s="84" t="n">
        <v>0</v>
      </c>
      <c r="AJ403" s="84">
        <f>SUMIFS(AH$8:AH$1039,$O$8:$O$1039,O403,$AB$8:$AB$1039,AB403,$R$8:$R$1039,R403,$AA$8:$AA$1039,"&lt;="&amp;AA403)</f>
        <v/>
      </c>
      <c r="AK403" s="84">
        <f>E49</f>
        <v/>
      </c>
      <c r="AL403" s="84">
        <f>E55</f>
        <v/>
      </c>
      <c r="AM403" s="84">
        <f>MAX(0,AJ403-AK403)</f>
        <v/>
      </c>
      <c r="AN403" s="84">
        <f>IF(AM403=0,AH403,IF(AM403&gt;=AH403,0,AH403-AM403))</f>
        <v/>
      </c>
      <c r="AO403" s="84">
        <f>IF(AM403&gt;=AH403,AI403,AI403*AM403/AH403)</f>
        <v/>
      </c>
      <c r="AP403">
        <f t="array" ref="AP403">INDEX($AU$8:$BB$25,6*(R403-1)+MATCH(AB403,$AS$8:$AS$13,0),MATCH(O403,$AU$7:$BB$7,0))</f>
        <v/>
      </c>
    </row>
    <row r="404" ht="14.25" customHeight="1">
      <c r="O404" s="43" t="inlineStr">
        <is>
          <t>Q4’26</t>
        </is>
      </c>
      <c r="P404" s="43" t="n">
        <v>1</v>
      </c>
      <c r="Q404" s="43" t="n">
        <v>4</v>
      </c>
      <c r="R404" s="43" t="n">
        <v>1</v>
      </c>
      <c r="S404" s="45" t="n">
        <v>5409.919506933744</v>
      </c>
      <c r="T404">
        <f>(S404+S405+S406)=Q2</f>
        <v/>
      </c>
      <c r="X404" s="84">
        <f>MAX(S401-S404,0)</f>
        <v/>
      </c>
      <c r="Y404" s="83" t="n">
        <v>0</v>
      </c>
      <c r="AA404" s="84" t="n">
        <v>3</v>
      </c>
      <c r="AB404" s="84" t="inlineStr">
        <is>
          <t>A</t>
        </is>
      </c>
      <c r="AC404" s="84" t="inlineStr">
        <is>
          <t>A+</t>
        </is>
      </c>
      <c r="AD404" s="84" t="n">
        <v>20</v>
      </c>
      <c r="AE404" s="84" t="n">
        <v>16</v>
      </c>
      <c r="AF404" s="84" t="n">
        <v>0.78</v>
      </c>
      <c r="AG404" s="84" t="n">
        <v>0.84</v>
      </c>
      <c r="AH404" s="84" t="n">
        <v>0</v>
      </c>
      <c r="AI404" s="84" t="n">
        <v>0</v>
      </c>
      <c r="AJ404" s="84">
        <f>SUMIFS(AH$8:AH$1039,$O$8:$O$1039,O404,$AB$8:$AB$1039,AB404,$R$8:$R$1039,R404,$AA$8:$AA$1039,"&lt;="&amp;AA404)</f>
        <v/>
      </c>
      <c r="AK404" s="84">
        <f>C44</f>
        <v/>
      </c>
      <c r="AL404" s="84">
        <f>C50</f>
        <v/>
      </c>
      <c r="AM404" s="84">
        <f>MAX(0,AJ404-AK404)</f>
        <v/>
      </c>
      <c r="AN404" s="84">
        <f>IF(AM404=0,AH404,IF(AM404&gt;=AH404,0,AH404-AM404))</f>
        <v/>
      </c>
      <c r="AO404" s="84">
        <f>IF(AM404&gt;=AH404,AI404,AI404*AM404/AH404)</f>
        <v/>
      </c>
      <c r="AP404">
        <f t="array" ref="AP404">INDEX($AU$8:$BB$25,6*(R404-1)+MATCH(AB404,$AS$8:$AS$13,0),MATCH(O404,$AU$7:$BB$7,0))</f>
        <v/>
      </c>
    </row>
    <row r="405" ht="14.25" customHeight="1">
      <c r="O405" s="43" t="inlineStr">
        <is>
          <t>Q4’26</t>
        </is>
      </c>
      <c r="P405" s="43" t="n">
        <v>1</v>
      </c>
      <c r="Q405" s="43" t="n">
        <v>4</v>
      </c>
      <c r="R405" s="43" t="n">
        <v>2</v>
      </c>
      <c r="S405" s="45" t="n">
        <v>2090.080493066257</v>
      </c>
      <c r="T405">
        <f>(S404+S405+S406)=Q2</f>
        <v/>
      </c>
      <c r="X405" s="84">
        <f>MAX(S402-S405,0)</f>
        <v/>
      </c>
      <c r="Y405" s="83" t="n">
        <v>0</v>
      </c>
      <c r="AA405" s="84" t="n">
        <v>3</v>
      </c>
      <c r="AB405" s="84" t="inlineStr">
        <is>
          <t>A</t>
        </is>
      </c>
      <c r="AC405" s="84" t="inlineStr">
        <is>
          <t>A+</t>
        </is>
      </c>
      <c r="AD405" s="84" t="n">
        <v>20</v>
      </c>
      <c r="AE405" s="84" t="n">
        <v>16</v>
      </c>
      <c r="AF405" s="84" t="n">
        <v>0.78</v>
      </c>
      <c r="AG405" s="84" t="n">
        <v>0.84</v>
      </c>
      <c r="AH405" s="84" t="n">
        <v>0</v>
      </c>
      <c r="AI405" s="84" t="n">
        <v>0</v>
      </c>
      <c r="AJ405" s="84">
        <f>SUMIFS(AH$8:AH$1039,$O$8:$O$1039,O405,$AB$8:$AB$1039,AB405,$R$8:$R$1039,R405,$AA$8:$AA$1039,"&lt;="&amp;AA405)</f>
        <v/>
      </c>
      <c r="AK405" s="84">
        <f>D44</f>
        <v/>
      </c>
      <c r="AL405" s="84">
        <f>D50</f>
        <v/>
      </c>
      <c r="AM405" s="84">
        <f>MAX(0,AJ405-AK405)</f>
        <v/>
      </c>
      <c r="AN405" s="84">
        <f>IF(AM405=0,AH405,IF(AM405&gt;=AH405,0,AH405-AM405))</f>
        <v/>
      </c>
      <c r="AO405" s="84">
        <f>IF(AM405&gt;=AH405,AI405,AI405*AM405/AH405)</f>
        <v/>
      </c>
      <c r="AP405">
        <f t="array" ref="AP405">INDEX($AU$8:$BB$25,6*(R405-1)+MATCH(AB405,$AS$8:$AS$13,0),MATCH(O405,$AU$7:$BB$7,0))</f>
        <v/>
      </c>
    </row>
    <row r="406" ht="14.25" customHeight="1">
      <c r="O406" s="43" t="inlineStr">
        <is>
          <t>Q4’26</t>
        </is>
      </c>
      <c r="P406" s="43" t="n">
        <v>1</v>
      </c>
      <c r="Q406" s="43" t="n">
        <v>4</v>
      </c>
      <c r="R406" s="43" t="n">
        <v>3</v>
      </c>
      <c r="S406" s="45" t="n">
        <v>0</v>
      </c>
      <c r="T406">
        <f>(S404+S405+S406)=Q2</f>
        <v/>
      </c>
      <c r="X406" s="84">
        <f>MAX(S403-S406,0)</f>
        <v/>
      </c>
      <c r="Y406" s="83" t="n">
        <v>0</v>
      </c>
      <c r="AA406" s="84" t="n">
        <v>3</v>
      </c>
      <c r="AB406" s="84" t="inlineStr">
        <is>
          <t>A</t>
        </is>
      </c>
      <c r="AC406" s="84" t="inlineStr">
        <is>
          <t>A+</t>
        </is>
      </c>
      <c r="AD406" s="84" t="n">
        <v>20</v>
      </c>
      <c r="AE406" s="84" t="n">
        <v>16</v>
      </c>
      <c r="AF406" s="84" t="n">
        <v>0.78</v>
      </c>
      <c r="AG406" s="84" t="n">
        <v>0.84</v>
      </c>
      <c r="AH406" s="84" t="n">
        <v>0</v>
      </c>
      <c r="AI406" s="84" t="n">
        <v>0</v>
      </c>
      <c r="AJ406" s="84">
        <f>SUMIFS(AH$8:AH$1039,$O$8:$O$1039,O406,$AB$8:$AB$1039,AB406,$R$8:$R$1039,R406,$AA$8:$AA$1039,"&lt;="&amp;AA406)</f>
        <v/>
      </c>
      <c r="AK406" s="84">
        <f>E44</f>
        <v/>
      </c>
      <c r="AL406" s="84">
        <f>E50</f>
        <v/>
      </c>
      <c r="AM406" s="84">
        <f>MAX(0,AJ406-AK406)</f>
        <v/>
      </c>
      <c r="AN406" s="84">
        <f>IF(AM406=0,AH406,IF(AM406&gt;=AH406,0,AH406-AM406))</f>
        <v/>
      </c>
      <c r="AO406" s="84">
        <f>IF(AM406&gt;=AH406,AI406,AI406*AM406/AH406)</f>
        <v/>
      </c>
      <c r="AP406">
        <f t="array" ref="AP406">INDEX($AU$8:$BB$25,6*(R406-1)+MATCH(AB406,$AS$8:$AS$13,0),MATCH(O406,$AU$7:$BB$7,0))</f>
        <v/>
      </c>
    </row>
    <row r="407" ht="14.25" customHeight="1">
      <c r="O407" s="43" t="inlineStr">
        <is>
          <t>Q4’26</t>
        </is>
      </c>
      <c r="P407" s="43" t="n">
        <v>1</v>
      </c>
      <c r="Q407" s="43" t="n">
        <v>5</v>
      </c>
      <c r="R407" s="43" t="n">
        <v>1</v>
      </c>
      <c r="S407" s="45" t="n">
        <v>5409.919506933744</v>
      </c>
      <c r="T407">
        <f>(S407+S408+S409)=Q2</f>
        <v/>
      </c>
      <c r="X407" s="84">
        <f>MAX(S404-S407,0)</f>
        <v/>
      </c>
      <c r="Y407" s="83" t="n">
        <v>0</v>
      </c>
      <c r="AA407" s="84" t="n">
        <v>11</v>
      </c>
      <c r="AB407" s="84" t="inlineStr">
        <is>
          <t>F</t>
        </is>
      </c>
      <c r="AC407" s="84" t="inlineStr">
        <is>
          <t>F+</t>
        </is>
      </c>
      <c r="AD407" s="84" t="n">
        <v>12</v>
      </c>
      <c r="AE407" s="84" t="n">
        <v>9</v>
      </c>
      <c r="AF407" s="84" t="n">
        <v>0.8</v>
      </c>
      <c r="AG407" s="84" t="n">
        <v>0.9</v>
      </c>
      <c r="AH407" s="84" t="n">
        <v>0</v>
      </c>
      <c r="AI407" s="84" t="n">
        <v>0</v>
      </c>
      <c r="AJ407" s="84">
        <f>SUMIFS(AH$8:AH$1039,$O$8:$O$1039,O407,$AB$8:$AB$1039,AB407,$R$8:$R$1039,R407,$AA$8:$AA$1039,"&lt;="&amp;AA407)</f>
        <v/>
      </c>
      <c r="AK407" s="84">
        <f>C49</f>
        <v/>
      </c>
      <c r="AL407" s="84">
        <f>C55</f>
        <v/>
      </c>
      <c r="AM407" s="84">
        <f>MAX(0,AJ407-AK407)</f>
        <v/>
      </c>
      <c r="AN407" s="84">
        <f>IF(AM407=0,AH407,IF(AM407&gt;=AH407,0,AH407-AM407))</f>
        <v/>
      </c>
      <c r="AO407" s="84">
        <f>IF(AM407&gt;=AH407,AI407,AI407*AM407/AH407)</f>
        <v/>
      </c>
      <c r="AP407">
        <f t="array" ref="AP407">INDEX($AU$8:$BB$25,6*(R407-1)+MATCH(AB407,$AS$8:$AS$13,0),MATCH(O407,$AU$7:$BB$7,0))</f>
        <v/>
      </c>
    </row>
    <row r="408" ht="14.25" customHeight="1">
      <c r="O408" s="43" t="inlineStr">
        <is>
          <t>Q4’26</t>
        </is>
      </c>
      <c r="P408" s="43" t="n">
        <v>1</v>
      </c>
      <c r="Q408" s="43" t="n">
        <v>5</v>
      </c>
      <c r="R408" s="43" t="n">
        <v>2</v>
      </c>
      <c r="S408" s="45" t="n">
        <v>2090.080493066257</v>
      </c>
      <c r="T408">
        <f>(S407+S408+S409)=Q2</f>
        <v/>
      </c>
      <c r="X408" s="84">
        <f>MAX(S405-S408,0)</f>
        <v/>
      </c>
      <c r="Y408" s="83" t="n">
        <v>0</v>
      </c>
      <c r="AA408" s="84" t="n">
        <v>11</v>
      </c>
      <c r="AB408" s="84" t="inlineStr">
        <is>
          <t>F</t>
        </is>
      </c>
      <c r="AC408" s="84" t="inlineStr">
        <is>
          <t>F+</t>
        </is>
      </c>
      <c r="AD408" s="84" t="n">
        <v>12</v>
      </c>
      <c r="AE408" s="84" t="n">
        <v>9</v>
      </c>
      <c r="AF408" s="84" t="n">
        <v>0.8</v>
      </c>
      <c r="AG408" s="84" t="n">
        <v>0.9</v>
      </c>
      <c r="AH408" s="84" t="n">
        <v>0</v>
      </c>
      <c r="AI408" s="84" t="n">
        <v>0</v>
      </c>
      <c r="AJ408" s="84">
        <f>SUMIFS(AH$8:AH$1039,$O$8:$O$1039,O408,$AB$8:$AB$1039,AB408,$R$8:$R$1039,R408,$AA$8:$AA$1039,"&lt;="&amp;AA408)</f>
        <v/>
      </c>
      <c r="AK408" s="84">
        <f>D49</f>
        <v/>
      </c>
      <c r="AL408" s="84">
        <f>D55</f>
        <v/>
      </c>
      <c r="AM408" s="84">
        <f>MAX(0,AJ408-AK408)</f>
        <v/>
      </c>
      <c r="AN408" s="84">
        <f>IF(AM408=0,AH408,IF(AM408&gt;=AH408,0,AH408-AM408))</f>
        <v/>
      </c>
      <c r="AO408" s="84">
        <f>IF(AM408&gt;=AH408,AI408,AI408*AM408/AH408)</f>
        <v/>
      </c>
      <c r="AP408">
        <f t="array" ref="AP408">INDEX($AU$8:$BB$25,6*(R408-1)+MATCH(AB408,$AS$8:$AS$13,0),MATCH(O408,$AU$7:$BB$7,0))</f>
        <v/>
      </c>
    </row>
    <row r="409" ht="14.25" customHeight="1">
      <c r="O409" s="43" t="inlineStr">
        <is>
          <t>Q4’26</t>
        </is>
      </c>
      <c r="P409" s="43" t="n">
        <v>1</v>
      </c>
      <c r="Q409" s="43" t="n">
        <v>5</v>
      </c>
      <c r="R409" s="43" t="n">
        <v>3</v>
      </c>
      <c r="S409" s="45" t="n">
        <v>0</v>
      </c>
      <c r="T409">
        <f>(S407+S408+S409)=Q2</f>
        <v/>
      </c>
      <c r="X409" s="84">
        <f>MAX(S406-S409,0)</f>
        <v/>
      </c>
      <c r="Y409" s="83" t="n">
        <v>0</v>
      </c>
      <c r="AA409" s="84" t="n">
        <v>11</v>
      </c>
      <c r="AB409" s="84" t="inlineStr">
        <is>
          <t>F</t>
        </is>
      </c>
      <c r="AC409" s="84" t="inlineStr">
        <is>
          <t>F+</t>
        </is>
      </c>
      <c r="AD409" s="84" t="n">
        <v>12</v>
      </c>
      <c r="AE409" s="84" t="n">
        <v>9</v>
      </c>
      <c r="AF409" s="84" t="n">
        <v>0.8</v>
      </c>
      <c r="AG409" s="84" t="n">
        <v>0.9</v>
      </c>
      <c r="AH409" s="84" t="n">
        <v>0</v>
      </c>
      <c r="AI409" s="84" t="n">
        <v>0</v>
      </c>
      <c r="AJ409" s="84">
        <f>SUMIFS(AH$8:AH$1039,$O$8:$O$1039,O409,$AB$8:$AB$1039,AB409,$R$8:$R$1039,R409,$AA$8:$AA$1039,"&lt;="&amp;AA409)</f>
        <v/>
      </c>
      <c r="AK409" s="84">
        <f>E49</f>
        <v/>
      </c>
      <c r="AL409" s="84">
        <f>E55</f>
        <v/>
      </c>
      <c r="AM409" s="84">
        <f>MAX(0,AJ409-AK409)</f>
        <v/>
      </c>
      <c r="AN409" s="84">
        <f>IF(AM409=0,AH409,IF(AM409&gt;=AH409,0,AH409-AM409))</f>
        <v/>
      </c>
      <c r="AO409" s="84">
        <f>IF(AM409&gt;=AH409,AI409,AI409*AM409/AH409)</f>
        <v/>
      </c>
      <c r="AP409">
        <f t="array" ref="AP409">INDEX($AU$8:$BB$25,6*(R409-1)+MATCH(AB409,$AS$8:$AS$13,0),MATCH(O409,$AU$7:$BB$7,0))</f>
        <v/>
      </c>
    </row>
    <row r="410" ht="14.25" customHeight="1">
      <c r="O410" s="43" t="inlineStr">
        <is>
          <t>Q4’26</t>
        </is>
      </c>
      <c r="P410" s="43" t="n">
        <v>1</v>
      </c>
      <c r="Q410" s="43" t="n">
        <v>6</v>
      </c>
      <c r="R410" s="43" t="n">
        <v>1</v>
      </c>
      <c r="S410" s="45" t="n">
        <v>5409.919506933744</v>
      </c>
      <c r="T410">
        <f>(S410+S411+S412)=Q2</f>
        <v/>
      </c>
      <c r="X410" s="84">
        <f>MAX(S407-S410,0)</f>
        <v/>
      </c>
      <c r="Y410" s="83" t="n">
        <v>0</v>
      </c>
      <c r="AA410" s="84" t="n">
        <v>7</v>
      </c>
      <c r="AB410" s="84" t="inlineStr">
        <is>
          <t>D</t>
        </is>
      </c>
      <c r="AC410" s="84" t="inlineStr">
        <is>
          <t>D+</t>
        </is>
      </c>
      <c r="AD410" s="84" t="n">
        <v>27</v>
      </c>
      <c r="AE410" s="84" t="n">
        <v>21</v>
      </c>
      <c r="AF410" s="84" t="n">
        <v>0.8</v>
      </c>
      <c r="AG410" s="84" t="n">
        <v>0.88</v>
      </c>
      <c r="AH410" s="84" t="n">
        <v>0</v>
      </c>
      <c r="AI410" s="84" t="n">
        <v>0</v>
      </c>
      <c r="AJ410" s="84">
        <f>SUMIFS(AH$8:AH$1039,$O$8:$O$1039,O410,$AB$8:$AB$1039,AB410,$R$8:$R$1039,R410,$AA$8:$AA$1039,"&lt;="&amp;AA410)</f>
        <v/>
      </c>
      <c r="AK410" s="84">
        <f>C47</f>
        <v/>
      </c>
      <c r="AL410" s="84">
        <f>C53</f>
        <v/>
      </c>
      <c r="AM410" s="84">
        <f>MAX(0,AJ410-AK410)</f>
        <v/>
      </c>
      <c r="AN410" s="84">
        <f>IF(AM410=0,AH410,IF(AM410&gt;=AH410,0,AH410-AM410))</f>
        <v/>
      </c>
      <c r="AO410" s="84">
        <f>IF(AM410&gt;=AH410,AI410,AI410*AM410/AH410)</f>
        <v/>
      </c>
      <c r="AP410">
        <f t="array" ref="AP410">INDEX($AU$8:$BB$25,6*(R410-1)+MATCH(AB410,$AS$8:$AS$13,0),MATCH(O410,$AU$7:$BB$7,0))</f>
        <v/>
      </c>
    </row>
    <row r="411" ht="14.25" customHeight="1">
      <c r="O411" s="43" t="inlineStr">
        <is>
          <t>Q4’26</t>
        </is>
      </c>
      <c r="P411" s="43" t="n">
        <v>1</v>
      </c>
      <c r="Q411" s="43" t="n">
        <v>6</v>
      </c>
      <c r="R411" s="43" t="n">
        <v>2</v>
      </c>
      <c r="S411" s="45" t="n">
        <v>2090.080493066257</v>
      </c>
      <c r="T411">
        <f>(S410+S411+S412)=Q2</f>
        <v/>
      </c>
      <c r="X411" s="84">
        <f>MAX(S408-S411,0)</f>
        <v/>
      </c>
      <c r="Y411" s="83" t="n">
        <v>0</v>
      </c>
      <c r="AA411" s="84" t="n">
        <v>7</v>
      </c>
      <c r="AB411" s="84" t="inlineStr">
        <is>
          <t>D</t>
        </is>
      </c>
      <c r="AC411" s="84" t="inlineStr">
        <is>
          <t>D+</t>
        </is>
      </c>
      <c r="AD411" s="84" t="n">
        <v>27</v>
      </c>
      <c r="AE411" s="84" t="n">
        <v>21</v>
      </c>
      <c r="AF411" s="84" t="n">
        <v>0.8</v>
      </c>
      <c r="AG411" s="84" t="n">
        <v>0.88</v>
      </c>
      <c r="AH411" s="84" t="n">
        <v>0</v>
      </c>
      <c r="AI411" s="84" t="n">
        <v>0</v>
      </c>
      <c r="AJ411" s="84">
        <f>SUMIFS(AH$8:AH$1039,$O$8:$O$1039,O411,$AB$8:$AB$1039,AB411,$R$8:$R$1039,R411,$AA$8:$AA$1039,"&lt;="&amp;AA411)</f>
        <v/>
      </c>
      <c r="AK411" s="84">
        <f>D47</f>
        <v/>
      </c>
      <c r="AL411" s="84">
        <f>D53</f>
        <v/>
      </c>
      <c r="AM411" s="84">
        <f>MAX(0,AJ411-AK411)</f>
        <v/>
      </c>
      <c r="AN411" s="84">
        <f>IF(AM411=0,AH411,IF(AM411&gt;=AH411,0,AH411-AM411))</f>
        <v/>
      </c>
      <c r="AO411" s="84">
        <f>IF(AM411&gt;=AH411,AI411,AI411*AM411/AH411)</f>
        <v/>
      </c>
      <c r="AP411">
        <f t="array" ref="AP411">INDEX($AU$8:$BB$25,6*(R411-1)+MATCH(AB411,$AS$8:$AS$13,0),MATCH(O411,$AU$7:$BB$7,0))</f>
        <v/>
      </c>
    </row>
    <row r="412" ht="14.25" customHeight="1">
      <c r="O412" s="43" t="inlineStr">
        <is>
          <t>Q4’26</t>
        </is>
      </c>
      <c r="P412" s="43" t="n">
        <v>1</v>
      </c>
      <c r="Q412" s="43" t="n">
        <v>6</v>
      </c>
      <c r="R412" s="43" t="n">
        <v>3</v>
      </c>
      <c r="S412" s="45" t="n">
        <v>0</v>
      </c>
      <c r="T412">
        <f>(S410+S411+S412)=Q2</f>
        <v/>
      </c>
      <c r="X412" s="84">
        <f>MAX(S409-S412,0)</f>
        <v/>
      </c>
      <c r="Y412" s="83" t="n">
        <v>0</v>
      </c>
      <c r="AA412" s="84" t="n">
        <v>7</v>
      </c>
      <c r="AB412" s="84" t="inlineStr">
        <is>
          <t>D</t>
        </is>
      </c>
      <c r="AC412" s="84" t="inlineStr">
        <is>
          <t>D+</t>
        </is>
      </c>
      <c r="AD412" s="84" t="n">
        <v>27</v>
      </c>
      <c r="AE412" s="84" t="n">
        <v>21</v>
      </c>
      <c r="AF412" s="84" t="n">
        <v>0.8</v>
      </c>
      <c r="AG412" s="84" t="n">
        <v>0.88</v>
      </c>
      <c r="AH412" s="84" t="n">
        <v>0</v>
      </c>
      <c r="AI412" s="84" t="n">
        <v>0</v>
      </c>
      <c r="AJ412" s="84">
        <f>SUMIFS(AH$8:AH$1039,$O$8:$O$1039,O412,$AB$8:$AB$1039,AB412,$R$8:$R$1039,R412,$AA$8:$AA$1039,"&lt;="&amp;AA412)</f>
        <v/>
      </c>
      <c r="AK412" s="84">
        <f>E47</f>
        <v/>
      </c>
      <c r="AL412" s="84">
        <f>E53</f>
        <v/>
      </c>
      <c r="AM412" s="84">
        <f>MAX(0,AJ412-AK412)</f>
        <v/>
      </c>
      <c r="AN412" s="84">
        <f>IF(AM412=0,AH412,IF(AM412&gt;=AH412,0,AH412-AM412))</f>
        <v/>
      </c>
      <c r="AO412" s="84">
        <f>IF(AM412&gt;=AH412,AI412,AI412*AM412/AH412)</f>
        <v/>
      </c>
      <c r="AP412">
        <f t="array" ref="AP412">INDEX($AU$8:$BB$25,6*(R412-1)+MATCH(AB412,$AS$8:$AS$13,0),MATCH(O412,$AU$7:$BB$7,0))</f>
        <v/>
      </c>
    </row>
    <row r="413" ht="14.25" customHeight="1">
      <c r="O413" s="43" t="inlineStr">
        <is>
          <t>Q4’26</t>
        </is>
      </c>
      <c r="P413" s="43" t="n">
        <v>1</v>
      </c>
      <c r="Q413" s="43" t="n">
        <v>7</v>
      </c>
      <c r="R413" s="43" t="n">
        <v>1</v>
      </c>
      <c r="S413" s="45" t="n">
        <v>5409.919506933744</v>
      </c>
      <c r="T413">
        <f>(S413+S414+S415)=Q2</f>
        <v/>
      </c>
      <c r="X413" s="84">
        <f>MAX(S410-S413,0)</f>
        <v/>
      </c>
      <c r="Y413" s="83" t="n">
        <v>0</v>
      </c>
      <c r="AA413" s="84" t="n">
        <v>9</v>
      </c>
      <c r="AB413" s="84" t="inlineStr">
        <is>
          <t>D</t>
        </is>
      </c>
      <c r="AC413" s="84" t="inlineStr">
        <is>
          <t>D+</t>
        </is>
      </c>
      <c r="AD413" s="84" t="n">
        <v>17</v>
      </c>
      <c r="AE413" s="84" t="n">
        <v>13</v>
      </c>
      <c r="AF413" s="84" t="n">
        <v>0.8</v>
      </c>
      <c r="AG413" s="84" t="n">
        <v>0.88</v>
      </c>
      <c r="AH413" s="84" t="n">
        <v>0</v>
      </c>
      <c r="AI413" s="84" t="n">
        <v>0</v>
      </c>
      <c r="AJ413" s="84">
        <f>SUMIFS(AH$8:AH$1039,$O$8:$O$1039,O413,$AB$8:$AB$1039,AB413,$R$8:$R$1039,R413,$AA$8:$AA$1039,"&lt;="&amp;AA413)</f>
        <v/>
      </c>
      <c r="AK413" s="84">
        <f>C47</f>
        <v/>
      </c>
      <c r="AL413" s="84">
        <f>C53</f>
        <v/>
      </c>
      <c r="AM413" s="84">
        <f>MAX(0,AJ413-AK413)</f>
        <v/>
      </c>
      <c r="AN413" s="84">
        <f>IF(AM413=0,AH413,IF(AM413&gt;=AH413,0,AH413-AM413))</f>
        <v/>
      </c>
      <c r="AO413" s="84">
        <f>IF(AM413&gt;=AH413,AI413,AI413*AM413/AH413)</f>
        <v/>
      </c>
      <c r="AP413">
        <f t="array" ref="AP413">INDEX($AU$8:$BB$25,6*(R413-1)+MATCH(AB413,$AS$8:$AS$13,0),MATCH(O413,$AU$7:$BB$7,0))</f>
        <v/>
      </c>
    </row>
    <row r="414" ht="14.25" customHeight="1">
      <c r="O414" s="43" t="inlineStr">
        <is>
          <t>Q4’26</t>
        </is>
      </c>
      <c r="P414" s="43" t="n">
        <v>1</v>
      </c>
      <c r="Q414" s="43" t="n">
        <v>7</v>
      </c>
      <c r="R414" s="43" t="n">
        <v>2</v>
      </c>
      <c r="S414" s="45" t="n">
        <v>2090.080493066257</v>
      </c>
      <c r="T414">
        <f>(S413+S414+S415)=Q2</f>
        <v/>
      </c>
      <c r="X414" s="84">
        <f>MAX(S411-S414,0)</f>
        <v/>
      </c>
      <c r="Y414" s="83" t="n">
        <v>0</v>
      </c>
      <c r="AA414" s="84" t="n">
        <v>9</v>
      </c>
      <c r="AB414" s="84" t="inlineStr">
        <is>
          <t>D</t>
        </is>
      </c>
      <c r="AC414" s="84" t="inlineStr">
        <is>
          <t>D+</t>
        </is>
      </c>
      <c r="AD414" s="84" t="n">
        <v>17</v>
      </c>
      <c r="AE414" s="84" t="n">
        <v>13</v>
      </c>
      <c r="AF414" s="84" t="n">
        <v>0.8</v>
      </c>
      <c r="AG414" s="84" t="n">
        <v>0.88</v>
      </c>
      <c r="AH414" s="84" t="n">
        <v>0</v>
      </c>
      <c r="AI414" s="84" t="n">
        <v>0</v>
      </c>
      <c r="AJ414" s="84">
        <f>SUMIFS(AH$8:AH$1039,$O$8:$O$1039,O414,$AB$8:$AB$1039,AB414,$R$8:$R$1039,R414,$AA$8:$AA$1039,"&lt;="&amp;AA414)</f>
        <v/>
      </c>
      <c r="AK414" s="84">
        <f>D47</f>
        <v/>
      </c>
      <c r="AL414" s="84">
        <f>D53</f>
        <v/>
      </c>
      <c r="AM414" s="84">
        <f>MAX(0,AJ414-AK414)</f>
        <v/>
      </c>
      <c r="AN414" s="84">
        <f>IF(AM414=0,AH414,IF(AM414&gt;=AH414,0,AH414-AM414))</f>
        <v/>
      </c>
      <c r="AO414" s="84">
        <f>IF(AM414&gt;=AH414,AI414,AI414*AM414/AH414)</f>
        <v/>
      </c>
      <c r="AP414">
        <f t="array" ref="AP414">INDEX($AU$8:$BB$25,6*(R414-1)+MATCH(AB414,$AS$8:$AS$13,0),MATCH(O414,$AU$7:$BB$7,0))</f>
        <v/>
      </c>
    </row>
    <row r="415" ht="14.25" customHeight="1">
      <c r="O415" s="43" t="inlineStr">
        <is>
          <t>Q4’26</t>
        </is>
      </c>
      <c r="P415" s="43" t="n">
        <v>1</v>
      </c>
      <c r="Q415" s="43" t="n">
        <v>7</v>
      </c>
      <c r="R415" s="43" t="n">
        <v>3</v>
      </c>
      <c r="S415" s="45" t="n">
        <v>-0</v>
      </c>
      <c r="T415">
        <f>(S413+S414+S415)=Q2</f>
        <v/>
      </c>
      <c r="X415" s="84">
        <f>MAX(S412-S415,0)</f>
        <v/>
      </c>
      <c r="Y415" s="83" t="n">
        <v>0</v>
      </c>
      <c r="AA415" s="84" t="n">
        <v>9</v>
      </c>
      <c r="AB415" s="84" t="inlineStr">
        <is>
          <t>D</t>
        </is>
      </c>
      <c r="AC415" s="84" t="inlineStr">
        <is>
          <t>D+</t>
        </is>
      </c>
      <c r="AD415" s="84" t="n">
        <v>17</v>
      </c>
      <c r="AE415" s="84" t="n">
        <v>13</v>
      </c>
      <c r="AF415" s="84" t="n">
        <v>0.8</v>
      </c>
      <c r="AG415" s="84" t="n">
        <v>0.88</v>
      </c>
      <c r="AH415" s="84" t="n">
        <v>0</v>
      </c>
      <c r="AI415" s="84" t="n">
        <v>0</v>
      </c>
      <c r="AJ415" s="84">
        <f>SUMIFS(AH$8:AH$1039,$O$8:$O$1039,O415,$AB$8:$AB$1039,AB415,$R$8:$R$1039,R415,$AA$8:$AA$1039,"&lt;="&amp;AA415)</f>
        <v/>
      </c>
      <c r="AK415" s="84">
        <f>E47</f>
        <v/>
      </c>
      <c r="AL415" s="84">
        <f>E53</f>
        <v/>
      </c>
      <c r="AM415" s="84">
        <f>MAX(0,AJ415-AK415)</f>
        <v/>
      </c>
      <c r="AN415" s="84">
        <f>IF(AM415=0,AH415,IF(AM415&gt;=AH415,0,AH415-AM415))</f>
        <v/>
      </c>
      <c r="AO415" s="84">
        <f>IF(AM415&gt;=AH415,AI415,AI415*AM415/AH415)</f>
        <v/>
      </c>
      <c r="AP415">
        <f t="array" ref="AP415">INDEX($AU$8:$BB$25,6*(R415-1)+MATCH(AB415,$AS$8:$AS$13,0),MATCH(O415,$AU$7:$BB$7,0))</f>
        <v/>
      </c>
    </row>
    <row r="416" ht="14.25" customHeight="1">
      <c r="O416" s="43" t="inlineStr">
        <is>
          <t>Q4’26</t>
        </is>
      </c>
      <c r="P416" s="43" t="n">
        <v>1</v>
      </c>
      <c r="Q416" s="43" t="n">
        <v>8</v>
      </c>
      <c r="R416" s="43" t="n">
        <v>1</v>
      </c>
      <c r="S416" s="45" t="n">
        <v>5409.919506933744</v>
      </c>
      <c r="T416">
        <f>(S416+S417+S418)=Q2</f>
        <v/>
      </c>
      <c r="X416" s="84">
        <f>MAX(S413-S416,0)</f>
        <v/>
      </c>
      <c r="Y416" s="83" t="n">
        <v>0</v>
      </c>
      <c r="AA416" s="84" t="n">
        <v>1</v>
      </c>
      <c r="AB416" s="84" t="inlineStr">
        <is>
          <t>A</t>
        </is>
      </c>
      <c r="AC416" s="84" t="inlineStr">
        <is>
          <t>A+</t>
        </is>
      </c>
      <c r="AD416" s="84" t="n">
        <v>18</v>
      </c>
      <c r="AE416" s="84" t="n">
        <v>16</v>
      </c>
      <c r="AF416" s="84" t="n">
        <v>0.78</v>
      </c>
      <c r="AG416" s="84" t="n">
        <v>0.84</v>
      </c>
      <c r="AH416" s="84" t="n">
        <v>0</v>
      </c>
      <c r="AI416" s="84" t="n">
        <v>0</v>
      </c>
      <c r="AJ416" s="84">
        <f>SUMIFS(AH$8:AH$1039,$O$8:$O$1039,O416,$AB$8:$AB$1039,AB416,$R$8:$R$1039,R416,$AA$8:$AA$1039,"&lt;="&amp;AA416)</f>
        <v/>
      </c>
      <c r="AK416" s="84">
        <f>C44</f>
        <v/>
      </c>
      <c r="AL416" s="84">
        <f>C50</f>
        <v/>
      </c>
      <c r="AM416" s="84">
        <f>MAX(0,AJ416-AK416)</f>
        <v/>
      </c>
      <c r="AN416" s="84">
        <f>IF(AM416=0,AH416,IF(AM416&gt;=AH416,0,AH416-AM416))</f>
        <v/>
      </c>
      <c r="AO416" s="84">
        <f>IF(AM416&gt;=AH416,AI416,AI416*AM416/AH416)</f>
        <v/>
      </c>
      <c r="AP416">
        <f t="array" ref="AP416">INDEX($AU$8:$BB$25,6*(R416-1)+MATCH(AB416,$AS$8:$AS$13,0),MATCH(O416,$AU$7:$BB$7,0))</f>
        <v/>
      </c>
    </row>
    <row r="417" ht="14.25" customHeight="1">
      <c r="O417" s="43" t="inlineStr">
        <is>
          <t>Q4’26</t>
        </is>
      </c>
      <c r="P417" s="43" t="n">
        <v>1</v>
      </c>
      <c r="Q417" s="43" t="n">
        <v>8</v>
      </c>
      <c r="R417" s="43" t="n">
        <v>2</v>
      </c>
      <c r="S417" s="45" t="n">
        <v>2090.080493066257</v>
      </c>
      <c r="T417">
        <f>(S416+S417+S418)=Q2</f>
        <v/>
      </c>
      <c r="X417" s="84">
        <f>MAX(S414-S417,0)</f>
        <v/>
      </c>
      <c r="Y417" s="83" t="n">
        <v>0</v>
      </c>
      <c r="AA417" s="84" t="n">
        <v>1</v>
      </c>
      <c r="AB417" s="84" t="inlineStr">
        <is>
          <t>A</t>
        </is>
      </c>
      <c r="AC417" s="84" t="inlineStr">
        <is>
          <t>A+</t>
        </is>
      </c>
      <c r="AD417" s="84" t="n">
        <v>18</v>
      </c>
      <c r="AE417" s="84" t="n">
        <v>16</v>
      </c>
      <c r="AF417" s="84" t="n">
        <v>0.78</v>
      </c>
      <c r="AG417" s="84" t="n">
        <v>0.84</v>
      </c>
      <c r="AH417" s="84" t="n">
        <v>0</v>
      </c>
      <c r="AI417" s="84" t="n">
        <v>0</v>
      </c>
      <c r="AJ417" s="84">
        <f>SUMIFS(AH$8:AH$1039,$O$8:$O$1039,O417,$AB$8:$AB$1039,AB417,$R$8:$R$1039,R417,$AA$8:$AA$1039,"&lt;="&amp;AA417)</f>
        <v/>
      </c>
      <c r="AK417" s="84">
        <f>D44</f>
        <v/>
      </c>
      <c r="AL417" s="84">
        <f>D50</f>
        <v/>
      </c>
      <c r="AM417" s="84">
        <f>MAX(0,AJ417-AK417)</f>
        <v/>
      </c>
      <c r="AN417" s="84">
        <f>IF(AM417=0,AH417,IF(AM417&gt;=AH417,0,AH417-AM417))</f>
        <v/>
      </c>
      <c r="AO417" s="84">
        <f>IF(AM417&gt;=AH417,AI417,AI417*AM417/AH417)</f>
        <v/>
      </c>
      <c r="AP417">
        <f t="array" ref="AP417">INDEX($AU$8:$BB$25,6*(R417-1)+MATCH(AB417,$AS$8:$AS$13,0),MATCH(O417,$AU$7:$BB$7,0))</f>
        <v/>
      </c>
    </row>
    <row r="418" ht="14.25" customHeight="1">
      <c r="O418" s="43" t="inlineStr">
        <is>
          <t>Q4’26</t>
        </is>
      </c>
      <c r="P418" s="43" t="n">
        <v>1</v>
      </c>
      <c r="Q418" s="43" t="n">
        <v>8</v>
      </c>
      <c r="R418" s="43" t="n">
        <v>3</v>
      </c>
      <c r="S418" s="45" t="n">
        <v>0</v>
      </c>
      <c r="T418">
        <f>(S416+S417+S418)=Q2</f>
        <v/>
      </c>
      <c r="X418" s="84">
        <f>MAX(S415-S418,0)</f>
        <v/>
      </c>
      <c r="Y418" s="83" t="n">
        <v>0</v>
      </c>
      <c r="AA418" s="84" t="n">
        <v>1</v>
      </c>
      <c r="AB418" s="84" t="inlineStr">
        <is>
          <t>A</t>
        </is>
      </c>
      <c r="AC418" s="84" t="inlineStr">
        <is>
          <t>A+</t>
        </is>
      </c>
      <c r="AD418" s="84" t="n">
        <v>18</v>
      </c>
      <c r="AE418" s="84" t="n">
        <v>16</v>
      </c>
      <c r="AF418" s="84" t="n">
        <v>0.78</v>
      </c>
      <c r="AG418" s="84" t="n">
        <v>0.84</v>
      </c>
      <c r="AH418" s="84" t="n">
        <v>0</v>
      </c>
      <c r="AI418" s="84" t="n">
        <v>0</v>
      </c>
      <c r="AJ418" s="84">
        <f>SUMIFS(AH$8:AH$1039,$O$8:$O$1039,O418,$AB$8:$AB$1039,AB418,$R$8:$R$1039,R418,$AA$8:$AA$1039,"&lt;="&amp;AA418)</f>
        <v/>
      </c>
      <c r="AK418" s="84">
        <f>E44</f>
        <v/>
      </c>
      <c r="AL418" s="84">
        <f>E50</f>
        <v/>
      </c>
      <c r="AM418" s="84">
        <f>MAX(0,AJ418-AK418)</f>
        <v/>
      </c>
      <c r="AN418" s="84">
        <f>IF(AM418=0,AH418,IF(AM418&gt;=AH418,0,AH418-AM418))</f>
        <v/>
      </c>
      <c r="AO418" s="84">
        <f>IF(AM418&gt;=AH418,AI418,AI418*AM418/AH418)</f>
        <v/>
      </c>
      <c r="AP418">
        <f t="array" ref="AP418">INDEX($AU$8:$BB$25,6*(R418-1)+MATCH(AB418,$AS$8:$AS$13,0),MATCH(O418,$AU$7:$BB$7,0))</f>
        <v/>
      </c>
    </row>
    <row r="419" ht="14.25" customHeight="1">
      <c r="O419" s="43" t="inlineStr">
        <is>
          <t>Q4’26</t>
        </is>
      </c>
      <c r="P419" s="43" t="n">
        <v>1</v>
      </c>
      <c r="Q419" s="43" t="n">
        <v>9</v>
      </c>
      <c r="R419" s="43" t="n">
        <v>1</v>
      </c>
      <c r="S419" s="45" t="n">
        <v>5409.919506933744</v>
      </c>
      <c r="T419">
        <f>(S419+S420+S421)=Q2</f>
        <v/>
      </c>
      <c r="X419" s="84">
        <f>MAX(S416-S419,0)</f>
        <v/>
      </c>
      <c r="Y419" s="83" t="n">
        <v>0</v>
      </c>
      <c r="AA419" s="84" t="n">
        <v>2</v>
      </c>
      <c r="AB419" s="84" t="inlineStr">
        <is>
          <t>A</t>
        </is>
      </c>
      <c r="AC419" s="84" t="inlineStr">
        <is>
          <t>A+</t>
        </is>
      </c>
      <c r="AD419" s="84" t="n">
        <v>16</v>
      </c>
      <c r="AE419" s="84" t="n">
        <v>13</v>
      </c>
      <c r="AF419" s="84" t="n">
        <v>0.78</v>
      </c>
      <c r="AG419" s="84" t="n">
        <v>0.84</v>
      </c>
      <c r="AH419" s="84" t="n">
        <v>0</v>
      </c>
      <c r="AI419" s="84" t="n">
        <v>0</v>
      </c>
      <c r="AJ419" s="84">
        <f>SUMIFS(AH$8:AH$1039,$O$8:$O$1039,O419,$AB$8:$AB$1039,AB419,$R$8:$R$1039,R419,$AA$8:$AA$1039,"&lt;="&amp;AA419)</f>
        <v/>
      </c>
      <c r="AK419" s="84">
        <f>C44</f>
        <v/>
      </c>
      <c r="AL419" s="84">
        <f>C50</f>
        <v/>
      </c>
      <c r="AM419" s="84">
        <f>MAX(0,AJ419-AK419)</f>
        <v/>
      </c>
      <c r="AN419" s="84">
        <f>IF(AM419=0,AH419,IF(AM419&gt;=AH419,0,AH419-AM419))</f>
        <v/>
      </c>
      <c r="AO419" s="84">
        <f>IF(AM419&gt;=AH419,AI419,AI419*AM419/AH419)</f>
        <v/>
      </c>
      <c r="AP419">
        <f t="array" ref="AP419">INDEX($AU$8:$BB$25,6*(R419-1)+MATCH(AB419,$AS$8:$AS$13,0),MATCH(O419,$AU$7:$BB$7,0))</f>
        <v/>
      </c>
    </row>
    <row r="420" ht="14.25" customHeight="1">
      <c r="O420" s="43" t="inlineStr">
        <is>
          <t>Q4’26</t>
        </is>
      </c>
      <c r="P420" s="43" t="n">
        <v>1</v>
      </c>
      <c r="Q420" s="43" t="n">
        <v>9</v>
      </c>
      <c r="R420" s="43" t="n">
        <v>2</v>
      </c>
      <c r="S420" s="45" t="n">
        <v>2090.080493066257</v>
      </c>
      <c r="T420">
        <f>(S419+S420+S421)=Q2</f>
        <v/>
      </c>
      <c r="X420" s="84">
        <f>MAX(S417-S420,0)</f>
        <v/>
      </c>
      <c r="Y420" s="83" t="n">
        <v>0</v>
      </c>
      <c r="AA420" s="84" t="n">
        <v>2</v>
      </c>
      <c r="AB420" s="84" t="inlineStr">
        <is>
          <t>A</t>
        </is>
      </c>
      <c r="AC420" s="84" t="inlineStr">
        <is>
          <t>A+</t>
        </is>
      </c>
      <c r="AD420" s="84" t="n">
        <v>16</v>
      </c>
      <c r="AE420" s="84" t="n">
        <v>13</v>
      </c>
      <c r="AF420" s="84" t="n">
        <v>0.78</v>
      </c>
      <c r="AG420" s="84" t="n">
        <v>0.84</v>
      </c>
      <c r="AH420" s="84" t="n">
        <v>0</v>
      </c>
      <c r="AI420" s="84" t="n">
        <v>0</v>
      </c>
      <c r="AJ420" s="84">
        <f>SUMIFS(AH$8:AH$1039,$O$8:$O$1039,O420,$AB$8:$AB$1039,AB420,$R$8:$R$1039,R420,$AA$8:$AA$1039,"&lt;="&amp;AA420)</f>
        <v/>
      </c>
      <c r="AK420" s="84">
        <f>D44</f>
        <v/>
      </c>
      <c r="AL420" s="84">
        <f>D50</f>
        <v/>
      </c>
      <c r="AM420" s="84">
        <f>MAX(0,AJ420-AK420)</f>
        <v/>
      </c>
      <c r="AN420" s="84">
        <f>IF(AM420=0,AH420,IF(AM420&gt;=AH420,0,AH420-AM420))</f>
        <v/>
      </c>
      <c r="AO420" s="84">
        <f>IF(AM420&gt;=AH420,AI420,AI420*AM420/AH420)</f>
        <v/>
      </c>
      <c r="AP420">
        <f t="array" ref="AP420">INDEX($AU$8:$BB$25,6*(R420-1)+MATCH(AB420,$AS$8:$AS$13,0),MATCH(O420,$AU$7:$BB$7,0))</f>
        <v/>
      </c>
    </row>
    <row r="421" ht="14.25" customHeight="1">
      <c r="O421" s="43" t="inlineStr">
        <is>
          <t>Q4’26</t>
        </is>
      </c>
      <c r="P421" s="43" t="n">
        <v>1</v>
      </c>
      <c r="Q421" s="43" t="n">
        <v>9</v>
      </c>
      <c r="R421" s="43" t="n">
        <v>3</v>
      </c>
      <c r="S421" s="45" t="n">
        <v>0</v>
      </c>
      <c r="T421">
        <f>(S419+S420+S421)=Q2</f>
        <v/>
      </c>
      <c r="X421" s="84">
        <f>MAX(S418-S421,0)</f>
        <v/>
      </c>
      <c r="Y421" s="83" t="n">
        <v>0</v>
      </c>
      <c r="AA421" s="84" t="n">
        <v>2</v>
      </c>
      <c r="AB421" s="84" t="inlineStr">
        <is>
          <t>A</t>
        </is>
      </c>
      <c r="AC421" s="84" t="inlineStr">
        <is>
          <t>A+</t>
        </is>
      </c>
      <c r="AD421" s="84" t="n">
        <v>16</v>
      </c>
      <c r="AE421" s="84" t="n">
        <v>13</v>
      </c>
      <c r="AF421" s="84" t="n">
        <v>0.78</v>
      </c>
      <c r="AG421" s="84" t="n">
        <v>0.84</v>
      </c>
      <c r="AH421" s="84" t="n">
        <v>0</v>
      </c>
      <c r="AI421" s="84" t="n">
        <v>0</v>
      </c>
      <c r="AJ421" s="84">
        <f>SUMIFS(AH$8:AH$1039,$O$8:$O$1039,O421,$AB$8:$AB$1039,AB421,$R$8:$R$1039,R421,$AA$8:$AA$1039,"&lt;="&amp;AA421)</f>
        <v/>
      </c>
      <c r="AK421" s="84">
        <f>E44</f>
        <v/>
      </c>
      <c r="AL421" s="84">
        <f>E50</f>
        <v/>
      </c>
      <c r="AM421" s="84">
        <f>MAX(0,AJ421-AK421)</f>
        <v/>
      </c>
      <c r="AN421" s="84">
        <f>IF(AM421=0,AH421,IF(AM421&gt;=AH421,0,AH421-AM421))</f>
        <v/>
      </c>
      <c r="AO421" s="84">
        <f>IF(AM421&gt;=AH421,AI421,AI421*AM421/AH421)</f>
        <v/>
      </c>
      <c r="AP421">
        <f t="array" ref="AP421">INDEX($AU$8:$BB$25,6*(R421-1)+MATCH(AB421,$AS$8:$AS$13,0),MATCH(O421,$AU$7:$BB$7,0))</f>
        <v/>
      </c>
    </row>
    <row r="422" ht="14.25" customHeight="1">
      <c r="O422" s="43" t="inlineStr">
        <is>
          <t>Q4’26</t>
        </is>
      </c>
      <c r="P422" s="43" t="n">
        <v>1</v>
      </c>
      <c r="Q422" s="43" t="n">
        <v>10</v>
      </c>
      <c r="R422" s="43" t="n">
        <v>1</v>
      </c>
      <c r="S422" s="45" t="n">
        <v>5409.919506933744</v>
      </c>
      <c r="T422">
        <f>(S422+S423+S424)=Q2</f>
        <v/>
      </c>
      <c r="X422" s="84">
        <f>MAX(S419-S422,0)</f>
        <v/>
      </c>
      <c r="Y422" s="83" t="n">
        <v>0</v>
      </c>
      <c r="AA422" s="84" t="n">
        <v>6</v>
      </c>
      <c r="AB422" s="84" t="inlineStr">
        <is>
          <t>D</t>
        </is>
      </c>
      <c r="AC422" s="84" t="inlineStr">
        <is>
          <t>D+</t>
        </is>
      </c>
      <c r="AD422" s="84" t="n">
        <v>14</v>
      </c>
      <c r="AE422" s="84" t="n">
        <v>11</v>
      </c>
      <c r="AF422" s="84" t="n">
        <v>0.8</v>
      </c>
      <c r="AG422" s="84" t="n">
        <v>0.88</v>
      </c>
      <c r="AH422" s="84" t="n">
        <v>0</v>
      </c>
      <c r="AI422" s="84" t="n">
        <v>0</v>
      </c>
      <c r="AJ422" s="84">
        <f>SUMIFS(AH$8:AH$1039,$O$8:$O$1039,O422,$AB$8:$AB$1039,AB422,$R$8:$R$1039,R422,$AA$8:$AA$1039,"&lt;="&amp;AA422)</f>
        <v/>
      </c>
      <c r="AK422" s="84">
        <f>C47</f>
        <v/>
      </c>
      <c r="AL422" s="84">
        <f>C53</f>
        <v/>
      </c>
      <c r="AM422" s="84">
        <f>MAX(0,AJ422-AK422)</f>
        <v/>
      </c>
      <c r="AN422" s="84">
        <f>IF(AM422=0,AH422,IF(AM422&gt;=AH422,0,AH422-AM422))</f>
        <v/>
      </c>
      <c r="AO422" s="84">
        <f>IF(AM422&gt;=AH422,AI422,AI422*AM422/AH422)</f>
        <v/>
      </c>
      <c r="AP422">
        <f t="array" ref="AP422">INDEX($AU$8:$BB$25,6*(R422-1)+MATCH(AB422,$AS$8:$AS$13,0),MATCH(O422,$AU$7:$BB$7,0))</f>
        <v/>
      </c>
    </row>
    <row r="423" ht="14.25" customHeight="1">
      <c r="O423" s="43" t="inlineStr">
        <is>
          <t>Q4’26</t>
        </is>
      </c>
      <c r="P423" s="43" t="n">
        <v>1</v>
      </c>
      <c r="Q423" s="43" t="n">
        <v>10</v>
      </c>
      <c r="R423" s="43" t="n">
        <v>2</v>
      </c>
      <c r="S423" s="45" t="n">
        <v>2090.080493066257</v>
      </c>
      <c r="T423">
        <f>(S422+S423+S424)=Q2</f>
        <v/>
      </c>
      <c r="X423" s="84">
        <f>MAX(S420-S423,0)</f>
        <v/>
      </c>
      <c r="Y423" s="83" t="n">
        <v>0</v>
      </c>
      <c r="AA423" s="84" t="n">
        <v>6</v>
      </c>
      <c r="AB423" s="84" t="inlineStr">
        <is>
          <t>D</t>
        </is>
      </c>
      <c r="AC423" s="84" t="inlineStr">
        <is>
          <t>D+</t>
        </is>
      </c>
      <c r="AD423" s="84" t="n">
        <v>14</v>
      </c>
      <c r="AE423" s="84" t="n">
        <v>11</v>
      </c>
      <c r="AF423" s="84" t="n">
        <v>0.8</v>
      </c>
      <c r="AG423" s="84" t="n">
        <v>0.88</v>
      </c>
      <c r="AH423" s="84" t="n">
        <v>0</v>
      </c>
      <c r="AI423" s="84" t="n">
        <v>0</v>
      </c>
      <c r="AJ423" s="84">
        <f>SUMIFS(AH$8:AH$1039,$O$8:$O$1039,O423,$AB$8:$AB$1039,AB423,$R$8:$R$1039,R423,$AA$8:$AA$1039,"&lt;="&amp;AA423)</f>
        <v/>
      </c>
      <c r="AK423" s="84">
        <f>D47</f>
        <v/>
      </c>
      <c r="AL423" s="84">
        <f>D53</f>
        <v/>
      </c>
      <c r="AM423" s="84">
        <f>MAX(0,AJ423-AK423)</f>
        <v/>
      </c>
      <c r="AN423" s="84">
        <f>IF(AM423=0,AH423,IF(AM423&gt;=AH423,0,AH423-AM423))</f>
        <v/>
      </c>
      <c r="AO423" s="84">
        <f>IF(AM423&gt;=AH423,AI423,AI423*AM423/AH423)</f>
        <v/>
      </c>
      <c r="AP423">
        <f t="array" ref="AP423">INDEX($AU$8:$BB$25,6*(R423-1)+MATCH(AB423,$AS$8:$AS$13,0),MATCH(O423,$AU$7:$BB$7,0))</f>
        <v/>
      </c>
    </row>
    <row r="424" ht="14.25" customHeight="1">
      <c r="O424" s="43" t="inlineStr">
        <is>
          <t>Q4’26</t>
        </is>
      </c>
      <c r="P424" s="43" t="n">
        <v>1</v>
      </c>
      <c r="Q424" s="43" t="n">
        <v>10</v>
      </c>
      <c r="R424" s="43" t="n">
        <v>3</v>
      </c>
      <c r="S424" s="45" t="n">
        <v>-0</v>
      </c>
      <c r="T424">
        <f>(S422+S423+S424)=Q2</f>
        <v/>
      </c>
      <c r="X424" s="84">
        <f>MAX(S421-S424,0)</f>
        <v/>
      </c>
      <c r="Y424" s="83" t="n">
        <v>0</v>
      </c>
      <c r="AA424" s="84" t="n">
        <v>6</v>
      </c>
      <c r="AB424" s="84" t="inlineStr">
        <is>
          <t>D</t>
        </is>
      </c>
      <c r="AC424" s="84" t="inlineStr">
        <is>
          <t>D+</t>
        </is>
      </c>
      <c r="AD424" s="84" t="n">
        <v>14</v>
      </c>
      <c r="AE424" s="84" t="n">
        <v>11</v>
      </c>
      <c r="AF424" s="84" t="n">
        <v>0.8</v>
      </c>
      <c r="AG424" s="84" t="n">
        <v>0.88</v>
      </c>
      <c r="AH424" s="84" t="n">
        <v>0</v>
      </c>
      <c r="AI424" s="84" t="n">
        <v>0</v>
      </c>
      <c r="AJ424" s="84">
        <f>SUMIFS(AH$8:AH$1039,$O$8:$O$1039,O424,$AB$8:$AB$1039,AB424,$R$8:$R$1039,R424,$AA$8:$AA$1039,"&lt;="&amp;AA424)</f>
        <v/>
      </c>
      <c r="AK424" s="84">
        <f>E47</f>
        <v/>
      </c>
      <c r="AL424" s="84">
        <f>E53</f>
        <v/>
      </c>
      <c r="AM424" s="84">
        <f>MAX(0,AJ424-AK424)</f>
        <v/>
      </c>
      <c r="AN424" s="84">
        <f>IF(AM424=0,AH424,IF(AM424&gt;=AH424,0,AH424-AM424))</f>
        <v/>
      </c>
      <c r="AO424" s="84">
        <f>IF(AM424&gt;=AH424,AI424,AI424*AM424/AH424)</f>
        <v/>
      </c>
      <c r="AP424">
        <f t="array" ref="AP424">INDEX($AU$8:$BB$25,6*(R424-1)+MATCH(AB424,$AS$8:$AS$13,0),MATCH(O424,$AU$7:$BB$7,0))</f>
        <v/>
      </c>
    </row>
    <row r="425" ht="14.25" customHeight="1">
      <c r="O425" s="43" t="inlineStr">
        <is>
          <t>Q4’26</t>
        </is>
      </c>
      <c r="P425" s="43" t="n">
        <v>1</v>
      </c>
      <c r="Q425" s="43" t="n">
        <v>11</v>
      </c>
      <c r="R425" s="43" t="n">
        <v>1</v>
      </c>
      <c r="S425" s="45" t="n">
        <v>5409.919506933744</v>
      </c>
      <c r="T425">
        <f>(S425+S426+S427)=Q2</f>
        <v/>
      </c>
      <c r="X425" s="84">
        <f>MAX(S422-S425,0)</f>
        <v/>
      </c>
      <c r="Y425" s="83" t="n">
        <v>0</v>
      </c>
      <c r="AA425" s="84" t="n">
        <v>3</v>
      </c>
      <c r="AB425" s="84" t="inlineStr">
        <is>
          <t>F</t>
        </is>
      </c>
      <c r="AC425" s="84" t="inlineStr">
        <is>
          <t>F+</t>
        </is>
      </c>
      <c r="AD425" s="84" t="n">
        <v>18</v>
      </c>
      <c r="AE425" s="84" t="n">
        <v>16</v>
      </c>
      <c r="AF425" s="84" t="n">
        <v>0.8</v>
      </c>
      <c r="AG425" s="84" t="n">
        <v>0.9</v>
      </c>
      <c r="AH425" s="84" t="n">
        <v>0</v>
      </c>
      <c r="AI425" s="84" t="n">
        <v>0</v>
      </c>
      <c r="AJ425" s="84">
        <f>SUMIFS(AH$8:AH$1039,$O$8:$O$1039,O425,$AB$8:$AB$1039,AB425,$R$8:$R$1039,R425,$AA$8:$AA$1039,"&lt;="&amp;AA425)</f>
        <v/>
      </c>
      <c r="AK425" s="84">
        <f>C49</f>
        <v/>
      </c>
      <c r="AL425" s="84">
        <f>C55</f>
        <v/>
      </c>
      <c r="AM425" s="84">
        <f>MAX(0,AJ425-AK425)</f>
        <v/>
      </c>
      <c r="AN425" s="84">
        <f>IF(AM425=0,AH425,IF(AM425&gt;=AH425,0,AH425-AM425))</f>
        <v/>
      </c>
      <c r="AO425" s="84">
        <f>IF(AM425&gt;=AH425,AI425,AI425*AM425/AH425)</f>
        <v/>
      </c>
      <c r="AP425">
        <f t="array" ref="AP425">INDEX($AU$8:$BB$25,6*(R425-1)+MATCH(AB425,$AS$8:$AS$13,0),MATCH(O425,$AU$7:$BB$7,0))</f>
        <v/>
      </c>
    </row>
    <row r="426" ht="14.25" customHeight="1">
      <c r="O426" s="43" t="inlineStr">
        <is>
          <t>Q4’26</t>
        </is>
      </c>
      <c r="P426" s="43" t="n">
        <v>1</v>
      </c>
      <c r="Q426" s="43" t="n">
        <v>11</v>
      </c>
      <c r="R426" s="43" t="n">
        <v>2</v>
      </c>
      <c r="S426" s="45" t="n">
        <v>2090.080493066257</v>
      </c>
      <c r="T426">
        <f>(S425+S426+S427)=Q2</f>
        <v/>
      </c>
      <c r="X426" s="84">
        <f>MAX(S423-S426,0)</f>
        <v/>
      </c>
      <c r="Y426" s="83" t="n">
        <v>0</v>
      </c>
      <c r="AA426" s="84" t="n">
        <v>3</v>
      </c>
      <c r="AB426" s="84" t="inlineStr">
        <is>
          <t>F</t>
        </is>
      </c>
      <c r="AC426" s="84" t="inlineStr">
        <is>
          <t>F+</t>
        </is>
      </c>
      <c r="AD426" s="84" t="n">
        <v>18</v>
      </c>
      <c r="AE426" s="84" t="n">
        <v>16</v>
      </c>
      <c r="AF426" s="84" t="n">
        <v>0.8</v>
      </c>
      <c r="AG426" s="84" t="n">
        <v>0.9</v>
      </c>
      <c r="AH426" s="84" t="n">
        <v>0</v>
      </c>
      <c r="AI426" s="84" t="n">
        <v>0</v>
      </c>
      <c r="AJ426" s="84">
        <f>SUMIFS(AH$8:AH$1039,$O$8:$O$1039,O426,$AB$8:$AB$1039,AB426,$R$8:$R$1039,R426,$AA$8:$AA$1039,"&lt;="&amp;AA426)</f>
        <v/>
      </c>
      <c r="AK426" s="84">
        <f>D49</f>
        <v/>
      </c>
      <c r="AL426" s="84">
        <f>D55</f>
        <v/>
      </c>
      <c r="AM426" s="84">
        <f>MAX(0,AJ426-AK426)</f>
        <v/>
      </c>
      <c r="AN426" s="84">
        <f>IF(AM426=0,AH426,IF(AM426&gt;=AH426,0,AH426-AM426))</f>
        <v/>
      </c>
      <c r="AO426" s="84">
        <f>IF(AM426&gt;=AH426,AI426,AI426*AM426/AH426)</f>
        <v/>
      </c>
      <c r="AP426">
        <f t="array" ref="AP426">INDEX($AU$8:$BB$25,6*(R426-1)+MATCH(AB426,$AS$8:$AS$13,0),MATCH(O426,$AU$7:$BB$7,0))</f>
        <v/>
      </c>
    </row>
    <row r="427" ht="14.25" customHeight="1">
      <c r="O427" s="43" t="inlineStr">
        <is>
          <t>Q4’26</t>
        </is>
      </c>
      <c r="P427" s="43" t="n">
        <v>1</v>
      </c>
      <c r="Q427" s="43" t="n">
        <v>11</v>
      </c>
      <c r="R427" s="43" t="n">
        <v>3</v>
      </c>
      <c r="S427" s="45" t="n">
        <v>-0</v>
      </c>
      <c r="T427">
        <f>(S425+S426+S427)=Q2</f>
        <v/>
      </c>
      <c r="X427" s="84">
        <f>MAX(S424-S427,0)</f>
        <v/>
      </c>
      <c r="Y427" s="83" t="n">
        <v>0</v>
      </c>
      <c r="AA427" s="84" t="n">
        <v>3</v>
      </c>
      <c r="AB427" s="84" t="inlineStr">
        <is>
          <t>F</t>
        </is>
      </c>
      <c r="AC427" s="84" t="inlineStr">
        <is>
          <t>F+</t>
        </is>
      </c>
      <c r="AD427" s="84" t="n">
        <v>18</v>
      </c>
      <c r="AE427" s="84" t="n">
        <v>16</v>
      </c>
      <c r="AF427" s="84" t="n">
        <v>0.8</v>
      </c>
      <c r="AG427" s="84" t="n">
        <v>0.9</v>
      </c>
      <c r="AH427" s="84" t="n">
        <v>0</v>
      </c>
      <c r="AI427" s="84" t="n">
        <v>0</v>
      </c>
      <c r="AJ427" s="84">
        <f>SUMIFS(AH$8:AH$1039,$O$8:$O$1039,O427,$AB$8:$AB$1039,AB427,$R$8:$R$1039,R427,$AA$8:$AA$1039,"&lt;="&amp;AA427)</f>
        <v/>
      </c>
      <c r="AK427" s="84">
        <f>E49</f>
        <v/>
      </c>
      <c r="AL427" s="84">
        <f>E55</f>
        <v/>
      </c>
      <c r="AM427" s="84">
        <f>MAX(0,AJ427-AK427)</f>
        <v/>
      </c>
      <c r="AN427" s="84">
        <f>IF(AM427=0,AH427,IF(AM427&gt;=AH427,0,AH427-AM427))</f>
        <v/>
      </c>
      <c r="AO427" s="84">
        <f>IF(AM427&gt;=AH427,AI427,AI427*AM427/AH427)</f>
        <v/>
      </c>
      <c r="AP427">
        <f t="array" ref="AP427">INDEX($AU$8:$BB$25,6*(R427-1)+MATCH(AB427,$AS$8:$AS$13,0),MATCH(O427,$AU$7:$BB$7,0))</f>
        <v/>
      </c>
    </row>
    <row r="428" ht="14.25" customHeight="1">
      <c r="O428" s="43" t="inlineStr">
        <is>
          <t>Q4’26</t>
        </is>
      </c>
      <c r="P428" s="43" t="n">
        <v>2</v>
      </c>
      <c r="Q428" s="43" t="n">
        <v>1</v>
      </c>
      <c r="R428" s="43" t="n">
        <v>1</v>
      </c>
      <c r="S428" s="45" t="n">
        <v>3429.44</v>
      </c>
      <c r="T428">
        <f>(S428+S429+S430)=Q3</f>
        <v/>
      </c>
      <c r="X428" s="84" t="n">
        <v>0</v>
      </c>
      <c r="Y428" s="83" t="n">
        <v>0</v>
      </c>
      <c r="AA428" s="84" t="n">
        <v>9</v>
      </c>
      <c r="AB428" s="84" t="inlineStr">
        <is>
          <t>F</t>
        </is>
      </c>
      <c r="AC428" s="84" t="inlineStr">
        <is>
          <t>F+</t>
        </is>
      </c>
      <c r="AD428" s="84" t="n">
        <v>19</v>
      </c>
      <c r="AE428" s="84" t="n">
        <v>16</v>
      </c>
      <c r="AF428" s="84" t="n">
        <v>0.8</v>
      </c>
      <c r="AG428" s="84" t="n">
        <v>0.9</v>
      </c>
      <c r="AH428" s="84" t="n">
        <v>0</v>
      </c>
      <c r="AI428" s="84" t="n">
        <v>0</v>
      </c>
      <c r="AJ428" s="84">
        <f>SUMIFS(AH$8:AH$1039,$O$8:$O$1039,O428,$AB$8:$AB$1039,AB428,$R$8:$R$1039,R428,$AA$8:$AA$1039,"&lt;="&amp;AA428)</f>
        <v/>
      </c>
      <c r="AK428" s="84">
        <f>C49</f>
        <v/>
      </c>
      <c r="AL428" s="84">
        <f>C55</f>
        <v/>
      </c>
      <c r="AM428" s="84">
        <f>MAX(0,AJ428-AK428)</f>
        <v/>
      </c>
      <c r="AN428" s="84">
        <f>IF(AM428=0,AH428,IF(AM428&gt;=AH428,0,AH428-AM428))</f>
        <v/>
      </c>
      <c r="AO428" s="84">
        <f>IF(AM428&gt;=AH428,AI428,AI428*AM428/AH428)</f>
        <v/>
      </c>
      <c r="AP428">
        <f t="array" ref="AP428">INDEX($AU$8:$BB$25,6*(R428-1)+MATCH(AB428,$AS$8:$AS$13,0),MATCH(O428,$AU$7:$BB$7,0))</f>
        <v/>
      </c>
    </row>
    <row r="429" ht="14.25" customHeight="1">
      <c r="O429" s="43" t="inlineStr">
        <is>
          <t>Q4’26</t>
        </is>
      </c>
      <c r="P429" s="43" t="n">
        <v>2</v>
      </c>
      <c r="Q429" s="43" t="n">
        <v>1</v>
      </c>
      <c r="R429" s="43" t="n">
        <v>2</v>
      </c>
      <c r="S429" s="45" t="n">
        <v>2170.56</v>
      </c>
      <c r="T429">
        <f>(S428+S429+S430)=Q3</f>
        <v/>
      </c>
      <c r="X429" s="84" t="n">
        <v>0</v>
      </c>
      <c r="Y429" s="83" t="n">
        <v>0</v>
      </c>
      <c r="AA429" s="84" t="n">
        <v>9</v>
      </c>
      <c r="AB429" s="84" t="inlineStr">
        <is>
          <t>F</t>
        </is>
      </c>
      <c r="AC429" s="84" t="inlineStr">
        <is>
          <t>F+</t>
        </is>
      </c>
      <c r="AD429" s="84" t="n">
        <v>19</v>
      </c>
      <c r="AE429" s="84" t="n">
        <v>16</v>
      </c>
      <c r="AF429" s="84" t="n">
        <v>0.8</v>
      </c>
      <c r="AG429" s="84" t="n">
        <v>0.9</v>
      </c>
      <c r="AH429" s="84" t="n">
        <v>0</v>
      </c>
      <c r="AI429" s="84" t="n">
        <v>0</v>
      </c>
      <c r="AJ429" s="84">
        <f>SUMIFS(AH$8:AH$1039,$O$8:$O$1039,O429,$AB$8:$AB$1039,AB429,$R$8:$R$1039,R429,$AA$8:$AA$1039,"&lt;="&amp;AA429)</f>
        <v/>
      </c>
      <c r="AK429" s="84">
        <f>D49</f>
        <v/>
      </c>
      <c r="AL429" s="84">
        <f>D55</f>
        <v/>
      </c>
      <c r="AM429" s="84">
        <f>MAX(0,AJ429-AK429)</f>
        <v/>
      </c>
      <c r="AN429" s="84">
        <f>IF(AM429=0,AH429,IF(AM429&gt;=AH429,0,AH429-AM429))</f>
        <v/>
      </c>
      <c r="AO429" s="84">
        <f>IF(AM429&gt;=AH429,AI429,AI429*AM429/AH429)</f>
        <v/>
      </c>
      <c r="AP429">
        <f t="array" ref="AP429">INDEX($AU$8:$BB$25,6*(R429-1)+MATCH(AB429,$AS$8:$AS$13,0),MATCH(O429,$AU$7:$BB$7,0))</f>
        <v/>
      </c>
    </row>
    <row r="430" ht="14.25" customHeight="1">
      <c r="O430" s="43" t="inlineStr">
        <is>
          <t>Q4’26</t>
        </is>
      </c>
      <c r="P430" s="43" t="n">
        <v>2</v>
      </c>
      <c r="Q430" s="43" t="n">
        <v>1</v>
      </c>
      <c r="R430" s="43" t="n">
        <v>3</v>
      </c>
      <c r="S430" s="45" t="n">
        <v>0</v>
      </c>
      <c r="T430">
        <f>(S428+S429+S430)=Q3</f>
        <v/>
      </c>
      <c r="X430" s="84" t="n">
        <v>0</v>
      </c>
      <c r="Y430" s="83" t="n">
        <v>0</v>
      </c>
      <c r="AA430" s="84" t="n">
        <v>9</v>
      </c>
      <c r="AB430" s="84" t="inlineStr">
        <is>
          <t>F</t>
        </is>
      </c>
      <c r="AC430" s="84" t="inlineStr">
        <is>
          <t>F+</t>
        </is>
      </c>
      <c r="AD430" s="84" t="n">
        <v>19</v>
      </c>
      <c r="AE430" s="84" t="n">
        <v>16</v>
      </c>
      <c r="AF430" s="84" t="n">
        <v>0.8</v>
      </c>
      <c r="AG430" s="84" t="n">
        <v>0.9</v>
      </c>
      <c r="AH430" s="84" t="n">
        <v>0</v>
      </c>
      <c r="AI430" s="84" t="n">
        <v>0</v>
      </c>
      <c r="AJ430" s="84">
        <f>SUMIFS(AH$8:AH$1039,$O$8:$O$1039,O430,$AB$8:$AB$1039,AB430,$R$8:$R$1039,R430,$AA$8:$AA$1039,"&lt;="&amp;AA430)</f>
        <v/>
      </c>
      <c r="AK430" s="84">
        <f>E49</f>
        <v/>
      </c>
      <c r="AL430" s="84">
        <f>E55</f>
        <v/>
      </c>
      <c r="AM430" s="84">
        <f>MAX(0,AJ430-AK430)</f>
        <v/>
      </c>
      <c r="AN430" s="84">
        <f>IF(AM430=0,AH430,IF(AM430&gt;=AH430,0,AH430-AM430))</f>
        <v/>
      </c>
      <c r="AO430" s="84">
        <f>IF(AM430&gt;=AH430,AI430,AI430*AM430/AH430)</f>
        <v/>
      </c>
      <c r="AP430">
        <f t="array" ref="AP430">INDEX($AU$8:$BB$25,6*(R430-1)+MATCH(AB430,$AS$8:$AS$13,0),MATCH(O430,$AU$7:$BB$7,0))</f>
        <v/>
      </c>
    </row>
    <row r="431" ht="14.25" customHeight="1">
      <c r="O431" s="43" t="inlineStr">
        <is>
          <t>Q4’26</t>
        </is>
      </c>
      <c r="P431" s="43" t="n">
        <v>2</v>
      </c>
      <c r="Q431" s="43" t="n">
        <v>2</v>
      </c>
      <c r="R431" s="43" t="n">
        <v>1</v>
      </c>
      <c r="S431" s="45" t="n">
        <v>3429.44</v>
      </c>
      <c r="T431">
        <f>(S431+S432+S433)=Q3</f>
        <v/>
      </c>
      <c r="X431" s="84">
        <f>MAX(S428-S431,0)</f>
        <v/>
      </c>
      <c r="Y431" s="83" t="n">
        <v>0</v>
      </c>
      <c r="AA431" s="84" t="n">
        <v>1</v>
      </c>
      <c r="AB431" s="84" t="inlineStr">
        <is>
          <t>B</t>
        </is>
      </c>
      <c r="AC431" s="84" t="inlineStr">
        <is>
          <t>B+</t>
        </is>
      </c>
      <c r="AD431" s="84" t="n">
        <v>20</v>
      </c>
      <c r="AE431" s="84" t="n">
        <v>18</v>
      </c>
      <c r="AF431" s="84" t="n">
        <v>0.76</v>
      </c>
      <c r="AG431" s="84" t="n">
        <v>0.8100000000000001</v>
      </c>
      <c r="AH431" s="84" t="n">
        <v>0</v>
      </c>
      <c r="AI431" s="84" t="n">
        <v>0</v>
      </c>
      <c r="AJ431" s="84">
        <f>SUMIFS(AH$8:AH$1039,$O$8:$O$1039,O431,$AB$8:$AB$1039,AB431,$R$8:$R$1039,R431,$AA$8:$AA$1039,"&lt;="&amp;AA431)</f>
        <v/>
      </c>
      <c r="AK431" s="84">
        <f>C45</f>
        <v/>
      </c>
      <c r="AL431" s="84">
        <f>C51</f>
        <v/>
      </c>
      <c r="AM431" s="84">
        <f>MAX(0,AJ431-AK431)</f>
        <v/>
      </c>
      <c r="AN431" s="84">
        <f>IF(AM431=0,AH431,IF(AM431&gt;=AH431,0,AH431-AM431))</f>
        <v/>
      </c>
      <c r="AO431" s="84">
        <f>IF(AM431&gt;=AH431,AI431,AI431*AM431/AH431)</f>
        <v/>
      </c>
      <c r="AP431">
        <f t="array" ref="AP431">INDEX($AU$8:$BB$25,6*(R431-1)+MATCH(AB431,$AS$8:$AS$13,0),MATCH(O431,$AU$7:$BB$7,0))</f>
        <v/>
      </c>
    </row>
    <row r="432" ht="14.25" customHeight="1">
      <c r="O432" s="43" t="inlineStr">
        <is>
          <t>Q4’26</t>
        </is>
      </c>
      <c r="P432" s="43" t="n">
        <v>2</v>
      </c>
      <c r="Q432" s="43" t="n">
        <v>2</v>
      </c>
      <c r="R432" s="43" t="n">
        <v>2</v>
      </c>
      <c r="S432" s="45" t="n">
        <v>2170.56</v>
      </c>
      <c r="T432">
        <f>(S431+S432+S433)=Q3</f>
        <v/>
      </c>
      <c r="X432" s="84">
        <f>MAX(S429-S432,0)</f>
        <v/>
      </c>
      <c r="Y432" s="83" t="n">
        <v>0</v>
      </c>
      <c r="AA432" s="84" t="n">
        <v>1</v>
      </c>
      <c r="AB432" s="84" t="inlineStr">
        <is>
          <t>B</t>
        </is>
      </c>
      <c r="AC432" s="84" t="inlineStr">
        <is>
          <t>B+</t>
        </is>
      </c>
      <c r="AD432" s="84" t="n">
        <v>20</v>
      </c>
      <c r="AE432" s="84" t="n">
        <v>18</v>
      </c>
      <c r="AF432" s="84" t="n">
        <v>0.76</v>
      </c>
      <c r="AG432" s="84" t="n">
        <v>0.8100000000000001</v>
      </c>
      <c r="AH432" s="84" t="n">
        <v>0</v>
      </c>
      <c r="AI432" s="84" t="n">
        <v>0</v>
      </c>
      <c r="AJ432" s="84">
        <f>SUMIFS(AH$8:AH$1039,$O$8:$O$1039,O432,$AB$8:$AB$1039,AB432,$R$8:$R$1039,R432,$AA$8:$AA$1039,"&lt;="&amp;AA432)</f>
        <v/>
      </c>
      <c r="AK432" s="84">
        <f>D45</f>
        <v/>
      </c>
      <c r="AL432" s="84">
        <f>D51</f>
        <v/>
      </c>
      <c r="AM432" s="84">
        <f>MAX(0,AJ432-AK432)</f>
        <v/>
      </c>
      <c r="AN432" s="84">
        <f>IF(AM432=0,AH432,IF(AM432&gt;=AH432,0,AH432-AM432))</f>
        <v/>
      </c>
      <c r="AO432" s="84">
        <f>IF(AM432&gt;=AH432,AI432,AI432*AM432/AH432)</f>
        <v/>
      </c>
      <c r="AP432">
        <f t="array" ref="AP432">INDEX($AU$8:$BB$25,6*(R432-1)+MATCH(AB432,$AS$8:$AS$13,0),MATCH(O432,$AU$7:$BB$7,0))</f>
        <v/>
      </c>
    </row>
    <row r="433" ht="14.25" customHeight="1">
      <c r="O433" s="43" t="inlineStr">
        <is>
          <t>Q4’26</t>
        </is>
      </c>
      <c r="P433" s="43" t="n">
        <v>2</v>
      </c>
      <c r="Q433" s="43" t="n">
        <v>2</v>
      </c>
      <c r="R433" s="43" t="n">
        <v>3</v>
      </c>
      <c r="S433" s="45" t="n">
        <v>0</v>
      </c>
      <c r="T433">
        <f>(S431+S432+S433)=Q3</f>
        <v/>
      </c>
      <c r="X433" s="84">
        <f>MAX(S430-S433,0)</f>
        <v/>
      </c>
      <c r="Y433" s="83" t="n">
        <v>0</v>
      </c>
      <c r="AA433" s="84" t="n">
        <v>1</v>
      </c>
      <c r="AB433" s="84" t="inlineStr">
        <is>
          <t>B</t>
        </is>
      </c>
      <c r="AC433" s="84" t="inlineStr">
        <is>
          <t>B+</t>
        </is>
      </c>
      <c r="AD433" s="84" t="n">
        <v>20</v>
      </c>
      <c r="AE433" s="84" t="n">
        <v>18</v>
      </c>
      <c r="AF433" s="84" t="n">
        <v>0.76</v>
      </c>
      <c r="AG433" s="84" t="n">
        <v>0.8100000000000001</v>
      </c>
      <c r="AH433" s="84" t="n">
        <v>0</v>
      </c>
      <c r="AI433" s="84" t="n">
        <v>0</v>
      </c>
      <c r="AJ433" s="84">
        <f>SUMIFS(AH$8:AH$1039,$O$8:$O$1039,O433,$AB$8:$AB$1039,AB433,$R$8:$R$1039,R433,$AA$8:$AA$1039,"&lt;="&amp;AA433)</f>
        <v/>
      </c>
      <c r="AK433" s="84">
        <f>E45</f>
        <v/>
      </c>
      <c r="AL433" s="84">
        <f>E51</f>
        <v/>
      </c>
      <c r="AM433" s="84">
        <f>MAX(0,AJ433-AK433)</f>
        <v/>
      </c>
      <c r="AN433" s="84">
        <f>IF(AM433=0,AH433,IF(AM433&gt;=AH433,0,AH433-AM433))</f>
        <v/>
      </c>
      <c r="AO433" s="84">
        <f>IF(AM433&gt;=AH433,AI433,AI433*AM433/AH433)</f>
        <v/>
      </c>
      <c r="AP433">
        <f t="array" ref="AP433">INDEX($AU$8:$BB$25,6*(R433-1)+MATCH(AB433,$AS$8:$AS$13,0),MATCH(O433,$AU$7:$BB$7,0))</f>
        <v/>
      </c>
    </row>
    <row r="434" ht="14.25" customHeight="1">
      <c r="O434" s="43" t="inlineStr">
        <is>
          <t>Q4’26</t>
        </is>
      </c>
      <c r="P434" s="43" t="n">
        <v>2</v>
      </c>
      <c r="Q434" s="43" t="n">
        <v>3</v>
      </c>
      <c r="R434" s="43" t="n">
        <v>1</v>
      </c>
      <c r="S434" s="45" t="n">
        <v>3429.44</v>
      </c>
      <c r="T434">
        <f>(S434+S435+S436)=Q3</f>
        <v/>
      </c>
      <c r="X434" s="84">
        <f>MAX(S431-S434,0)</f>
        <v/>
      </c>
      <c r="Y434" s="83" t="n">
        <v>0</v>
      </c>
      <c r="AA434" s="84" t="n">
        <v>11</v>
      </c>
      <c r="AB434" s="84" t="inlineStr">
        <is>
          <t>E</t>
        </is>
      </c>
      <c r="AC434" s="84" t="inlineStr">
        <is>
          <t>E+</t>
        </is>
      </c>
      <c r="AD434" s="84" t="n">
        <v>10</v>
      </c>
      <c r="AE434" s="84" t="n">
        <v>7</v>
      </c>
      <c r="AF434" s="84" t="n">
        <v>0.76</v>
      </c>
      <c r="AG434" s="84" t="n">
        <v>0.84</v>
      </c>
      <c r="AH434" s="84" t="n">
        <v>0</v>
      </c>
      <c r="AI434" s="84" t="n">
        <v>0</v>
      </c>
      <c r="AJ434" s="84">
        <f>SUMIFS(AH$8:AH$1039,$O$8:$O$1039,O434,$AB$8:$AB$1039,AB434,$R$8:$R$1039,R434,$AA$8:$AA$1039,"&lt;="&amp;AA434)</f>
        <v/>
      </c>
      <c r="AK434" s="84">
        <f>C48</f>
        <v/>
      </c>
      <c r="AL434" s="84">
        <f>C54</f>
        <v/>
      </c>
      <c r="AM434" s="84">
        <f>MAX(0,AJ434-AK434)</f>
        <v/>
      </c>
      <c r="AN434" s="84">
        <f>IF(AM434=0,AH434,IF(AM434&gt;=AH434,0,AH434-AM434))</f>
        <v/>
      </c>
      <c r="AO434" s="84">
        <f>IF(AM434&gt;=AH434,AI434,AI434*AM434/AH434)</f>
        <v/>
      </c>
      <c r="AP434">
        <f t="array" ref="AP434">INDEX($AU$8:$BB$25,6*(R434-1)+MATCH(AB434,$AS$8:$AS$13,0),MATCH(O434,$AU$7:$BB$7,0))</f>
        <v/>
      </c>
    </row>
    <row r="435" ht="14.25" customHeight="1">
      <c r="O435" s="43" t="inlineStr">
        <is>
          <t>Q4’26</t>
        </is>
      </c>
      <c r="P435" s="43" t="n">
        <v>2</v>
      </c>
      <c r="Q435" s="43" t="n">
        <v>3</v>
      </c>
      <c r="R435" s="43" t="n">
        <v>2</v>
      </c>
      <c r="S435" s="45" t="n">
        <v>2170.56</v>
      </c>
      <c r="T435">
        <f>(S434+S435+S436)=Q3</f>
        <v/>
      </c>
      <c r="X435" s="84">
        <f>MAX(S432-S435,0)</f>
        <v/>
      </c>
      <c r="Y435" s="83" t="n">
        <v>0</v>
      </c>
      <c r="AA435" s="84" t="n">
        <v>11</v>
      </c>
      <c r="AB435" s="84" t="inlineStr">
        <is>
          <t>E</t>
        </is>
      </c>
      <c r="AC435" s="84" t="inlineStr">
        <is>
          <t>E+</t>
        </is>
      </c>
      <c r="AD435" s="84" t="n">
        <v>10</v>
      </c>
      <c r="AE435" s="84" t="n">
        <v>7</v>
      </c>
      <c r="AF435" s="84" t="n">
        <v>0.76</v>
      </c>
      <c r="AG435" s="84" t="n">
        <v>0.84</v>
      </c>
      <c r="AH435" s="84" t="n">
        <v>0</v>
      </c>
      <c r="AI435" s="84" t="n">
        <v>0</v>
      </c>
      <c r="AJ435" s="84">
        <f>SUMIFS(AH$8:AH$1039,$O$8:$O$1039,O435,$AB$8:$AB$1039,AB435,$R$8:$R$1039,R435,$AA$8:$AA$1039,"&lt;="&amp;AA435)</f>
        <v/>
      </c>
      <c r="AK435" s="84">
        <f>D48</f>
        <v/>
      </c>
      <c r="AL435" s="84">
        <f>D54</f>
        <v/>
      </c>
      <c r="AM435" s="84">
        <f>MAX(0,AJ435-AK435)</f>
        <v/>
      </c>
      <c r="AN435" s="84">
        <f>IF(AM435=0,AH435,IF(AM435&gt;=AH435,0,AH435-AM435))</f>
        <v/>
      </c>
      <c r="AO435" s="84">
        <f>IF(AM435&gt;=AH435,AI435,AI435*AM435/AH435)</f>
        <v/>
      </c>
      <c r="AP435">
        <f t="array" ref="AP435">INDEX($AU$8:$BB$25,6*(R435-1)+MATCH(AB435,$AS$8:$AS$13,0),MATCH(O435,$AU$7:$BB$7,0))</f>
        <v/>
      </c>
    </row>
    <row r="436" ht="14.25" customHeight="1">
      <c r="O436" s="43" t="inlineStr">
        <is>
          <t>Q4’26</t>
        </is>
      </c>
      <c r="P436" s="43" t="n">
        <v>2</v>
      </c>
      <c r="Q436" s="43" t="n">
        <v>3</v>
      </c>
      <c r="R436" s="43" t="n">
        <v>3</v>
      </c>
      <c r="S436" s="45" t="n">
        <v>0</v>
      </c>
      <c r="T436">
        <f>(S434+S435+S436)=Q3</f>
        <v/>
      </c>
      <c r="X436" s="84">
        <f>MAX(S433-S436,0)</f>
        <v/>
      </c>
      <c r="Y436" s="83" t="n">
        <v>0</v>
      </c>
      <c r="AA436" s="84" t="n">
        <v>11</v>
      </c>
      <c r="AB436" s="84" t="inlineStr">
        <is>
          <t>E</t>
        </is>
      </c>
      <c r="AC436" s="84" t="inlineStr">
        <is>
          <t>E+</t>
        </is>
      </c>
      <c r="AD436" s="84" t="n">
        <v>10</v>
      </c>
      <c r="AE436" s="84" t="n">
        <v>7</v>
      </c>
      <c r="AF436" s="84" t="n">
        <v>0.76</v>
      </c>
      <c r="AG436" s="84" t="n">
        <v>0.84</v>
      </c>
      <c r="AH436" s="84" t="n">
        <v>0</v>
      </c>
      <c r="AI436" s="84" t="n">
        <v>0</v>
      </c>
      <c r="AJ436" s="84">
        <f>SUMIFS(AH$8:AH$1039,$O$8:$O$1039,O436,$AB$8:$AB$1039,AB436,$R$8:$R$1039,R436,$AA$8:$AA$1039,"&lt;="&amp;AA436)</f>
        <v/>
      </c>
      <c r="AK436" s="84">
        <f>E48</f>
        <v/>
      </c>
      <c r="AL436" s="84">
        <f>E54</f>
        <v/>
      </c>
      <c r="AM436" s="84">
        <f>MAX(0,AJ436-AK436)</f>
        <v/>
      </c>
      <c r="AN436" s="84">
        <f>IF(AM436=0,AH436,IF(AM436&gt;=AH436,0,AH436-AM436))</f>
        <v/>
      </c>
      <c r="AO436" s="84">
        <f>IF(AM436&gt;=AH436,AI436,AI436*AM436/AH436)</f>
        <v/>
      </c>
      <c r="AP436">
        <f t="array" ref="AP436">INDEX($AU$8:$BB$25,6*(R436-1)+MATCH(AB436,$AS$8:$AS$13,0),MATCH(O436,$AU$7:$BB$7,0))</f>
        <v/>
      </c>
    </row>
    <row r="437" ht="14.25" customHeight="1">
      <c r="O437" s="43" t="inlineStr">
        <is>
          <t>Q4’26</t>
        </is>
      </c>
      <c r="P437" s="43" t="n">
        <v>2</v>
      </c>
      <c r="Q437" s="43" t="n">
        <v>4</v>
      </c>
      <c r="R437" s="43" t="n">
        <v>1</v>
      </c>
      <c r="S437" s="45" t="n">
        <v>3429.44</v>
      </c>
      <c r="T437">
        <f>(S437+S438+S439)=Q3</f>
        <v/>
      </c>
      <c r="X437" s="84">
        <f>MAX(S434-S437,0)</f>
        <v/>
      </c>
      <c r="Y437" s="83" t="n">
        <v>0</v>
      </c>
      <c r="AA437" s="84" t="n">
        <v>2</v>
      </c>
      <c r="AB437" s="84" t="inlineStr">
        <is>
          <t>B</t>
        </is>
      </c>
      <c r="AC437" s="84" t="inlineStr">
        <is>
          <t>B+</t>
        </is>
      </c>
      <c r="AD437" s="84" t="n">
        <v>25</v>
      </c>
      <c r="AE437" s="84" t="n">
        <v>19</v>
      </c>
      <c r="AF437" s="84" t="n">
        <v>0.76</v>
      </c>
      <c r="AG437" s="84" t="n">
        <v>0.8100000000000001</v>
      </c>
      <c r="AH437" s="84" t="n">
        <v>0</v>
      </c>
      <c r="AI437" s="84" t="n">
        <v>0</v>
      </c>
      <c r="AJ437" s="84">
        <f>SUMIFS(AH$8:AH$1039,$O$8:$O$1039,O437,$AB$8:$AB$1039,AB437,$R$8:$R$1039,R437,$AA$8:$AA$1039,"&lt;="&amp;AA437)</f>
        <v/>
      </c>
      <c r="AK437" s="84">
        <f>C45</f>
        <v/>
      </c>
      <c r="AL437" s="84">
        <f>C51</f>
        <v/>
      </c>
      <c r="AM437" s="84">
        <f>MAX(0,AJ437-AK437)</f>
        <v/>
      </c>
      <c r="AN437" s="84">
        <f>IF(AM437=0,AH437,IF(AM437&gt;=AH437,0,AH437-AM437))</f>
        <v/>
      </c>
      <c r="AO437" s="84">
        <f>IF(AM437&gt;=AH437,AI437,AI437*AM437/AH437)</f>
        <v/>
      </c>
      <c r="AP437">
        <f t="array" ref="AP437">INDEX($AU$8:$BB$25,6*(R437-1)+MATCH(AB437,$AS$8:$AS$13,0),MATCH(O437,$AU$7:$BB$7,0))</f>
        <v/>
      </c>
    </row>
    <row r="438" ht="14.25" customHeight="1">
      <c r="O438" s="43" t="inlineStr">
        <is>
          <t>Q4’26</t>
        </is>
      </c>
      <c r="P438" s="43" t="n">
        <v>2</v>
      </c>
      <c r="Q438" s="43" t="n">
        <v>4</v>
      </c>
      <c r="R438" s="43" t="n">
        <v>2</v>
      </c>
      <c r="S438" s="45" t="n">
        <v>2170.56</v>
      </c>
      <c r="T438">
        <f>(S437+S438+S439)=Q3</f>
        <v/>
      </c>
      <c r="X438" s="84">
        <f>MAX(S435-S438,0)</f>
        <v/>
      </c>
      <c r="Y438" s="83" t="n">
        <v>0</v>
      </c>
      <c r="AA438" s="84" t="n">
        <v>2</v>
      </c>
      <c r="AB438" s="84" t="inlineStr">
        <is>
          <t>B</t>
        </is>
      </c>
      <c r="AC438" s="84" t="inlineStr">
        <is>
          <t>B+</t>
        </is>
      </c>
      <c r="AD438" s="84" t="n">
        <v>25</v>
      </c>
      <c r="AE438" s="84" t="n">
        <v>19</v>
      </c>
      <c r="AF438" s="84" t="n">
        <v>0.76</v>
      </c>
      <c r="AG438" s="84" t="n">
        <v>0.8100000000000001</v>
      </c>
      <c r="AH438" s="84" t="n">
        <v>0</v>
      </c>
      <c r="AI438" s="84" t="n">
        <v>0</v>
      </c>
      <c r="AJ438" s="84">
        <f>SUMIFS(AH$8:AH$1039,$O$8:$O$1039,O438,$AB$8:$AB$1039,AB438,$R$8:$R$1039,R438,$AA$8:$AA$1039,"&lt;="&amp;AA438)</f>
        <v/>
      </c>
      <c r="AK438" s="84">
        <f>D45</f>
        <v/>
      </c>
      <c r="AL438" s="84">
        <f>D51</f>
        <v/>
      </c>
      <c r="AM438" s="84">
        <f>MAX(0,AJ438-AK438)</f>
        <v/>
      </c>
      <c r="AN438" s="84">
        <f>IF(AM438=0,AH438,IF(AM438&gt;=AH438,0,AH438-AM438))</f>
        <v/>
      </c>
      <c r="AO438" s="84">
        <f>IF(AM438&gt;=AH438,AI438,AI438*AM438/AH438)</f>
        <v/>
      </c>
      <c r="AP438">
        <f t="array" ref="AP438">INDEX($AU$8:$BB$25,6*(R438-1)+MATCH(AB438,$AS$8:$AS$13,0),MATCH(O438,$AU$7:$BB$7,0))</f>
        <v/>
      </c>
    </row>
    <row r="439" ht="14.25" customHeight="1">
      <c r="O439" s="43" t="inlineStr">
        <is>
          <t>Q4’26</t>
        </is>
      </c>
      <c r="P439" s="43" t="n">
        <v>2</v>
      </c>
      <c r="Q439" s="43" t="n">
        <v>4</v>
      </c>
      <c r="R439" s="43" t="n">
        <v>3</v>
      </c>
      <c r="S439" s="45" t="n">
        <v>0</v>
      </c>
      <c r="T439">
        <f>(S437+S438+S439)=Q3</f>
        <v/>
      </c>
      <c r="X439" s="84">
        <f>MAX(S436-S439,0)</f>
        <v/>
      </c>
      <c r="Y439" s="83" t="n">
        <v>0</v>
      </c>
      <c r="AA439" s="84" t="n">
        <v>2</v>
      </c>
      <c r="AB439" s="84" t="inlineStr">
        <is>
          <t>B</t>
        </is>
      </c>
      <c r="AC439" s="84" t="inlineStr">
        <is>
          <t>B+</t>
        </is>
      </c>
      <c r="AD439" s="84" t="n">
        <v>25</v>
      </c>
      <c r="AE439" s="84" t="n">
        <v>19</v>
      </c>
      <c r="AF439" s="84" t="n">
        <v>0.76</v>
      </c>
      <c r="AG439" s="84" t="n">
        <v>0.8100000000000001</v>
      </c>
      <c r="AH439" s="84" t="n">
        <v>0</v>
      </c>
      <c r="AI439" s="84" t="n">
        <v>0</v>
      </c>
      <c r="AJ439" s="84">
        <f>SUMIFS(AH$8:AH$1039,$O$8:$O$1039,O439,$AB$8:$AB$1039,AB439,$R$8:$R$1039,R439,$AA$8:$AA$1039,"&lt;="&amp;AA439)</f>
        <v/>
      </c>
      <c r="AK439" s="84">
        <f>E45</f>
        <v/>
      </c>
      <c r="AL439" s="84">
        <f>E51</f>
        <v/>
      </c>
      <c r="AM439" s="84">
        <f>MAX(0,AJ439-AK439)</f>
        <v/>
      </c>
      <c r="AN439" s="84">
        <f>IF(AM439=0,AH439,IF(AM439&gt;=AH439,0,AH439-AM439))</f>
        <v/>
      </c>
      <c r="AO439" s="84">
        <f>IF(AM439&gt;=AH439,AI439,AI439*AM439/AH439)</f>
        <v/>
      </c>
      <c r="AP439">
        <f t="array" ref="AP439">INDEX($AU$8:$BB$25,6*(R439-1)+MATCH(AB439,$AS$8:$AS$13,0),MATCH(O439,$AU$7:$BB$7,0))</f>
        <v/>
      </c>
    </row>
    <row r="440" ht="14.25" customHeight="1">
      <c r="O440" s="43" t="inlineStr">
        <is>
          <t>Q4’26</t>
        </is>
      </c>
      <c r="P440" s="43" t="n">
        <v>2</v>
      </c>
      <c r="Q440" s="43" t="n">
        <v>5</v>
      </c>
      <c r="R440" s="43" t="n">
        <v>1</v>
      </c>
      <c r="S440" s="45" t="n">
        <v>3429.44</v>
      </c>
      <c r="T440">
        <f>(S440+S441+S442)=Q3</f>
        <v/>
      </c>
      <c r="X440" s="84">
        <f>MAX(S437-S440,0)</f>
        <v/>
      </c>
      <c r="Y440" s="83" t="n">
        <v>0</v>
      </c>
      <c r="AA440" s="84" t="n">
        <v>3</v>
      </c>
      <c r="AB440" s="84" t="inlineStr">
        <is>
          <t>B</t>
        </is>
      </c>
      <c r="AC440" s="84" t="inlineStr">
        <is>
          <t>B+</t>
        </is>
      </c>
      <c r="AD440" s="84" t="n">
        <v>15</v>
      </c>
      <c r="AE440" s="84" t="n">
        <v>11</v>
      </c>
      <c r="AF440" s="84" t="n">
        <v>0.76</v>
      </c>
      <c r="AG440" s="84" t="n">
        <v>0.8100000000000001</v>
      </c>
      <c r="AH440" s="84" t="n">
        <v>0</v>
      </c>
      <c r="AI440" s="84" t="n">
        <v>0</v>
      </c>
      <c r="AJ440" s="84">
        <f>SUMIFS(AH$8:AH$1039,$O$8:$O$1039,O440,$AB$8:$AB$1039,AB440,$R$8:$R$1039,R440,$AA$8:$AA$1039,"&lt;="&amp;AA440)</f>
        <v/>
      </c>
      <c r="AK440" s="84">
        <f>C45</f>
        <v/>
      </c>
      <c r="AL440" s="84">
        <f>C51</f>
        <v/>
      </c>
      <c r="AM440" s="84">
        <f>MAX(0,AJ440-AK440)</f>
        <v/>
      </c>
      <c r="AN440" s="84">
        <f>IF(AM440=0,AH440,IF(AM440&gt;=AH440,0,AH440-AM440))</f>
        <v/>
      </c>
      <c r="AO440" s="84">
        <f>IF(AM440&gt;=AH440,AI440,AI440*AM440/AH440)</f>
        <v/>
      </c>
      <c r="AP440">
        <f t="array" ref="AP440">INDEX($AU$8:$BB$25,6*(R440-1)+MATCH(AB440,$AS$8:$AS$13,0),MATCH(O440,$AU$7:$BB$7,0))</f>
        <v/>
      </c>
    </row>
    <row r="441" ht="14.25" customHeight="1">
      <c r="O441" s="43" t="inlineStr">
        <is>
          <t>Q4’26</t>
        </is>
      </c>
      <c r="P441" s="43" t="n">
        <v>2</v>
      </c>
      <c r="Q441" s="43" t="n">
        <v>5</v>
      </c>
      <c r="R441" s="43" t="n">
        <v>2</v>
      </c>
      <c r="S441" s="45" t="n">
        <v>2170.56</v>
      </c>
      <c r="T441">
        <f>(S440+S441+S442)=Q3</f>
        <v/>
      </c>
      <c r="X441" s="84">
        <f>MAX(S438-S441,0)</f>
        <v/>
      </c>
      <c r="Y441" s="83" t="n">
        <v>0</v>
      </c>
      <c r="AA441" s="84" t="n">
        <v>3</v>
      </c>
      <c r="AB441" s="84" t="inlineStr">
        <is>
          <t>B</t>
        </is>
      </c>
      <c r="AC441" s="84" t="inlineStr">
        <is>
          <t>B+</t>
        </is>
      </c>
      <c r="AD441" s="84" t="n">
        <v>15</v>
      </c>
      <c r="AE441" s="84" t="n">
        <v>11</v>
      </c>
      <c r="AF441" s="84" t="n">
        <v>0.76</v>
      </c>
      <c r="AG441" s="84" t="n">
        <v>0.8100000000000001</v>
      </c>
      <c r="AH441" s="84" t="n">
        <v>0</v>
      </c>
      <c r="AI441" s="84" t="n">
        <v>0</v>
      </c>
      <c r="AJ441" s="84">
        <f>SUMIFS(AH$8:AH$1039,$O$8:$O$1039,O441,$AB$8:$AB$1039,AB441,$R$8:$R$1039,R441,$AA$8:$AA$1039,"&lt;="&amp;AA441)</f>
        <v/>
      </c>
      <c r="AK441" s="84">
        <f>D45</f>
        <v/>
      </c>
      <c r="AL441" s="84">
        <f>D51</f>
        <v/>
      </c>
      <c r="AM441" s="84">
        <f>MAX(0,AJ441-AK441)</f>
        <v/>
      </c>
      <c r="AN441" s="84">
        <f>IF(AM441=0,AH441,IF(AM441&gt;=AH441,0,AH441-AM441))</f>
        <v/>
      </c>
      <c r="AO441" s="84">
        <f>IF(AM441&gt;=AH441,AI441,AI441*AM441/AH441)</f>
        <v/>
      </c>
      <c r="AP441">
        <f t="array" ref="AP441">INDEX($AU$8:$BB$25,6*(R441-1)+MATCH(AB441,$AS$8:$AS$13,0),MATCH(O441,$AU$7:$BB$7,0))</f>
        <v/>
      </c>
    </row>
    <row r="442" ht="14.25" customHeight="1">
      <c r="O442" s="43" t="inlineStr">
        <is>
          <t>Q4’26</t>
        </is>
      </c>
      <c r="P442" s="43" t="n">
        <v>2</v>
      </c>
      <c r="Q442" s="43" t="n">
        <v>5</v>
      </c>
      <c r="R442" s="43" t="n">
        <v>3</v>
      </c>
      <c r="S442" s="45" t="n">
        <v>0</v>
      </c>
      <c r="T442">
        <f>(S440+S441+S442)=Q3</f>
        <v/>
      </c>
      <c r="X442" s="84">
        <f>MAX(S439-S442,0)</f>
        <v/>
      </c>
      <c r="Y442" s="83" t="n">
        <v>0</v>
      </c>
      <c r="AA442" s="84" t="n">
        <v>3</v>
      </c>
      <c r="AB442" s="84" t="inlineStr">
        <is>
          <t>B</t>
        </is>
      </c>
      <c r="AC442" s="84" t="inlineStr">
        <is>
          <t>B+</t>
        </is>
      </c>
      <c r="AD442" s="84" t="n">
        <v>15</v>
      </c>
      <c r="AE442" s="84" t="n">
        <v>11</v>
      </c>
      <c r="AF442" s="84" t="n">
        <v>0.76</v>
      </c>
      <c r="AG442" s="84" t="n">
        <v>0.8100000000000001</v>
      </c>
      <c r="AH442" s="84" t="n">
        <v>0</v>
      </c>
      <c r="AI442" s="84" t="n">
        <v>0</v>
      </c>
      <c r="AJ442" s="84">
        <f>SUMIFS(AH$8:AH$1039,$O$8:$O$1039,O442,$AB$8:$AB$1039,AB442,$R$8:$R$1039,R442,$AA$8:$AA$1039,"&lt;="&amp;AA442)</f>
        <v/>
      </c>
      <c r="AK442" s="84">
        <f>E45</f>
        <v/>
      </c>
      <c r="AL442" s="84">
        <f>E51</f>
        <v/>
      </c>
      <c r="AM442" s="84">
        <f>MAX(0,AJ442-AK442)</f>
        <v/>
      </c>
      <c r="AN442" s="84">
        <f>IF(AM442=0,AH442,IF(AM442&gt;=AH442,0,AH442-AM442))</f>
        <v/>
      </c>
      <c r="AO442" s="84">
        <f>IF(AM442&gt;=AH442,AI442,AI442*AM442/AH442)</f>
        <v/>
      </c>
      <c r="AP442">
        <f t="array" ref="AP442">INDEX($AU$8:$BB$25,6*(R442-1)+MATCH(AB442,$AS$8:$AS$13,0),MATCH(O442,$AU$7:$BB$7,0))</f>
        <v/>
      </c>
    </row>
    <row r="443" ht="14.25" customHeight="1">
      <c r="O443" s="43" t="inlineStr">
        <is>
          <t>Q4’26</t>
        </is>
      </c>
      <c r="P443" s="43" t="n">
        <v>2</v>
      </c>
      <c r="Q443" s="43" t="n">
        <v>6</v>
      </c>
      <c r="R443" s="43" t="n">
        <v>1</v>
      </c>
      <c r="S443" s="45" t="n">
        <v>3429.44</v>
      </c>
      <c r="T443">
        <f>(S443+S444+S445)=Q3</f>
        <v/>
      </c>
      <c r="X443" s="84">
        <f>MAX(S440-S443,0)</f>
        <v/>
      </c>
      <c r="Y443" s="83" t="n">
        <v>0</v>
      </c>
      <c r="AA443" s="84" t="n">
        <v>5</v>
      </c>
      <c r="AB443" s="84" t="inlineStr">
        <is>
          <t>F</t>
        </is>
      </c>
      <c r="AC443" s="84" t="inlineStr">
        <is>
          <t>F+</t>
        </is>
      </c>
      <c r="AD443" s="84" t="n">
        <v>16</v>
      </c>
      <c r="AE443" s="84" t="n">
        <v>14</v>
      </c>
      <c r="AF443" s="84" t="n">
        <v>0.8</v>
      </c>
      <c r="AG443" s="84" t="n">
        <v>0.9</v>
      </c>
      <c r="AH443" s="84" t="n">
        <v>0</v>
      </c>
      <c r="AI443" s="84" t="n">
        <v>0</v>
      </c>
      <c r="AJ443" s="84">
        <f>SUMIFS(AH$8:AH$1039,$O$8:$O$1039,O443,$AB$8:$AB$1039,AB443,$R$8:$R$1039,R443,$AA$8:$AA$1039,"&lt;="&amp;AA443)</f>
        <v/>
      </c>
      <c r="AK443" s="84">
        <f>C49</f>
        <v/>
      </c>
      <c r="AL443" s="84">
        <f>C55</f>
        <v/>
      </c>
      <c r="AM443" s="84">
        <f>MAX(0,AJ443-AK443)</f>
        <v/>
      </c>
      <c r="AN443" s="84">
        <f>IF(AM443=0,AH443,IF(AM443&gt;=AH443,0,AH443-AM443))</f>
        <v/>
      </c>
      <c r="AO443" s="84">
        <f>IF(AM443&gt;=AH443,AI443,AI443*AM443/AH443)</f>
        <v/>
      </c>
      <c r="AP443">
        <f t="array" ref="AP443">INDEX($AU$8:$BB$25,6*(R443-1)+MATCH(AB443,$AS$8:$AS$13,0),MATCH(O443,$AU$7:$BB$7,0))</f>
        <v/>
      </c>
    </row>
    <row r="444" ht="14.25" customHeight="1">
      <c r="O444" s="43" t="inlineStr">
        <is>
          <t>Q4’26</t>
        </is>
      </c>
      <c r="P444" s="43" t="n">
        <v>2</v>
      </c>
      <c r="Q444" s="43" t="n">
        <v>6</v>
      </c>
      <c r="R444" s="43" t="n">
        <v>2</v>
      </c>
      <c r="S444" s="45" t="n">
        <v>2170.56</v>
      </c>
      <c r="T444">
        <f>(S443+S444+S445)=Q3</f>
        <v/>
      </c>
      <c r="X444" s="84">
        <f>MAX(S441-S444,0)</f>
        <v/>
      </c>
      <c r="Y444" s="83" t="n">
        <v>0</v>
      </c>
      <c r="AA444" s="84" t="n">
        <v>5</v>
      </c>
      <c r="AB444" s="84" t="inlineStr">
        <is>
          <t>F</t>
        </is>
      </c>
      <c r="AC444" s="84" t="inlineStr">
        <is>
          <t>F+</t>
        </is>
      </c>
      <c r="AD444" s="84" t="n">
        <v>16</v>
      </c>
      <c r="AE444" s="84" t="n">
        <v>14</v>
      </c>
      <c r="AF444" s="84" t="n">
        <v>0.8</v>
      </c>
      <c r="AG444" s="84" t="n">
        <v>0.9</v>
      </c>
      <c r="AH444" s="84" t="n">
        <v>0</v>
      </c>
      <c r="AI444" s="84" t="n">
        <v>0</v>
      </c>
      <c r="AJ444" s="84">
        <f>SUMIFS(AH$8:AH$1039,$O$8:$O$1039,O444,$AB$8:$AB$1039,AB444,$R$8:$R$1039,R444,$AA$8:$AA$1039,"&lt;="&amp;AA444)</f>
        <v/>
      </c>
      <c r="AK444" s="84">
        <f>D49</f>
        <v/>
      </c>
      <c r="AL444" s="84">
        <f>D55</f>
        <v/>
      </c>
      <c r="AM444" s="84">
        <f>MAX(0,AJ444-AK444)</f>
        <v/>
      </c>
      <c r="AN444" s="84">
        <f>IF(AM444=0,AH444,IF(AM444&gt;=AH444,0,AH444-AM444))</f>
        <v/>
      </c>
      <c r="AO444" s="84">
        <f>IF(AM444&gt;=AH444,AI444,AI444*AM444/AH444)</f>
        <v/>
      </c>
      <c r="AP444">
        <f t="array" ref="AP444">INDEX($AU$8:$BB$25,6*(R444-1)+MATCH(AB444,$AS$8:$AS$13,0),MATCH(O444,$AU$7:$BB$7,0))</f>
        <v/>
      </c>
    </row>
    <row r="445" ht="14.25" customHeight="1">
      <c r="O445" s="43" t="inlineStr">
        <is>
          <t>Q4’26</t>
        </is>
      </c>
      <c r="P445" s="43" t="n">
        <v>2</v>
      </c>
      <c r="Q445" s="43" t="n">
        <v>6</v>
      </c>
      <c r="R445" s="43" t="n">
        <v>3</v>
      </c>
      <c r="S445" s="45" t="n">
        <v>-0</v>
      </c>
      <c r="T445">
        <f>(S443+S444+S445)=Q3</f>
        <v/>
      </c>
      <c r="X445" s="84">
        <f>MAX(S442-S445,0)</f>
        <v/>
      </c>
      <c r="Y445" s="83" t="n">
        <v>0</v>
      </c>
      <c r="AA445" s="84" t="n">
        <v>5</v>
      </c>
      <c r="AB445" s="84" t="inlineStr">
        <is>
          <t>F</t>
        </is>
      </c>
      <c r="AC445" s="84" t="inlineStr">
        <is>
          <t>F+</t>
        </is>
      </c>
      <c r="AD445" s="84" t="n">
        <v>16</v>
      </c>
      <c r="AE445" s="84" t="n">
        <v>14</v>
      </c>
      <c r="AF445" s="84" t="n">
        <v>0.8</v>
      </c>
      <c r="AG445" s="84" t="n">
        <v>0.9</v>
      </c>
      <c r="AH445" s="84" t="n">
        <v>0</v>
      </c>
      <c r="AI445" s="84" t="n">
        <v>0</v>
      </c>
      <c r="AJ445" s="84">
        <f>SUMIFS(AH$8:AH$1039,$O$8:$O$1039,O445,$AB$8:$AB$1039,AB445,$R$8:$R$1039,R445,$AA$8:$AA$1039,"&lt;="&amp;AA445)</f>
        <v/>
      </c>
      <c r="AK445" s="84">
        <f>E49</f>
        <v/>
      </c>
      <c r="AL445" s="84">
        <f>E55</f>
        <v/>
      </c>
      <c r="AM445" s="84">
        <f>MAX(0,AJ445-AK445)</f>
        <v/>
      </c>
      <c r="AN445" s="84">
        <f>IF(AM445=0,AH445,IF(AM445&gt;=AH445,0,AH445-AM445))</f>
        <v/>
      </c>
      <c r="AO445" s="84">
        <f>IF(AM445&gt;=AH445,AI445,AI445*AM445/AH445)</f>
        <v/>
      </c>
      <c r="AP445">
        <f t="array" ref="AP445">INDEX($AU$8:$BB$25,6*(R445-1)+MATCH(AB445,$AS$8:$AS$13,0),MATCH(O445,$AU$7:$BB$7,0))</f>
        <v/>
      </c>
    </row>
    <row r="446" ht="14.25" customHeight="1">
      <c r="O446" s="43" t="inlineStr">
        <is>
          <t>Q4’26</t>
        </is>
      </c>
      <c r="P446" s="43" t="n">
        <v>2</v>
      </c>
      <c r="Q446" s="43" t="n">
        <v>7</v>
      </c>
      <c r="R446" s="43" t="n">
        <v>1</v>
      </c>
      <c r="S446" s="45" t="n">
        <v>3429.44</v>
      </c>
      <c r="T446">
        <f>(S446+S447+S448)=Q3</f>
        <v/>
      </c>
      <c r="X446" s="84">
        <f>MAX(S443-S446,0)</f>
        <v/>
      </c>
      <c r="Y446" s="83" t="n">
        <v>0</v>
      </c>
      <c r="AA446" s="84" t="n">
        <v>4</v>
      </c>
      <c r="AB446" s="84" t="inlineStr">
        <is>
          <t>F</t>
        </is>
      </c>
      <c r="AC446" s="84" t="inlineStr">
        <is>
          <t>F+</t>
        </is>
      </c>
      <c r="AD446" s="84" t="n">
        <v>17</v>
      </c>
      <c r="AE446" s="84" t="n">
        <v>15</v>
      </c>
      <c r="AF446" s="84" t="n">
        <v>0.8</v>
      </c>
      <c r="AG446" s="84" t="n">
        <v>0.9</v>
      </c>
      <c r="AH446" s="84" t="n">
        <v>0</v>
      </c>
      <c r="AI446" s="84" t="n">
        <v>0</v>
      </c>
      <c r="AJ446" s="84">
        <f>SUMIFS(AH$8:AH$1039,$O$8:$O$1039,O446,$AB$8:$AB$1039,AB446,$R$8:$R$1039,R446,$AA$8:$AA$1039,"&lt;="&amp;AA446)</f>
        <v/>
      </c>
      <c r="AK446" s="84">
        <f>C49</f>
        <v/>
      </c>
      <c r="AL446" s="84">
        <f>C55</f>
        <v/>
      </c>
      <c r="AM446" s="84">
        <f>MAX(0,AJ446-AK446)</f>
        <v/>
      </c>
      <c r="AN446" s="84">
        <f>IF(AM446=0,AH446,IF(AM446&gt;=AH446,0,AH446-AM446))</f>
        <v/>
      </c>
      <c r="AO446" s="84">
        <f>IF(AM446&gt;=AH446,AI446,AI446*AM446/AH446)</f>
        <v/>
      </c>
      <c r="AP446">
        <f t="array" ref="AP446">INDEX($AU$8:$BB$25,6*(R446-1)+MATCH(AB446,$AS$8:$AS$13,0),MATCH(O446,$AU$7:$BB$7,0))</f>
        <v/>
      </c>
    </row>
    <row r="447" ht="14.25" customHeight="1">
      <c r="O447" s="43" t="inlineStr">
        <is>
          <t>Q4’26</t>
        </is>
      </c>
      <c r="P447" s="43" t="n">
        <v>2</v>
      </c>
      <c r="Q447" s="43" t="n">
        <v>7</v>
      </c>
      <c r="R447" s="43" t="n">
        <v>2</v>
      </c>
      <c r="S447" s="45" t="n">
        <v>2170.56</v>
      </c>
      <c r="T447">
        <f>(S446+S447+S448)=Q3</f>
        <v/>
      </c>
      <c r="X447" s="84">
        <f>MAX(S444-S447,0)</f>
        <v/>
      </c>
      <c r="Y447" s="83" t="n">
        <v>0</v>
      </c>
      <c r="AA447" s="84" t="n">
        <v>4</v>
      </c>
      <c r="AB447" s="84" t="inlineStr">
        <is>
          <t>F</t>
        </is>
      </c>
      <c r="AC447" s="84" t="inlineStr">
        <is>
          <t>F+</t>
        </is>
      </c>
      <c r="AD447" s="84" t="n">
        <v>17</v>
      </c>
      <c r="AE447" s="84" t="n">
        <v>15</v>
      </c>
      <c r="AF447" s="84" t="n">
        <v>0.8</v>
      </c>
      <c r="AG447" s="84" t="n">
        <v>0.9</v>
      </c>
      <c r="AH447" s="84" t="n">
        <v>0</v>
      </c>
      <c r="AI447" s="84" t="n">
        <v>0</v>
      </c>
      <c r="AJ447" s="84">
        <f>SUMIFS(AH$8:AH$1039,$O$8:$O$1039,O447,$AB$8:$AB$1039,AB447,$R$8:$R$1039,R447,$AA$8:$AA$1039,"&lt;="&amp;AA447)</f>
        <v/>
      </c>
      <c r="AK447" s="84">
        <f>D49</f>
        <v/>
      </c>
      <c r="AL447" s="84">
        <f>D55</f>
        <v/>
      </c>
      <c r="AM447" s="84">
        <f>MAX(0,AJ447-AK447)</f>
        <v/>
      </c>
      <c r="AN447" s="84">
        <f>IF(AM447=0,AH447,IF(AM447&gt;=AH447,0,AH447-AM447))</f>
        <v/>
      </c>
      <c r="AO447" s="84">
        <f>IF(AM447&gt;=AH447,AI447,AI447*AM447/AH447)</f>
        <v/>
      </c>
      <c r="AP447">
        <f t="array" ref="AP447">INDEX($AU$8:$BB$25,6*(R447-1)+MATCH(AB447,$AS$8:$AS$13,0),MATCH(O447,$AU$7:$BB$7,0))</f>
        <v/>
      </c>
    </row>
    <row r="448" ht="14.25" customHeight="1">
      <c r="O448" s="43" t="inlineStr">
        <is>
          <t>Q4’26</t>
        </is>
      </c>
      <c r="P448" s="43" t="n">
        <v>2</v>
      </c>
      <c r="Q448" s="43" t="n">
        <v>7</v>
      </c>
      <c r="R448" s="43" t="n">
        <v>3</v>
      </c>
      <c r="S448" s="45" t="n">
        <v>0</v>
      </c>
      <c r="T448">
        <f>(S446+S447+S448)=Q3</f>
        <v/>
      </c>
      <c r="X448" s="84">
        <f>MAX(S445-S448,0)</f>
        <v/>
      </c>
      <c r="Y448" s="83" t="n">
        <v>0</v>
      </c>
      <c r="AA448" s="84" t="n">
        <v>4</v>
      </c>
      <c r="AB448" s="84" t="inlineStr">
        <is>
          <t>F</t>
        </is>
      </c>
      <c r="AC448" s="84" t="inlineStr">
        <is>
          <t>F+</t>
        </is>
      </c>
      <c r="AD448" s="84" t="n">
        <v>17</v>
      </c>
      <c r="AE448" s="84" t="n">
        <v>15</v>
      </c>
      <c r="AF448" s="84" t="n">
        <v>0.8</v>
      </c>
      <c r="AG448" s="84" t="n">
        <v>0.9</v>
      </c>
      <c r="AH448" s="84" t="n">
        <v>0</v>
      </c>
      <c r="AI448" s="84" t="n">
        <v>0</v>
      </c>
      <c r="AJ448" s="84">
        <f>SUMIFS(AH$8:AH$1039,$O$8:$O$1039,O448,$AB$8:$AB$1039,AB448,$R$8:$R$1039,R448,$AA$8:$AA$1039,"&lt;="&amp;AA448)</f>
        <v/>
      </c>
      <c r="AK448" s="84">
        <f>E49</f>
        <v/>
      </c>
      <c r="AL448" s="84">
        <f>E55</f>
        <v/>
      </c>
      <c r="AM448" s="84">
        <f>MAX(0,AJ448-AK448)</f>
        <v/>
      </c>
      <c r="AN448" s="84">
        <f>IF(AM448=0,AH448,IF(AM448&gt;=AH448,0,AH448-AM448))</f>
        <v/>
      </c>
      <c r="AO448" s="84">
        <f>IF(AM448&gt;=AH448,AI448,AI448*AM448/AH448)</f>
        <v/>
      </c>
      <c r="AP448">
        <f t="array" ref="AP448">INDEX($AU$8:$BB$25,6*(R448-1)+MATCH(AB448,$AS$8:$AS$13,0),MATCH(O448,$AU$7:$BB$7,0))</f>
        <v/>
      </c>
    </row>
    <row r="449" ht="14.25" customHeight="1">
      <c r="O449" s="43" t="inlineStr">
        <is>
          <t>Q4’26</t>
        </is>
      </c>
      <c r="P449" s="43" t="n">
        <v>2</v>
      </c>
      <c r="Q449" s="43" t="n">
        <v>8</v>
      </c>
      <c r="R449" s="43" t="n">
        <v>1</v>
      </c>
      <c r="S449" s="45" t="n">
        <v>3429.44</v>
      </c>
      <c r="T449">
        <f>(S449+S450+S451)=Q3</f>
        <v/>
      </c>
      <c r="X449" s="84">
        <f>MAX(S446-S449,0)</f>
        <v/>
      </c>
      <c r="Y449" s="83" t="n">
        <v>0</v>
      </c>
      <c r="AA449" s="84" t="n">
        <v>4</v>
      </c>
      <c r="AB449" s="84" t="inlineStr">
        <is>
          <t>B</t>
        </is>
      </c>
      <c r="AC449" s="84" t="inlineStr">
        <is>
          <t>B+</t>
        </is>
      </c>
      <c r="AD449" s="84" t="n">
        <v>22</v>
      </c>
      <c r="AE449" s="84" t="n">
        <v>16</v>
      </c>
      <c r="AF449" s="84" t="n">
        <v>0.76</v>
      </c>
      <c r="AG449" s="84" t="n">
        <v>0.8100000000000001</v>
      </c>
      <c r="AH449" s="84" t="n">
        <v>0</v>
      </c>
      <c r="AI449" s="84" t="n">
        <v>0</v>
      </c>
      <c r="AJ449" s="84">
        <f>SUMIFS(AH$8:AH$1039,$O$8:$O$1039,O449,$AB$8:$AB$1039,AB449,$R$8:$R$1039,R449,$AA$8:$AA$1039,"&lt;="&amp;AA449)</f>
        <v/>
      </c>
      <c r="AK449" s="84">
        <f>C45</f>
        <v/>
      </c>
      <c r="AL449" s="84">
        <f>C51</f>
        <v/>
      </c>
      <c r="AM449" s="84">
        <f>MAX(0,AJ449-AK449)</f>
        <v/>
      </c>
      <c r="AN449" s="84">
        <f>IF(AM449=0,AH449,IF(AM449&gt;=AH449,0,AH449-AM449))</f>
        <v/>
      </c>
      <c r="AO449" s="84">
        <f>IF(AM449&gt;=AH449,AI449,AI449*AM449/AH449)</f>
        <v/>
      </c>
      <c r="AP449">
        <f t="array" ref="AP449">INDEX($AU$8:$BB$25,6*(R449-1)+MATCH(AB449,$AS$8:$AS$13,0),MATCH(O449,$AU$7:$BB$7,0))</f>
        <v/>
      </c>
    </row>
    <row r="450" ht="14.25" customHeight="1">
      <c r="O450" s="43" t="inlineStr">
        <is>
          <t>Q4’26</t>
        </is>
      </c>
      <c r="P450" s="43" t="n">
        <v>2</v>
      </c>
      <c r="Q450" s="43" t="n">
        <v>8</v>
      </c>
      <c r="R450" s="43" t="n">
        <v>2</v>
      </c>
      <c r="S450" s="45" t="n">
        <v>2170.56</v>
      </c>
      <c r="T450">
        <f>(S449+S450+S451)=Q3</f>
        <v/>
      </c>
      <c r="X450" s="84">
        <f>MAX(S447-S450,0)</f>
        <v/>
      </c>
      <c r="Y450" s="83" t="n">
        <v>0</v>
      </c>
      <c r="AA450" s="84" t="n">
        <v>4</v>
      </c>
      <c r="AB450" s="84" t="inlineStr">
        <is>
          <t>B</t>
        </is>
      </c>
      <c r="AC450" s="84" t="inlineStr">
        <is>
          <t>B+</t>
        </is>
      </c>
      <c r="AD450" s="84" t="n">
        <v>22</v>
      </c>
      <c r="AE450" s="84" t="n">
        <v>16</v>
      </c>
      <c r="AF450" s="84" t="n">
        <v>0.76</v>
      </c>
      <c r="AG450" s="84" t="n">
        <v>0.8100000000000001</v>
      </c>
      <c r="AH450" s="84" t="n">
        <v>0</v>
      </c>
      <c r="AI450" s="84" t="n">
        <v>0</v>
      </c>
      <c r="AJ450" s="84">
        <f>SUMIFS(AH$8:AH$1039,$O$8:$O$1039,O450,$AB$8:$AB$1039,AB450,$R$8:$R$1039,R450,$AA$8:$AA$1039,"&lt;="&amp;AA450)</f>
        <v/>
      </c>
      <c r="AK450" s="84">
        <f>D45</f>
        <v/>
      </c>
      <c r="AL450" s="84">
        <f>D51</f>
        <v/>
      </c>
      <c r="AM450" s="84">
        <f>MAX(0,AJ450-AK450)</f>
        <v/>
      </c>
      <c r="AN450" s="84">
        <f>IF(AM450=0,AH450,IF(AM450&gt;=AH450,0,AH450-AM450))</f>
        <v/>
      </c>
      <c r="AO450" s="84">
        <f>IF(AM450&gt;=AH450,AI450,AI450*AM450/AH450)</f>
        <v/>
      </c>
      <c r="AP450">
        <f t="array" ref="AP450">INDEX($AU$8:$BB$25,6*(R450-1)+MATCH(AB450,$AS$8:$AS$13,0),MATCH(O450,$AU$7:$BB$7,0))</f>
        <v/>
      </c>
    </row>
    <row r="451" ht="14.25" customHeight="1">
      <c r="O451" s="43" t="inlineStr">
        <is>
          <t>Q4’26</t>
        </is>
      </c>
      <c r="P451" s="43" t="n">
        <v>2</v>
      </c>
      <c r="Q451" s="43" t="n">
        <v>8</v>
      </c>
      <c r="R451" s="43" t="n">
        <v>3</v>
      </c>
      <c r="S451" s="45" t="n">
        <v>0</v>
      </c>
      <c r="T451">
        <f>(S449+S450+S451)=Q3</f>
        <v/>
      </c>
      <c r="X451" s="84">
        <f>MAX(S448-S451,0)</f>
        <v/>
      </c>
      <c r="Y451" s="83" t="n">
        <v>0</v>
      </c>
      <c r="AA451" s="84" t="n">
        <v>4</v>
      </c>
      <c r="AB451" s="84" t="inlineStr">
        <is>
          <t>B</t>
        </is>
      </c>
      <c r="AC451" s="84" t="inlineStr">
        <is>
          <t>B+</t>
        </is>
      </c>
      <c r="AD451" s="84" t="n">
        <v>22</v>
      </c>
      <c r="AE451" s="84" t="n">
        <v>16</v>
      </c>
      <c r="AF451" s="84" t="n">
        <v>0.76</v>
      </c>
      <c r="AG451" s="84" t="n">
        <v>0.8100000000000001</v>
      </c>
      <c r="AH451" s="84" t="n">
        <v>0</v>
      </c>
      <c r="AI451" s="84" t="n">
        <v>0</v>
      </c>
      <c r="AJ451" s="84">
        <f>SUMIFS(AH$8:AH$1039,$O$8:$O$1039,O451,$AB$8:$AB$1039,AB451,$R$8:$R$1039,R451,$AA$8:$AA$1039,"&lt;="&amp;AA451)</f>
        <v/>
      </c>
      <c r="AK451" s="84">
        <f>E45</f>
        <v/>
      </c>
      <c r="AL451" s="84">
        <f>E51</f>
        <v/>
      </c>
      <c r="AM451" s="84">
        <f>MAX(0,AJ451-AK451)</f>
        <v/>
      </c>
      <c r="AN451" s="84">
        <f>IF(AM451=0,AH451,IF(AM451&gt;=AH451,0,AH451-AM451))</f>
        <v/>
      </c>
      <c r="AO451" s="84">
        <f>IF(AM451&gt;=AH451,AI451,AI451*AM451/AH451)</f>
        <v/>
      </c>
      <c r="AP451">
        <f t="array" ref="AP451">INDEX($AU$8:$BB$25,6*(R451-1)+MATCH(AB451,$AS$8:$AS$13,0),MATCH(O451,$AU$7:$BB$7,0))</f>
        <v/>
      </c>
    </row>
    <row r="452" ht="14.25" customHeight="1">
      <c r="O452" s="43" t="inlineStr">
        <is>
          <t>Q4’26</t>
        </is>
      </c>
      <c r="P452" s="43" t="n">
        <v>2</v>
      </c>
      <c r="Q452" s="43" t="n">
        <v>9</v>
      </c>
      <c r="R452" s="43" t="n">
        <v>1</v>
      </c>
      <c r="S452" s="45" t="n">
        <v>3429.44</v>
      </c>
      <c r="T452">
        <f>(S452+S453+S454)=Q3</f>
        <v/>
      </c>
      <c r="X452" s="84">
        <f>MAX(S449-S452,0)</f>
        <v/>
      </c>
      <c r="Y452" s="83" t="n">
        <v>0</v>
      </c>
      <c r="AA452" s="84" t="n">
        <v>4</v>
      </c>
      <c r="AB452" s="84" t="inlineStr">
        <is>
          <t>E</t>
        </is>
      </c>
      <c r="AC452" s="84" t="inlineStr">
        <is>
          <t>E+</t>
        </is>
      </c>
      <c r="AD452" s="84" t="n">
        <v>7</v>
      </c>
      <c r="AE452" s="84" t="n">
        <v>6</v>
      </c>
      <c r="AF452" s="84" t="n">
        <v>0.76</v>
      </c>
      <c r="AG452" s="84" t="n">
        <v>0.84</v>
      </c>
      <c r="AH452" s="84" t="n">
        <v>0</v>
      </c>
      <c r="AI452" s="84" t="n">
        <v>0</v>
      </c>
      <c r="AJ452" s="84">
        <f>SUMIFS(AH$8:AH$1039,$O$8:$O$1039,O452,$AB$8:$AB$1039,AB452,$R$8:$R$1039,R452,$AA$8:$AA$1039,"&lt;="&amp;AA452)</f>
        <v/>
      </c>
      <c r="AK452" s="84">
        <f>C48</f>
        <v/>
      </c>
      <c r="AL452" s="84">
        <f>C54</f>
        <v/>
      </c>
      <c r="AM452" s="84">
        <f>MAX(0,AJ452-AK452)</f>
        <v/>
      </c>
      <c r="AN452" s="84">
        <f>IF(AM452=0,AH452,IF(AM452&gt;=AH452,0,AH452-AM452))</f>
        <v/>
      </c>
      <c r="AO452" s="84">
        <f>IF(AM452&gt;=AH452,AI452,AI452*AM452/AH452)</f>
        <v/>
      </c>
      <c r="AP452">
        <f t="array" ref="AP452">INDEX($AU$8:$BB$25,6*(R452-1)+MATCH(AB452,$AS$8:$AS$13,0),MATCH(O452,$AU$7:$BB$7,0))</f>
        <v/>
      </c>
    </row>
    <row r="453" ht="14.25" customHeight="1">
      <c r="O453" s="43" t="inlineStr">
        <is>
          <t>Q4’26</t>
        </is>
      </c>
      <c r="P453" s="43" t="n">
        <v>2</v>
      </c>
      <c r="Q453" s="43" t="n">
        <v>9</v>
      </c>
      <c r="R453" s="43" t="n">
        <v>2</v>
      </c>
      <c r="S453" s="45" t="n">
        <v>2170.56</v>
      </c>
      <c r="T453">
        <f>(S452+S453+S454)=Q3</f>
        <v/>
      </c>
      <c r="X453" s="84">
        <f>MAX(S450-S453,0)</f>
        <v/>
      </c>
      <c r="Y453" s="83" t="n">
        <v>0</v>
      </c>
      <c r="AA453" s="84" t="n">
        <v>4</v>
      </c>
      <c r="AB453" s="84" t="inlineStr">
        <is>
          <t>E</t>
        </is>
      </c>
      <c r="AC453" s="84" t="inlineStr">
        <is>
          <t>E+</t>
        </is>
      </c>
      <c r="AD453" s="84" t="n">
        <v>7</v>
      </c>
      <c r="AE453" s="84" t="n">
        <v>6</v>
      </c>
      <c r="AF453" s="84" t="n">
        <v>0.76</v>
      </c>
      <c r="AG453" s="84" t="n">
        <v>0.84</v>
      </c>
      <c r="AH453" s="84" t="n">
        <v>0</v>
      </c>
      <c r="AI453" s="84" t="n">
        <v>0</v>
      </c>
      <c r="AJ453" s="84">
        <f>SUMIFS(AH$8:AH$1039,$O$8:$O$1039,O453,$AB$8:$AB$1039,AB453,$R$8:$R$1039,R453,$AA$8:$AA$1039,"&lt;="&amp;AA453)</f>
        <v/>
      </c>
      <c r="AK453" s="84">
        <f>D48</f>
        <v/>
      </c>
      <c r="AL453" s="84">
        <f>D54</f>
        <v/>
      </c>
      <c r="AM453" s="84">
        <f>MAX(0,AJ453-AK453)</f>
        <v/>
      </c>
      <c r="AN453" s="84">
        <f>IF(AM453=0,AH453,IF(AM453&gt;=AH453,0,AH453-AM453))</f>
        <v/>
      </c>
      <c r="AO453" s="84">
        <f>IF(AM453&gt;=AH453,AI453,AI453*AM453/AH453)</f>
        <v/>
      </c>
      <c r="AP453">
        <f t="array" ref="AP453">INDEX($AU$8:$BB$25,6*(R453-1)+MATCH(AB453,$AS$8:$AS$13,0),MATCH(O453,$AU$7:$BB$7,0))</f>
        <v/>
      </c>
    </row>
    <row r="454" ht="14.25" customHeight="1">
      <c r="O454" s="43" t="inlineStr">
        <is>
          <t>Q4’26</t>
        </is>
      </c>
      <c r="P454" s="43" t="n">
        <v>2</v>
      </c>
      <c r="Q454" s="43" t="n">
        <v>9</v>
      </c>
      <c r="R454" s="43" t="n">
        <v>3</v>
      </c>
      <c r="S454" s="45" t="n">
        <v>0</v>
      </c>
      <c r="T454">
        <f>(S452+S453+S454)=Q3</f>
        <v/>
      </c>
      <c r="X454" s="84">
        <f>MAX(S451-S454,0)</f>
        <v/>
      </c>
      <c r="Y454" s="83" t="n">
        <v>0</v>
      </c>
      <c r="AA454" s="84" t="n">
        <v>4</v>
      </c>
      <c r="AB454" s="84" t="inlineStr">
        <is>
          <t>E</t>
        </is>
      </c>
      <c r="AC454" s="84" t="inlineStr">
        <is>
          <t>E+</t>
        </is>
      </c>
      <c r="AD454" s="84" t="n">
        <v>7</v>
      </c>
      <c r="AE454" s="84" t="n">
        <v>6</v>
      </c>
      <c r="AF454" s="84" t="n">
        <v>0.76</v>
      </c>
      <c r="AG454" s="84" t="n">
        <v>0.84</v>
      </c>
      <c r="AH454" s="84" t="n">
        <v>0</v>
      </c>
      <c r="AI454" s="84" t="n">
        <v>0</v>
      </c>
      <c r="AJ454" s="84">
        <f>SUMIFS(AH$8:AH$1039,$O$8:$O$1039,O454,$AB$8:$AB$1039,AB454,$R$8:$R$1039,R454,$AA$8:$AA$1039,"&lt;="&amp;AA454)</f>
        <v/>
      </c>
      <c r="AK454" s="84">
        <f>E48</f>
        <v/>
      </c>
      <c r="AL454" s="84">
        <f>E54</f>
        <v/>
      </c>
      <c r="AM454" s="84">
        <f>MAX(0,AJ454-AK454)</f>
        <v/>
      </c>
      <c r="AN454" s="84">
        <f>IF(AM454=0,AH454,IF(AM454&gt;=AH454,0,AH454-AM454))</f>
        <v/>
      </c>
      <c r="AO454" s="84">
        <f>IF(AM454&gt;=AH454,AI454,AI454*AM454/AH454)</f>
        <v/>
      </c>
      <c r="AP454">
        <f t="array" ref="AP454">INDEX($AU$8:$BB$25,6*(R454-1)+MATCH(AB454,$AS$8:$AS$13,0),MATCH(O454,$AU$7:$BB$7,0))</f>
        <v/>
      </c>
    </row>
    <row r="455" ht="14.25" customHeight="1">
      <c r="O455" s="43" t="inlineStr">
        <is>
          <t>Q4’26</t>
        </is>
      </c>
      <c r="P455" s="43" t="n">
        <v>2</v>
      </c>
      <c r="Q455" s="43" t="n">
        <v>10</v>
      </c>
      <c r="R455" s="43" t="n">
        <v>1</v>
      </c>
      <c r="S455" s="45" t="n">
        <v>3429.44</v>
      </c>
      <c r="T455">
        <f>(S455+S456+S457)=Q3</f>
        <v/>
      </c>
      <c r="X455" s="84">
        <f>MAX(S452-S455,0)</f>
        <v/>
      </c>
      <c r="Y455" s="83" t="n">
        <v>0</v>
      </c>
      <c r="AA455" s="84" t="n">
        <v>6</v>
      </c>
      <c r="AB455" s="84" t="inlineStr">
        <is>
          <t>E</t>
        </is>
      </c>
      <c r="AC455" s="84" t="inlineStr">
        <is>
          <t>E+</t>
        </is>
      </c>
      <c r="AD455" s="84" t="n">
        <v>9</v>
      </c>
      <c r="AE455" s="84" t="n">
        <v>7</v>
      </c>
      <c r="AF455" s="84" t="n">
        <v>0.76</v>
      </c>
      <c r="AG455" s="84" t="n">
        <v>0.84</v>
      </c>
      <c r="AH455" s="84" t="n">
        <v>0</v>
      </c>
      <c r="AI455" s="84" t="n">
        <v>0</v>
      </c>
      <c r="AJ455" s="84">
        <f>SUMIFS(AH$8:AH$1039,$O$8:$O$1039,O455,$AB$8:$AB$1039,AB455,$R$8:$R$1039,R455,$AA$8:$AA$1039,"&lt;="&amp;AA455)</f>
        <v/>
      </c>
      <c r="AK455" s="84">
        <f>C48</f>
        <v/>
      </c>
      <c r="AL455" s="84">
        <f>C54</f>
        <v/>
      </c>
      <c r="AM455" s="84">
        <f>MAX(0,AJ455-AK455)</f>
        <v/>
      </c>
      <c r="AN455" s="84">
        <f>IF(AM455=0,AH455,IF(AM455&gt;=AH455,0,AH455-AM455))</f>
        <v/>
      </c>
      <c r="AO455" s="84">
        <f>IF(AM455&gt;=AH455,AI455,AI455*AM455/AH455)</f>
        <v/>
      </c>
      <c r="AP455">
        <f t="array" ref="AP455">INDEX($AU$8:$BB$25,6*(R455-1)+MATCH(AB455,$AS$8:$AS$13,0),MATCH(O455,$AU$7:$BB$7,0))</f>
        <v/>
      </c>
    </row>
    <row r="456" ht="14.25" customHeight="1">
      <c r="O456" s="43" t="inlineStr">
        <is>
          <t>Q4’26</t>
        </is>
      </c>
      <c r="P456" s="43" t="n">
        <v>2</v>
      </c>
      <c r="Q456" s="43" t="n">
        <v>10</v>
      </c>
      <c r="R456" s="43" t="n">
        <v>2</v>
      </c>
      <c r="S456" s="45" t="n">
        <v>2170.56</v>
      </c>
      <c r="T456">
        <f>(S455+S456+S457)=Q3</f>
        <v/>
      </c>
      <c r="X456" s="84">
        <f>MAX(S453-S456,0)</f>
        <v/>
      </c>
      <c r="Y456" s="83" t="n">
        <v>0</v>
      </c>
      <c r="AA456" s="84" t="n">
        <v>6</v>
      </c>
      <c r="AB456" s="84" t="inlineStr">
        <is>
          <t>E</t>
        </is>
      </c>
      <c r="AC456" s="84" t="inlineStr">
        <is>
          <t>E+</t>
        </is>
      </c>
      <c r="AD456" s="84" t="n">
        <v>9</v>
      </c>
      <c r="AE456" s="84" t="n">
        <v>7</v>
      </c>
      <c r="AF456" s="84" t="n">
        <v>0.76</v>
      </c>
      <c r="AG456" s="84" t="n">
        <v>0.84</v>
      </c>
      <c r="AH456" s="84" t="n">
        <v>0</v>
      </c>
      <c r="AI456" s="84" t="n">
        <v>0</v>
      </c>
      <c r="AJ456" s="84">
        <f>SUMIFS(AH$8:AH$1039,$O$8:$O$1039,O456,$AB$8:$AB$1039,AB456,$R$8:$R$1039,R456,$AA$8:$AA$1039,"&lt;="&amp;AA456)</f>
        <v/>
      </c>
      <c r="AK456" s="84">
        <f>D48</f>
        <v/>
      </c>
      <c r="AL456" s="84">
        <f>D54</f>
        <v/>
      </c>
      <c r="AM456" s="84">
        <f>MAX(0,AJ456-AK456)</f>
        <v/>
      </c>
      <c r="AN456" s="84">
        <f>IF(AM456=0,AH456,IF(AM456&gt;=AH456,0,AH456-AM456))</f>
        <v/>
      </c>
      <c r="AO456" s="84">
        <f>IF(AM456&gt;=AH456,AI456,AI456*AM456/AH456)</f>
        <v/>
      </c>
      <c r="AP456">
        <f t="array" ref="AP456">INDEX($AU$8:$BB$25,6*(R456-1)+MATCH(AB456,$AS$8:$AS$13,0),MATCH(O456,$AU$7:$BB$7,0))</f>
        <v/>
      </c>
    </row>
    <row r="457" ht="14.25" customHeight="1">
      <c r="O457" s="43" t="inlineStr">
        <is>
          <t>Q4’26</t>
        </is>
      </c>
      <c r="P457" s="43" t="n">
        <v>2</v>
      </c>
      <c r="Q457" s="43" t="n">
        <v>10</v>
      </c>
      <c r="R457" s="43" t="n">
        <v>3</v>
      </c>
      <c r="S457" s="45" t="n">
        <v>-0</v>
      </c>
      <c r="T457">
        <f>(S455+S456+S457)=Q3</f>
        <v/>
      </c>
      <c r="X457" s="84">
        <f>MAX(S454-S457,0)</f>
        <v/>
      </c>
      <c r="Y457" s="83" t="n">
        <v>0</v>
      </c>
      <c r="AA457" s="84" t="n">
        <v>6</v>
      </c>
      <c r="AB457" s="84" t="inlineStr">
        <is>
          <t>E</t>
        </is>
      </c>
      <c r="AC457" s="84" t="inlineStr">
        <is>
          <t>E+</t>
        </is>
      </c>
      <c r="AD457" s="84" t="n">
        <v>9</v>
      </c>
      <c r="AE457" s="84" t="n">
        <v>7</v>
      </c>
      <c r="AF457" s="84" t="n">
        <v>0.76</v>
      </c>
      <c r="AG457" s="84" t="n">
        <v>0.84</v>
      </c>
      <c r="AH457" s="84" t="n">
        <v>0</v>
      </c>
      <c r="AI457" s="84" t="n">
        <v>0</v>
      </c>
      <c r="AJ457" s="84">
        <f>SUMIFS(AH$8:AH$1039,$O$8:$O$1039,O457,$AB$8:$AB$1039,AB457,$R$8:$R$1039,R457,$AA$8:$AA$1039,"&lt;="&amp;AA457)</f>
        <v/>
      </c>
      <c r="AK457" s="84">
        <f>E48</f>
        <v/>
      </c>
      <c r="AL457" s="84">
        <f>E54</f>
        <v/>
      </c>
      <c r="AM457" s="84">
        <f>MAX(0,AJ457-AK457)</f>
        <v/>
      </c>
      <c r="AN457" s="84">
        <f>IF(AM457=0,AH457,IF(AM457&gt;=AH457,0,AH457-AM457))</f>
        <v/>
      </c>
      <c r="AO457" s="84">
        <f>IF(AM457&gt;=AH457,AI457,AI457*AM457/AH457)</f>
        <v/>
      </c>
      <c r="AP457">
        <f t="array" ref="AP457">INDEX($AU$8:$BB$25,6*(R457-1)+MATCH(AB457,$AS$8:$AS$13,0),MATCH(O457,$AU$7:$BB$7,0))</f>
        <v/>
      </c>
    </row>
    <row r="458" ht="14.25" customHeight="1">
      <c r="O458" s="43" t="inlineStr">
        <is>
          <t>Q4’26</t>
        </is>
      </c>
      <c r="P458" s="43" t="n">
        <v>2</v>
      </c>
      <c r="Q458" s="43" t="n">
        <v>11</v>
      </c>
      <c r="R458" s="43" t="n">
        <v>1</v>
      </c>
      <c r="S458" s="45" t="n">
        <v>3429.44</v>
      </c>
      <c r="T458">
        <f>(S458+S459+S460)=Q3</f>
        <v/>
      </c>
      <c r="X458" s="84">
        <f>MAX(S455-S458,0)</f>
        <v/>
      </c>
      <c r="Y458" s="83" t="n">
        <v>0</v>
      </c>
      <c r="AA458" s="84" t="n">
        <v>2</v>
      </c>
      <c r="AB458" s="84" t="inlineStr">
        <is>
          <t>E</t>
        </is>
      </c>
      <c r="AC458" s="84" t="inlineStr">
        <is>
          <t>E+</t>
        </is>
      </c>
      <c r="AD458" s="84" t="n">
        <v>20</v>
      </c>
      <c r="AE458" s="84" t="n">
        <v>19</v>
      </c>
      <c r="AF458" s="84" t="n">
        <v>0.76</v>
      </c>
      <c r="AG458" s="84" t="n">
        <v>0.84</v>
      </c>
      <c r="AH458" s="84" t="n">
        <v>0</v>
      </c>
      <c r="AI458" s="84" t="n">
        <v>0</v>
      </c>
      <c r="AJ458" s="84">
        <f>SUMIFS(AH$8:AH$1039,$O$8:$O$1039,O458,$AB$8:$AB$1039,AB458,$R$8:$R$1039,R458,$AA$8:$AA$1039,"&lt;="&amp;AA458)</f>
        <v/>
      </c>
      <c r="AK458" s="84">
        <f>C48</f>
        <v/>
      </c>
      <c r="AL458" s="84">
        <f>C54</f>
        <v/>
      </c>
      <c r="AM458" s="84">
        <f>MAX(0,AJ458-AK458)</f>
        <v/>
      </c>
      <c r="AN458" s="84">
        <f>IF(AM458=0,AH458,IF(AM458&gt;=AH458,0,AH458-AM458))</f>
        <v/>
      </c>
      <c r="AO458" s="84">
        <f>IF(AM458&gt;=AH458,AI458,AI458*AM458/AH458)</f>
        <v/>
      </c>
      <c r="AP458">
        <f t="array" ref="AP458">INDEX($AU$8:$BB$25,6*(R458-1)+MATCH(AB458,$AS$8:$AS$13,0),MATCH(O458,$AU$7:$BB$7,0))</f>
        <v/>
      </c>
    </row>
    <row r="459" ht="14.25" customHeight="1">
      <c r="O459" s="43" t="inlineStr">
        <is>
          <t>Q4’26</t>
        </is>
      </c>
      <c r="P459" s="43" t="n">
        <v>2</v>
      </c>
      <c r="Q459" s="43" t="n">
        <v>11</v>
      </c>
      <c r="R459" s="43" t="n">
        <v>2</v>
      </c>
      <c r="S459" s="45" t="n">
        <v>2170.56</v>
      </c>
      <c r="T459">
        <f>(S458+S459+S460)=Q3</f>
        <v/>
      </c>
      <c r="X459" s="84">
        <f>MAX(S456-S459,0)</f>
        <v/>
      </c>
      <c r="Y459" s="83" t="n">
        <v>0</v>
      </c>
      <c r="AA459" s="84" t="n">
        <v>2</v>
      </c>
      <c r="AB459" s="84" t="inlineStr">
        <is>
          <t>E</t>
        </is>
      </c>
      <c r="AC459" s="84" t="inlineStr">
        <is>
          <t>E+</t>
        </is>
      </c>
      <c r="AD459" s="84" t="n">
        <v>20</v>
      </c>
      <c r="AE459" s="84" t="n">
        <v>19</v>
      </c>
      <c r="AF459" s="84" t="n">
        <v>0.76</v>
      </c>
      <c r="AG459" s="84" t="n">
        <v>0.84</v>
      </c>
      <c r="AH459" s="84" t="n">
        <v>0</v>
      </c>
      <c r="AI459" s="84" t="n">
        <v>0</v>
      </c>
      <c r="AJ459" s="84">
        <f>SUMIFS(AH$8:AH$1039,$O$8:$O$1039,O459,$AB$8:$AB$1039,AB459,$R$8:$R$1039,R459,$AA$8:$AA$1039,"&lt;="&amp;AA459)</f>
        <v/>
      </c>
      <c r="AK459" s="84">
        <f>D48</f>
        <v/>
      </c>
      <c r="AL459" s="84">
        <f>D54</f>
        <v/>
      </c>
      <c r="AM459" s="84">
        <f>MAX(0,AJ459-AK459)</f>
        <v/>
      </c>
      <c r="AN459" s="84">
        <f>IF(AM459=0,AH459,IF(AM459&gt;=AH459,0,AH459-AM459))</f>
        <v/>
      </c>
      <c r="AO459" s="84">
        <f>IF(AM459&gt;=AH459,AI459,AI459*AM459/AH459)</f>
        <v/>
      </c>
      <c r="AP459">
        <f t="array" ref="AP459">INDEX($AU$8:$BB$25,6*(R459-1)+MATCH(AB459,$AS$8:$AS$13,0),MATCH(O459,$AU$7:$BB$7,0))</f>
        <v/>
      </c>
    </row>
    <row r="460" ht="14.25" customHeight="1">
      <c r="O460" s="43" t="inlineStr">
        <is>
          <t>Q4’26</t>
        </is>
      </c>
      <c r="P460" s="43" t="n">
        <v>2</v>
      </c>
      <c r="Q460" s="43" t="n">
        <v>11</v>
      </c>
      <c r="R460" s="43" t="n">
        <v>3</v>
      </c>
      <c r="S460" s="45" t="n">
        <v>-0</v>
      </c>
      <c r="T460">
        <f>(S458+S459+S460)=Q3</f>
        <v/>
      </c>
      <c r="X460" s="84">
        <f>MAX(S457-S460,0)</f>
        <v/>
      </c>
      <c r="Y460" s="83" t="n">
        <v>0</v>
      </c>
      <c r="AA460" s="84" t="n">
        <v>2</v>
      </c>
      <c r="AB460" s="84" t="inlineStr">
        <is>
          <t>E</t>
        </is>
      </c>
      <c r="AC460" s="84" t="inlineStr">
        <is>
          <t>E+</t>
        </is>
      </c>
      <c r="AD460" s="84" t="n">
        <v>20</v>
      </c>
      <c r="AE460" s="84" t="n">
        <v>19</v>
      </c>
      <c r="AF460" s="84" t="n">
        <v>0.76</v>
      </c>
      <c r="AG460" s="84" t="n">
        <v>0.84</v>
      </c>
      <c r="AH460" s="84" t="n">
        <v>0</v>
      </c>
      <c r="AI460" s="84" t="n">
        <v>0</v>
      </c>
      <c r="AJ460" s="84">
        <f>SUMIFS(AH$8:AH$1039,$O$8:$O$1039,O460,$AB$8:$AB$1039,AB460,$R$8:$R$1039,R460,$AA$8:$AA$1039,"&lt;="&amp;AA460)</f>
        <v/>
      </c>
      <c r="AK460" s="84">
        <f>E48</f>
        <v/>
      </c>
      <c r="AL460" s="84">
        <f>E54</f>
        <v/>
      </c>
      <c r="AM460" s="84">
        <f>MAX(0,AJ460-AK460)</f>
        <v/>
      </c>
      <c r="AN460" s="84">
        <f>IF(AM460=0,AH460,IF(AM460&gt;=AH460,0,AH460-AM460))</f>
        <v/>
      </c>
      <c r="AO460" s="84">
        <f>IF(AM460&gt;=AH460,AI460,AI460*AM460/AH460)</f>
        <v/>
      </c>
      <c r="AP460">
        <f t="array" ref="AP460">INDEX($AU$8:$BB$25,6*(R460-1)+MATCH(AB460,$AS$8:$AS$13,0),MATCH(O460,$AU$7:$BB$7,0))</f>
        <v/>
      </c>
    </row>
    <row r="461" ht="14.25" customHeight="1">
      <c r="O461" s="43" t="inlineStr">
        <is>
          <t>Q4’26</t>
        </is>
      </c>
      <c r="P461" s="43" t="n">
        <v>2</v>
      </c>
      <c r="Q461" s="43" t="n">
        <v>12</v>
      </c>
      <c r="R461" s="43" t="n">
        <v>1</v>
      </c>
      <c r="S461" s="45" t="n">
        <v>3429.44</v>
      </c>
      <c r="T461">
        <f>(S461+S462+S463)=Q3</f>
        <v/>
      </c>
      <c r="X461" s="84">
        <f>MAX(S458-S461,0)</f>
        <v/>
      </c>
      <c r="Y461" s="83" t="n">
        <v>0</v>
      </c>
      <c r="AA461" s="84" t="n">
        <v>7</v>
      </c>
      <c r="AB461" s="84" t="inlineStr">
        <is>
          <t>F</t>
        </is>
      </c>
      <c r="AC461" s="84" t="inlineStr">
        <is>
          <t>F+</t>
        </is>
      </c>
      <c r="AD461" s="84" t="n">
        <v>21</v>
      </c>
      <c r="AE461" s="84" t="n">
        <v>18</v>
      </c>
      <c r="AF461" s="84" t="n">
        <v>0.8</v>
      </c>
      <c r="AG461" s="84" t="n">
        <v>0.9</v>
      </c>
      <c r="AH461" s="84" t="n">
        <v>0</v>
      </c>
      <c r="AI461" s="84" t="n">
        <v>0</v>
      </c>
      <c r="AJ461" s="84">
        <f>SUMIFS(AH$8:AH$1039,$O$8:$O$1039,O461,$AB$8:$AB$1039,AB461,$R$8:$R$1039,R461,$AA$8:$AA$1039,"&lt;="&amp;AA461)</f>
        <v/>
      </c>
      <c r="AK461" s="84">
        <f>C49</f>
        <v/>
      </c>
      <c r="AL461" s="84">
        <f>C55</f>
        <v/>
      </c>
      <c r="AM461" s="84">
        <f>MAX(0,AJ461-AK461)</f>
        <v/>
      </c>
      <c r="AN461" s="84">
        <f>IF(AM461=0,AH461,IF(AM461&gt;=AH461,0,AH461-AM461))</f>
        <v/>
      </c>
      <c r="AO461" s="84">
        <f>IF(AM461&gt;=AH461,AI461,AI461*AM461/AH461)</f>
        <v/>
      </c>
      <c r="AP461">
        <f t="array" ref="AP461">INDEX($AU$8:$BB$25,6*(R461-1)+MATCH(AB461,$AS$8:$AS$13,0),MATCH(O461,$AU$7:$BB$7,0))</f>
        <v/>
      </c>
    </row>
    <row r="462" ht="14.25" customHeight="1">
      <c r="O462" s="43" t="inlineStr">
        <is>
          <t>Q4’26</t>
        </is>
      </c>
      <c r="P462" s="43" t="n">
        <v>2</v>
      </c>
      <c r="Q462" s="43" t="n">
        <v>12</v>
      </c>
      <c r="R462" s="43" t="n">
        <v>2</v>
      </c>
      <c r="S462" s="45" t="n">
        <v>2170.56</v>
      </c>
      <c r="T462">
        <f>(S461+S462+S463)=Q3</f>
        <v/>
      </c>
      <c r="X462" s="84">
        <f>MAX(S459-S462,0)</f>
        <v/>
      </c>
      <c r="Y462" s="83" t="n">
        <v>0</v>
      </c>
      <c r="AA462" s="84" t="n">
        <v>7</v>
      </c>
      <c r="AB462" s="84" t="inlineStr">
        <is>
          <t>F</t>
        </is>
      </c>
      <c r="AC462" s="84" t="inlineStr">
        <is>
          <t>F+</t>
        </is>
      </c>
      <c r="AD462" s="84" t="n">
        <v>21</v>
      </c>
      <c r="AE462" s="84" t="n">
        <v>18</v>
      </c>
      <c r="AF462" s="84" t="n">
        <v>0.8</v>
      </c>
      <c r="AG462" s="84" t="n">
        <v>0.9</v>
      </c>
      <c r="AH462" s="84" t="n">
        <v>0</v>
      </c>
      <c r="AI462" s="84" t="n">
        <v>0</v>
      </c>
      <c r="AJ462" s="84">
        <f>SUMIFS(AH$8:AH$1039,$O$8:$O$1039,O462,$AB$8:$AB$1039,AB462,$R$8:$R$1039,R462,$AA$8:$AA$1039,"&lt;="&amp;AA462)</f>
        <v/>
      </c>
      <c r="AK462" s="84">
        <f>D49</f>
        <v/>
      </c>
      <c r="AL462" s="84">
        <f>D55</f>
        <v/>
      </c>
      <c r="AM462" s="84">
        <f>MAX(0,AJ462-AK462)</f>
        <v/>
      </c>
      <c r="AN462" s="84">
        <f>IF(AM462=0,AH462,IF(AM462&gt;=AH462,0,AH462-AM462))</f>
        <v/>
      </c>
      <c r="AO462" s="84">
        <f>IF(AM462&gt;=AH462,AI462,AI462*AM462/AH462)</f>
        <v/>
      </c>
      <c r="AP462">
        <f t="array" ref="AP462">INDEX($AU$8:$BB$25,6*(R462-1)+MATCH(AB462,$AS$8:$AS$13,0),MATCH(O462,$AU$7:$BB$7,0))</f>
        <v/>
      </c>
    </row>
    <row r="463" ht="14.25" customHeight="1">
      <c r="O463" s="43" t="inlineStr">
        <is>
          <t>Q4’26</t>
        </is>
      </c>
      <c r="P463" s="43" t="n">
        <v>2</v>
      </c>
      <c r="Q463" s="43" t="n">
        <v>12</v>
      </c>
      <c r="R463" s="43" t="n">
        <v>3</v>
      </c>
      <c r="S463" s="45" t="n">
        <v>0</v>
      </c>
      <c r="T463">
        <f>(S461+S462+S463)=Q3</f>
        <v/>
      </c>
      <c r="X463" s="84">
        <f>MAX(S460-S463,0)</f>
        <v/>
      </c>
      <c r="Y463" s="83" t="n">
        <v>0</v>
      </c>
      <c r="AA463" s="84" t="n">
        <v>7</v>
      </c>
      <c r="AB463" s="84" t="inlineStr">
        <is>
          <t>F</t>
        </is>
      </c>
      <c r="AC463" s="84" t="inlineStr">
        <is>
          <t>F+</t>
        </is>
      </c>
      <c r="AD463" s="84" t="n">
        <v>21</v>
      </c>
      <c r="AE463" s="84" t="n">
        <v>18</v>
      </c>
      <c r="AF463" s="84" t="n">
        <v>0.8</v>
      </c>
      <c r="AG463" s="84" t="n">
        <v>0.9</v>
      </c>
      <c r="AH463" s="84" t="n">
        <v>0</v>
      </c>
      <c r="AI463" s="84" t="n">
        <v>0</v>
      </c>
      <c r="AJ463" s="84">
        <f>SUMIFS(AH$8:AH$1039,$O$8:$O$1039,O463,$AB$8:$AB$1039,AB463,$R$8:$R$1039,R463,$AA$8:$AA$1039,"&lt;="&amp;AA463)</f>
        <v/>
      </c>
      <c r="AK463" s="84">
        <f>E49</f>
        <v/>
      </c>
      <c r="AL463" s="84">
        <f>E55</f>
        <v/>
      </c>
      <c r="AM463" s="84">
        <f>MAX(0,AJ463-AK463)</f>
        <v/>
      </c>
      <c r="AN463" s="84">
        <f>IF(AM463=0,AH463,IF(AM463&gt;=AH463,0,AH463-AM463))</f>
        <v/>
      </c>
      <c r="AO463" s="84">
        <f>IF(AM463&gt;=AH463,AI463,AI463*AM463/AH463)</f>
        <v/>
      </c>
      <c r="AP463">
        <f t="array" ref="AP463">INDEX($AU$8:$BB$25,6*(R463-1)+MATCH(AB463,$AS$8:$AS$13,0),MATCH(O463,$AU$7:$BB$7,0))</f>
        <v/>
      </c>
    </row>
    <row r="464" ht="14.25" customHeight="1">
      <c r="O464" s="43" t="inlineStr">
        <is>
          <t>Q4’26</t>
        </is>
      </c>
      <c r="P464" s="43" t="n">
        <v>2</v>
      </c>
      <c r="Q464" s="43" t="n">
        <v>13</v>
      </c>
      <c r="R464" s="43" t="n">
        <v>1</v>
      </c>
      <c r="S464" s="45" t="n">
        <v>3429.44</v>
      </c>
      <c r="T464">
        <f>(S464+S465+S466)=Q3</f>
        <v/>
      </c>
      <c r="X464" s="84">
        <f>MAX(S461-S464,0)</f>
        <v/>
      </c>
      <c r="Y464" s="83" t="n">
        <v>0</v>
      </c>
      <c r="AA464" s="84" t="n">
        <v>8</v>
      </c>
      <c r="AB464" s="84" t="inlineStr">
        <is>
          <t>E</t>
        </is>
      </c>
      <c r="AC464" s="84" t="inlineStr">
        <is>
          <t>E+</t>
        </is>
      </c>
      <c r="AD464" s="84" t="n">
        <v>12</v>
      </c>
      <c r="AE464" s="84" t="n">
        <v>9</v>
      </c>
      <c r="AF464" s="84" t="n">
        <v>0.76</v>
      </c>
      <c r="AG464" s="84" t="n">
        <v>0.84</v>
      </c>
      <c r="AH464" s="84" t="n">
        <v>0</v>
      </c>
      <c r="AI464" s="84" t="n">
        <v>0</v>
      </c>
      <c r="AJ464" s="84">
        <f>SUMIFS(AH$8:AH$1039,$O$8:$O$1039,O464,$AB$8:$AB$1039,AB464,$R$8:$R$1039,R464,$AA$8:$AA$1039,"&lt;="&amp;AA464)</f>
        <v/>
      </c>
      <c r="AK464" s="84">
        <f>C48</f>
        <v/>
      </c>
      <c r="AL464" s="84">
        <f>C54</f>
        <v/>
      </c>
      <c r="AM464" s="84">
        <f>MAX(0,AJ464-AK464)</f>
        <v/>
      </c>
      <c r="AN464" s="84">
        <f>IF(AM464=0,AH464,IF(AM464&gt;=AH464,0,AH464-AM464))</f>
        <v/>
      </c>
      <c r="AO464" s="84">
        <f>IF(AM464&gt;=AH464,AI464,AI464*AM464/AH464)</f>
        <v/>
      </c>
      <c r="AP464">
        <f t="array" ref="AP464">INDEX($AU$8:$BB$25,6*(R464-1)+MATCH(AB464,$AS$8:$AS$13,0),MATCH(O464,$AU$7:$BB$7,0))</f>
        <v/>
      </c>
    </row>
    <row r="465" ht="14.25" customHeight="1">
      <c r="O465" s="43" t="inlineStr">
        <is>
          <t>Q4’26</t>
        </is>
      </c>
      <c r="P465" s="43" t="n">
        <v>2</v>
      </c>
      <c r="Q465" s="43" t="n">
        <v>13</v>
      </c>
      <c r="R465" s="43" t="n">
        <v>2</v>
      </c>
      <c r="S465" s="45" t="n">
        <v>2170.56</v>
      </c>
      <c r="T465">
        <f>(S464+S465+S466)=Q3</f>
        <v/>
      </c>
      <c r="X465" s="84">
        <f>MAX(S462-S465,0)</f>
        <v/>
      </c>
      <c r="Y465" s="83" t="n">
        <v>0</v>
      </c>
      <c r="AA465" s="84" t="n">
        <v>8</v>
      </c>
      <c r="AB465" s="84" t="inlineStr">
        <is>
          <t>E</t>
        </is>
      </c>
      <c r="AC465" s="84" t="inlineStr">
        <is>
          <t>E+</t>
        </is>
      </c>
      <c r="AD465" s="84" t="n">
        <v>12</v>
      </c>
      <c r="AE465" s="84" t="n">
        <v>9</v>
      </c>
      <c r="AF465" s="84" t="n">
        <v>0.76</v>
      </c>
      <c r="AG465" s="84" t="n">
        <v>0.84</v>
      </c>
      <c r="AH465" s="84" t="n">
        <v>0</v>
      </c>
      <c r="AI465" s="84" t="n">
        <v>0</v>
      </c>
      <c r="AJ465" s="84">
        <f>SUMIFS(AH$8:AH$1039,$O$8:$O$1039,O465,$AB$8:$AB$1039,AB465,$R$8:$R$1039,R465,$AA$8:$AA$1039,"&lt;="&amp;AA465)</f>
        <v/>
      </c>
      <c r="AK465" s="84">
        <f>D48</f>
        <v/>
      </c>
      <c r="AL465" s="84">
        <f>D54</f>
        <v/>
      </c>
      <c r="AM465" s="84">
        <f>MAX(0,AJ465-AK465)</f>
        <v/>
      </c>
      <c r="AN465" s="84">
        <f>IF(AM465=0,AH465,IF(AM465&gt;=AH465,0,AH465-AM465))</f>
        <v/>
      </c>
      <c r="AO465" s="84">
        <f>IF(AM465&gt;=AH465,AI465,AI465*AM465/AH465)</f>
        <v/>
      </c>
      <c r="AP465">
        <f t="array" ref="AP465">INDEX($AU$8:$BB$25,6*(R465-1)+MATCH(AB465,$AS$8:$AS$13,0),MATCH(O465,$AU$7:$BB$7,0))</f>
        <v/>
      </c>
    </row>
    <row r="466" ht="14.25" customHeight="1">
      <c r="O466" s="43" t="inlineStr">
        <is>
          <t>Q4’26</t>
        </is>
      </c>
      <c r="P466" s="43" t="n">
        <v>2</v>
      </c>
      <c r="Q466" s="43" t="n">
        <v>13</v>
      </c>
      <c r="R466" s="43" t="n">
        <v>3</v>
      </c>
      <c r="S466" s="45" t="n">
        <v>-0</v>
      </c>
      <c r="T466">
        <f>(S464+S465+S466)=Q3</f>
        <v/>
      </c>
      <c r="X466" s="84">
        <f>MAX(S463-S466,0)</f>
        <v/>
      </c>
      <c r="Y466" s="83" t="n">
        <v>0</v>
      </c>
      <c r="AA466" s="84" t="n">
        <v>8</v>
      </c>
      <c r="AB466" s="84" t="inlineStr">
        <is>
          <t>E</t>
        </is>
      </c>
      <c r="AC466" s="84" t="inlineStr">
        <is>
          <t>E+</t>
        </is>
      </c>
      <c r="AD466" s="84" t="n">
        <v>12</v>
      </c>
      <c r="AE466" s="84" t="n">
        <v>9</v>
      </c>
      <c r="AF466" s="84" t="n">
        <v>0.76</v>
      </c>
      <c r="AG466" s="84" t="n">
        <v>0.84</v>
      </c>
      <c r="AH466" s="84" t="n">
        <v>0</v>
      </c>
      <c r="AI466" s="84" t="n">
        <v>0</v>
      </c>
      <c r="AJ466" s="84">
        <f>SUMIFS(AH$8:AH$1039,$O$8:$O$1039,O466,$AB$8:$AB$1039,AB466,$R$8:$R$1039,R466,$AA$8:$AA$1039,"&lt;="&amp;AA466)</f>
        <v/>
      </c>
      <c r="AK466" s="84">
        <f>E48</f>
        <v/>
      </c>
      <c r="AL466" s="84">
        <f>E54</f>
        <v/>
      </c>
      <c r="AM466" s="84">
        <f>MAX(0,AJ466-AK466)</f>
        <v/>
      </c>
      <c r="AN466" s="84">
        <f>IF(AM466=0,AH466,IF(AM466&gt;=AH466,0,AH466-AM466))</f>
        <v/>
      </c>
      <c r="AO466" s="84">
        <f>IF(AM466&gt;=AH466,AI466,AI466*AM466/AH466)</f>
        <v/>
      </c>
      <c r="AP466">
        <f t="array" ref="AP466">INDEX($AU$8:$BB$25,6*(R466-1)+MATCH(AB466,$AS$8:$AS$13,0),MATCH(O466,$AU$7:$BB$7,0))</f>
        <v/>
      </c>
    </row>
    <row r="467" ht="14.25" customHeight="1">
      <c r="O467" s="43" t="inlineStr">
        <is>
          <t>Q4’26</t>
        </is>
      </c>
      <c r="P467" s="43" t="n">
        <v>2</v>
      </c>
      <c r="Q467" s="43" t="n">
        <v>14</v>
      </c>
      <c r="R467" s="43" t="n">
        <v>1</v>
      </c>
      <c r="S467" s="45" t="n">
        <v>3429.44</v>
      </c>
      <c r="T467">
        <f>(S467+S468+S469)=Q3</f>
        <v/>
      </c>
      <c r="X467" s="84">
        <f>MAX(S464-S467,0)</f>
        <v/>
      </c>
      <c r="Y467" s="83" t="n">
        <v>0</v>
      </c>
      <c r="AA467" s="84" t="n">
        <v>5</v>
      </c>
      <c r="AB467" s="84" t="inlineStr">
        <is>
          <t>E</t>
        </is>
      </c>
      <c r="AC467" s="84" t="inlineStr">
        <is>
          <t>E+</t>
        </is>
      </c>
      <c r="AD467" s="84" t="n">
        <v>15</v>
      </c>
      <c r="AE467" s="84" t="n">
        <v>12</v>
      </c>
      <c r="AF467" s="84" t="n">
        <v>0.76</v>
      </c>
      <c r="AG467" s="84" t="n">
        <v>0.84</v>
      </c>
      <c r="AH467" s="84" t="n">
        <v>0</v>
      </c>
      <c r="AI467" s="84" t="n">
        <v>0</v>
      </c>
      <c r="AJ467" s="84">
        <f>SUMIFS(AH$8:AH$1039,$O$8:$O$1039,O467,$AB$8:$AB$1039,AB467,$R$8:$R$1039,R467,$AA$8:$AA$1039,"&lt;="&amp;AA467)</f>
        <v/>
      </c>
      <c r="AK467" s="84">
        <f>C48</f>
        <v/>
      </c>
      <c r="AL467" s="84">
        <f>C54</f>
        <v/>
      </c>
      <c r="AM467" s="84">
        <f>MAX(0,AJ467-AK467)</f>
        <v/>
      </c>
      <c r="AN467" s="84">
        <f>IF(AM467=0,AH467,IF(AM467&gt;=AH467,0,AH467-AM467))</f>
        <v/>
      </c>
      <c r="AO467" s="84">
        <f>IF(AM467&gt;=AH467,AI467,AI467*AM467/AH467)</f>
        <v/>
      </c>
      <c r="AP467">
        <f t="array" ref="AP467">INDEX($AU$8:$BB$25,6*(R467-1)+MATCH(AB467,$AS$8:$AS$13,0),MATCH(O467,$AU$7:$BB$7,0))</f>
        <v/>
      </c>
    </row>
    <row r="468" ht="14.25" customHeight="1">
      <c r="O468" s="43" t="inlineStr">
        <is>
          <t>Q4’26</t>
        </is>
      </c>
      <c r="P468" s="43" t="n">
        <v>2</v>
      </c>
      <c r="Q468" s="43" t="n">
        <v>14</v>
      </c>
      <c r="R468" s="43" t="n">
        <v>2</v>
      </c>
      <c r="S468" s="45" t="n">
        <v>2170.56</v>
      </c>
      <c r="T468">
        <f>(S467+S468+S469)=Q3</f>
        <v/>
      </c>
      <c r="X468" s="84">
        <f>MAX(S465-S468,0)</f>
        <v/>
      </c>
      <c r="Y468" s="83" t="n">
        <v>0</v>
      </c>
      <c r="AA468" s="84" t="n">
        <v>5</v>
      </c>
      <c r="AB468" s="84" t="inlineStr">
        <is>
          <t>E</t>
        </is>
      </c>
      <c r="AC468" s="84" t="inlineStr">
        <is>
          <t>E+</t>
        </is>
      </c>
      <c r="AD468" s="84" t="n">
        <v>15</v>
      </c>
      <c r="AE468" s="84" t="n">
        <v>12</v>
      </c>
      <c r="AF468" s="84" t="n">
        <v>0.76</v>
      </c>
      <c r="AG468" s="84" t="n">
        <v>0.84</v>
      </c>
      <c r="AH468" s="84" t="n">
        <v>0</v>
      </c>
      <c r="AI468" s="84" t="n">
        <v>0</v>
      </c>
      <c r="AJ468" s="84">
        <f>SUMIFS(AH$8:AH$1039,$O$8:$O$1039,O468,$AB$8:$AB$1039,AB468,$R$8:$R$1039,R468,$AA$8:$AA$1039,"&lt;="&amp;AA468)</f>
        <v/>
      </c>
      <c r="AK468" s="84">
        <f>D48</f>
        <v/>
      </c>
      <c r="AL468" s="84">
        <f>D54</f>
        <v/>
      </c>
      <c r="AM468" s="84">
        <f>MAX(0,AJ468-AK468)</f>
        <v/>
      </c>
      <c r="AN468" s="84">
        <f>IF(AM468=0,AH468,IF(AM468&gt;=AH468,0,AH468-AM468))</f>
        <v/>
      </c>
      <c r="AO468" s="84">
        <f>IF(AM468&gt;=AH468,AI468,AI468*AM468/AH468)</f>
        <v/>
      </c>
      <c r="AP468">
        <f t="array" ref="AP468">INDEX($AU$8:$BB$25,6*(R468-1)+MATCH(AB468,$AS$8:$AS$13,0),MATCH(O468,$AU$7:$BB$7,0))</f>
        <v/>
      </c>
    </row>
    <row r="469" ht="14.25" customHeight="1">
      <c r="O469" s="43" t="inlineStr">
        <is>
          <t>Q4’26</t>
        </is>
      </c>
      <c r="P469" s="43" t="n">
        <v>2</v>
      </c>
      <c r="Q469" s="43" t="n">
        <v>14</v>
      </c>
      <c r="R469" s="43" t="n">
        <v>3</v>
      </c>
      <c r="S469" s="45" t="n">
        <v>-0</v>
      </c>
      <c r="T469">
        <f>(S467+S468+S469)=Q3</f>
        <v/>
      </c>
      <c r="X469" s="84">
        <f>MAX(S466-S469,0)</f>
        <v/>
      </c>
      <c r="Y469" s="83" t="n">
        <v>0</v>
      </c>
      <c r="AA469" s="84" t="n">
        <v>5</v>
      </c>
      <c r="AB469" s="84" t="inlineStr">
        <is>
          <t>E</t>
        </is>
      </c>
      <c r="AC469" s="84" t="inlineStr">
        <is>
          <t>E+</t>
        </is>
      </c>
      <c r="AD469" s="84" t="n">
        <v>15</v>
      </c>
      <c r="AE469" s="84" t="n">
        <v>12</v>
      </c>
      <c r="AF469" s="84" t="n">
        <v>0.76</v>
      </c>
      <c r="AG469" s="84" t="n">
        <v>0.84</v>
      </c>
      <c r="AH469" s="84" t="n">
        <v>0</v>
      </c>
      <c r="AI469" s="84" t="n">
        <v>0</v>
      </c>
      <c r="AJ469" s="84">
        <f>SUMIFS(AH$8:AH$1039,$O$8:$O$1039,O469,$AB$8:$AB$1039,AB469,$R$8:$R$1039,R469,$AA$8:$AA$1039,"&lt;="&amp;AA469)</f>
        <v/>
      </c>
      <c r="AK469" s="84">
        <f>E48</f>
        <v/>
      </c>
      <c r="AL469" s="84">
        <f>E54</f>
        <v/>
      </c>
      <c r="AM469" s="84">
        <f>MAX(0,AJ469-AK469)</f>
        <v/>
      </c>
      <c r="AN469" s="84">
        <f>IF(AM469=0,AH469,IF(AM469&gt;=AH469,0,AH469-AM469))</f>
        <v/>
      </c>
      <c r="AO469" s="84">
        <f>IF(AM469&gt;=AH469,AI469,AI469*AM469/AH469)</f>
        <v/>
      </c>
      <c r="AP469">
        <f t="array" ref="AP469">INDEX($AU$8:$BB$25,6*(R469-1)+MATCH(AB469,$AS$8:$AS$13,0),MATCH(O469,$AU$7:$BB$7,0))</f>
        <v/>
      </c>
    </row>
    <row r="470" ht="14.25" customHeight="1">
      <c r="O470" s="43" t="inlineStr">
        <is>
          <t>Q4’26</t>
        </is>
      </c>
      <c r="P470" s="43" t="n">
        <v>2</v>
      </c>
      <c r="Q470" s="43" t="n">
        <v>15</v>
      </c>
      <c r="R470" s="43" t="n">
        <v>1</v>
      </c>
      <c r="S470" s="45" t="n">
        <v>3429.44</v>
      </c>
      <c r="T470">
        <f>(S470+S471+S472)=Q3</f>
        <v/>
      </c>
      <c r="X470" s="84">
        <f>MAX(S467-S470,0)</f>
        <v/>
      </c>
      <c r="Y470" s="83" t="n">
        <v>0</v>
      </c>
      <c r="AA470" s="84" t="n">
        <v>7</v>
      </c>
      <c r="AB470" s="84" t="inlineStr">
        <is>
          <t>E</t>
        </is>
      </c>
      <c r="AC470" s="84" t="inlineStr">
        <is>
          <t>E+</t>
        </is>
      </c>
      <c r="AD470" s="84" t="n">
        <v>13</v>
      </c>
      <c r="AE470" s="84" t="n">
        <v>10</v>
      </c>
      <c r="AF470" s="84" t="n">
        <v>0.76</v>
      </c>
      <c r="AG470" s="84" t="n">
        <v>0.84</v>
      </c>
      <c r="AH470" s="84" t="n">
        <v>0</v>
      </c>
      <c r="AI470" s="84" t="n">
        <v>0</v>
      </c>
      <c r="AJ470" s="84">
        <f>SUMIFS(AH$8:AH$1039,$O$8:$O$1039,O470,$AB$8:$AB$1039,AB470,$R$8:$R$1039,R470,$AA$8:$AA$1039,"&lt;="&amp;AA470)</f>
        <v/>
      </c>
      <c r="AK470" s="84">
        <f>C48</f>
        <v/>
      </c>
      <c r="AL470" s="84">
        <f>C54</f>
        <v/>
      </c>
      <c r="AM470" s="84">
        <f>MAX(0,AJ470-AK470)</f>
        <v/>
      </c>
      <c r="AN470" s="84">
        <f>IF(AM470=0,AH470,IF(AM470&gt;=AH470,0,AH470-AM470))</f>
        <v/>
      </c>
      <c r="AO470" s="84">
        <f>IF(AM470&gt;=AH470,AI470,AI470*AM470/AH470)</f>
        <v/>
      </c>
      <c r="AP470">
        <f t="array" ref="AP470">INDEX($AU$8:$BB$25,6*(R470-1)+MATCH(AB470,$AS$8:$AS$13,0),MATCH(O470,$AU$7:$BB$7,0))</f>
        <v/>
      </c>
    </row>
    <row r="471" ht="14.25" customHeight="1">
      <c r="O471" s="43" t="inlineStr">
        <is>
          <t>Q4’26</t>
        </is>
      </c>
      <c r="P471" s="43" t="n">
        <v>2</v>
      </c>
      <c r="Q471" s="43" t="n">
        <v>15</v>
      </c>
      <c r="R471" s="43" t="n">
        <v>2</v>
      </c>
      <c r="S471" s="45" t="n">
        <v>2170.56</v>
      </c>
      <c r="T471">
        <f>(S470+S471+S472)=Q3</f>
        <v/>
      </c>
      <c r="X471" s="84">
        <f>MAX(S468-S471,0)</f>
        <v/>
      </c>
      <c r="Y471" s="83" t="n">
        <v>0</v>
      </c>
      <c r="AA471" s="84" t="n">
        <v>7</v>
      </c>
      <c r="AB471" s="84" t="inlineStr">
        <is>
          <t>E</t>
        </is>
      </c>
      <c r="AC471" s="84" t="inlineStr">
        <is>
          <t>E+</t>
        </is>
      </c>
      <c r="AD471" s="84" t="n">
        <v>13</v>
      </c>
      <c r="AE471" s="84" t="n">
        <v>10</v>
      </c>
      <c r="AF471" s="84" t="n">
        <v>0.76</v>
      </c>
      <c r="AG471" s="84" t="n">
        <v>0.84</v>
      </c>
      <c r="AH471" s="84" t="n">
        <v>0</v>
      </c>
      <c r="AI471" s="84" t="n">
        <v>0</v>
      </c>
      <c r="AJ471" s="84">
        <f>SUMIFS(AH$8:AH$1039,$O$8:$O$1039,O471,$AB$8:$AB$1039,AB471,$R$8:$R$1039,R471,$AA$8:$AA$1039,"&lt;="&amp;AA471)</f>
        <v/>
      </c>
      <c r="AK471" s="84">
        <f>D48</f>
        <v/>
      </c>
      <c r="AL471" s="84">
        <f>D54</f>
        <v/>
      </c>
      <c r="AM471" s="84">
        <f>MAX(0,AJ471-AK471)</f>
        <v/>
      </c>
      <c r="AN471" s="84">
        <f>IF(AM471=0,AH471,IF(AM471&gt;=AH471,0,AH471-AM471))</f>
        <v/>
      </c>
      <c r="AO471" s="84">
        <f>IF(AM471&gt;=AH471,AI471,AI471*AM471/AH471)</f>
        <v/>
      </c>
      <c r="AP471">
        <f t="array" ref="AP471">INDEX($AU$8:$BB$25,6*(R471-1)+MATCH(AB471,$AS$8:$AS$13,0),MATCH(O471,$AU$7:$BB$7,0))</f>
        <v/>
      </c>
    </row>
    <row r="472" ht="14.25" customHeight="1">
      <c r="O472" s="43" t="inlineStr">
        <is>
          <t>Q4’26</t>
        </is>
      </c>
      <c r="P472" s="43" t="n">
        <v>2</v>
      </c>
      <c r="Q472" s="43" t="n">
        <v>15</v>
      </c>
      <c r="R472" s="43" t="n">
        <v>3</v>
      </c>
      <c r="S472" s="45" t="n">
        <v>-0</v>
      </c>
      <c r="T472">
        <f>(S470+S471+S472)=Q3</f>
        <v/>
      </c>
      <c r="X472" s="84">
        <f>MAX(S469-S472,0)</f>
        <v/>
      </c>
      <c r="Y472" s="83" t="n">
        <v>0</v>
      </c>
      <c r="AA472" s="84" t="n">
        <v>7</v>
      </c>
      <c r="AB472" s="84" t="inlineStr">
        <is>
          <t>E</t>
        </is>
      </c>
      <c r="AC472" s="84" t="inlineStr">
        <is>
          <t>E+</t>
        </is>
      </c>
      <c r="AD472" s="84" t="n">
        <v>13</v>
      </c>
      <c r="AE472" s="84" t="n">
        <v>10</v>
      </c>
      <c r="AF472" s="84" t="n">
        <v>0.76</v>
      </c>
      <c r="AG472" s="84" t="n">
        <v>0.84</v>
      </c>
      <c r="AH472" s="84" t="n">
        <v>0</v>
      </c>
      <c r="AI472" s="84" t="n">
        <v>0</v>
      </c>
      <c r="AJ472" s="84">
        <f>SUMIFS(AH$8:AH$1039,$O$8:$O$1039,O472,$AB$8:$AB$1039,AB472,$R$8:$R$1039,R472,$AA$8:$AA$1039,"&lt;="&amp;AA472)</f>
        <v/>
      </c>
      <c r="AK472" s="84">
        <f>E48</f>
        <v/>
      </c>
      <c r="AL472" s="84">
        <f>E54</f>
        <v/>
      </c>
      <c r="AM472" s="84">
        <f>MAX(0,AJ472-AK472)</f>
        <v/>
      </c>
      <c r="AN472" s="84">
        <f>IF(AM472=0,AH472,IF(AM472&gt;=AH472,0,AH472-AM472))</f>
        <v/>
      </c>
      <c r="AO472" s="84">
        <f>IF(AM472&gt;=AH472,AI472,AI472*AM472/AH472)</f>
        <v/>
      </c>
      <c r="AP472">
        <f t="array" ref="AP472">INDEX($AU$8:$BB$25,6*(R472-1)+MATCH(AB472,$AS$8:$AS$13,0),MATCH(O472,$AU$7:$BB$7,0))</f>
        <v/>
      </c>
    </row>
    <row r="473" ht="14.25" customHeight="1">
      <c r="O473" s="43" t="inlineStr">
        <is>
          <t>Q4’26</t>
        </is>
      </c>
      <c r="P473" s="43" t="n">
        <v>3</v>
      </c>
      <c r="Q473" s="43" t="n">
        <v>1</v>
      </c>
      <c r="R473" s="43" t="n">
        <v>1</v>
      </c>
      <c r="S473" s="45" t="n">
        <v>1540.536995180425</v>
      </c>
      <c r="T473">
        <f>(S473+S474+S475)=Q4</f>
        <v/>
      </c>
      <c r="X473" s="84" t="n">
        <v>0</v>
      </c>
      <c r="Y473" s="83" t="n">
        <v>0</v>
      </c>
      <c r="AA473" s="84" t="n">
        <v>1</v>
      </c>
      <c r="AB473" s="84" t="inlineStr">
        <is>
          <t>C</t>
        </is>
      </c>
      <c r="AC473" s="84" t="inlineStr">
        <is>
          <t>C+</t>
        </is>
      </c>
      <c r="AD473" s="84" t="n">
        <v>21</v>
      </c>
      <c r="AE473" s="84" t="n">
        <v>20</v>
      </c>
      <c r="AF473" s="84" t="n">
        <v>0.8</v>
      </c>
      <c r="AG473" s="84" t="n">
        <v>0.86</v>
      </c>
      <c r="AH473" s="84" t="n">
        <v>0</v>
      </c>
      <c r="AI473" s="84" t="n">
        <v>0</v>
      </c>
      <c r="AJ473" s="84">
        <f>SUMIFS(AH$8:AH$1039,$O$8:$O$1039,O473,$AB$8:$AB$1039,AB473,$R$8:$R$1039,R473,$AA$8:$AA$1039,"&lt;="&amp;AA473)</f>
        <v/>
      </c>
      <c r="AK473" s="84">
        <f>C46</f>
        <v/>
      </c>
      <c r="AL473" s="84">
        <f>C52</f>
        <v/>
      </c>
      <c r="AM473" s="84">
        <f>MAX(0,AJ473-AK473)</f>
        <v/>
      </c>
      <c r="AN473" s="84">
        <f>IF(AM473=0,AH473,IF(AM473&gt;=AH473,0,AH473-AM473))</f>
        <v/>
      </c>
      <c r="AO473" s="84">
        <f>IF(AM473&gt;=AH473,AI473,AI473*AM473/AH473)</f>
        <v/>
      </c>
      <c r="AP473">
        <f t="array" ref="AP473">INDEX($AU$8:$BB$25,6*(R473-1)+MATCH(AB473,$AS$8:$AS$13,0),MATCH(O473,$AU$7:$BB$7,0))</f>
        <v/>
      </c>
    </row>
    <row r="474" ht="14.25" customHeight="1">
      <c r="O474" s="43" t="inlineStr">
        <is>
          <t>Q4’26</t>
        </is>
      </c>
      <c r="P474" s="43" t="n">
        <v>3</v>
      </c>
      <c r="Q474" s="43" t="n">
        <v>1</v>
      </c>
      <c r="R474" s="43" t="n">
        <v>2</v>
      </c>
      <c r="S474" s="45" t="n">
        <v>3671.491764705882</v>
      </c>
      <c r="T474">
        <f>(S473+S474+S475)=Q4</f>
        <v/>
      </c>
      <c r="X474" s="84" t="n">
        <v>0</v>
      </c>
      <c r="Y474" s="83" t="n">
        <v>0</v>
      </c>
      <c r="AA474" s="84" t="n">
        <v>1</v>
      </c>
      <c r="AB474" s="84" t="inlineStr">
        <is>
          <t>C</t>
        </is>
      </c>
      <c r="AC474" s="84" t="inlineStr">
        <is>
          <t>C+</t>
        </is>
      </c>
      <c r="AD474" s="84" t="n">
        <v>21</v>
      </c>
      <c r="AE474" s="84" t="n">
        <v>20</v>
      </c>
      <c r="AF474" s="84" t="n">
        <v>0.8</v>
      </c>
      <c r="AG474" s="84" t="n">
        <v>0.86</v>
      </c>
      <c r="AH474" s="84" t="n">
        <v>0</v>
      </c>
      <c r="AI474" s="84" t="n">
        <v>0</v>
      </c>
      <c r="AJ474" s="84">
        <f>SUMIFS(AH$8:AH$1039,$O$8:$O$1039,O474,$AB$8:$AB$1039,AB474,$R$8:$R$1039,R474,$AA$8:$AA$1039,"&lt;="&amp;AA474)</f>
        <v/>
      </c>
      <c r="AK474" s="84">
        <f>D46</f>
        <v/>
      </c>
      <c r="AL474" s="84">
        <f>D52</f>
        <v/>
      </c>
      <c r="AM474" s="84">
        <f>MAX(0,AJ474-AK474)</f>
        <v/>
      </c>
      <c r="AN474" s="84">
        <f>IF(AM474=0,AH474,IF(AM474&gt;=AH474,0,AH474-AM474))</f>
        <v/>
      </c>
      <c r="AO474" s="84">
        <f>IF(AM474&gt;=AH474,AI474,AI474*AM474/AH474)</f>
        <v/>
      </c>
      <c r="AP474">
        <f t="array" ref="AP474">INDEX($AU$8:$BB$25,6*(R474-1)+MATCH(AB474,$AS$8:$AS$13,0),MATCH(O474,$AU$7:$BB$7,0))</f>
        <v/>
      </c>
    </row>
    <row r="475" ht="14.25" customHeight="1">
      <c r="O475" s="43" t="inlineStr">
        <is>
          <t>Q4’26</t>
        </is>
      </c>
      <c r="P475" s="43" t="n">
        <v>3</v>
      </c>
      <c r="Q475" s="43" t="n">
        <v>1</v>
      </c>
      <c r="R475" s="43" t="n">
        <v>3</v>
      </c>
      <c r="S475" s="45" t="n">
        <v>2787.971240113693</v>
      </c>
      <c r="T475">
        <f>(S473+S474+S475)=Q4</f>
        <v/>
      </c>
      <c r="X475" s="84" t="n">
        <v>0</v>
      </c>
      <c r="Y475" s="83" t="n">
        <v>0</v>
      </c>
      <c r="AA475" s="84" t="n">
        <v>1</v>
      </c>
      <c r="AB475" s="84" t="inlineStr">
        <is>
          <t>C</t>
        </is>
      </c>
      <c r="AC475" s="84" t="inlineStr">
        <is>
          <t>C+</t>
        </is>
      </c>
      <c r="AD475" s="84" t="n">
        <v>21</v>
      </c>
      <c r="AE475" s="84" t="n">
        <v>20</v>
      </c>
      <c r="AF475" s="84" t="n">
        <v>0.8</v>
      </c>
      <c r="AG475" s="84" t="n">
        <v>0.86</v>
      </c>
      <c r="AH475" s="84" t="n">
        <v>0</v>
      </c>
      <c r="AI475" s="84" t="n">
        <v>0</v>
      </c>
      <c r="AJ475" s="84">
        <f>SUMIFS(AH$8:AH$1039,$O$8:$O$1039,O475,$AB$8:$AB$1039,AB475,$R$8:$R$1039,R475,$AA$8:$AA$1039,"&lt;="&amp;AA475)</f>
        <v/>
      </c>
      <c r="AK475" s="84">
        <f>E46</f>
        <v/>
      </c>
      <c r="AL475" s="84">
        <f>E52</f>
        <v/>
      </c>
      <c r="AM475" s="84">
        <f>MAX(0,AJ475-AK475)</f>
        <v/>
      </c>
      <c r="AN475" s="84">
        <f>IF(AM475=0,AH475,IF(AM475&gt;=AH475,0,AH475-AM475))</f>
        <v/>
      </c>
      <c r="AO475" s="84">
        <f>IF(AM475&gt;=AH475,AI475,AI475*AM475/AH475)</f>
        <v/>
      </c>
      <c r="AP475">
        <f t="array" ref="AP475">INDEX($AU$8:$BB$25,6*(R475-1)+MATCH(AB475,$AS$8:$AS$13,0),MATCH(O475,$AU$7:$BB$7,0))</f>
        <v/>
      </c>
    </row>
    <row r="476" ht="14.25" customHeight="1">
      <c r="O476" s="43" t="inlineStr">
        <is>
          <t>Q4’26</t>
        </is>
      </c>
      <c r="P476" s="43" t="n">
        <v>3</v>
      </c>
      <c r="Q476" s="43" t="n">
        <v>2</v>
      </c>
      <c r="R476" s="43" t="n">
        <v>1</v>
      </c>
      <c r="S476" s="45" t="n">
        <v>1540.536995180425</v>
      </c>
      <c r="T476">
        <f>(S476+S477+S478)=Q4</f>
        <v/>
      </c>
      <c r="X476" s="84">
        <f>MAX(S473-S476,0)</f>
        <v/>
      </c>
      <c r="Y476" s="83" t="n">
        <v>0</v>
      </c>
      <c r="AA476" s="84" t="n">
        <v>8</v>
      </c>
      <c r="AB476" s="84" t="inlineStr">
        <is>
          <t>D</t>
        </is>
      </c>
      <c r="AC476" s="84" t="inlineStr">
        <is>
          <t>D+</t>
        </is>
      </c>
      <c r="AD476" s="84" t="n">
        <v>9</v>
      </c>
      <c r="AE476" s="84" t="n">
        <v>7</v>
      </c>
      <c r="AF476" s="84" t="n">
        <v>0.8</v>
      </c>
      <c r="AG476" s="84" t="n">
        <v>0.88</v>
      </c>
      <c r="AH476" s="84" t="n">
        <v>0</v>
      </c>
      <c r="AI476" s="84" t="n">
        <v>0</v>
      </c>
      <c r="AJ476" s="84">
        <f>SUMIFS(AH$8:AH$1039,$O$8:$O$1039,O476,$AB$8:$AB$1039,AB476,$R$8:$R$1039,R476,$AA$8:$AA$1039,"&lt;="&amp;AA476)</f>
        <v/>
      </c>
      <c r="AK476" s="84">
        <f>C47</f>
        <v/>
      </c>
      <c r="AL476" s="84">
        <f>C53</f>
        <v/>
      </c>
      <c r="AM476" s="84">
        <f>MAX(0,AJ476-AK476)</f>
        <v/>
      </c>
      <c r="AN476" s="84">
        <f>IF(AM476=0,AH476,IF(AM476&gt;=AH476,0,AH476-AM476))</f>
        <v/>
      </c>
      <c r="AO476" s="84">
        <f>IF(AM476&gt;=AH476,AI476,AI476*AM476/AH476)</f>
        <v/>
      </c>
      <c r="AP476">
        <f t="array" ref="AP476">INDEX($AU$8:$BB$25,6*(R476-1)+MATCH(AB476,$AS$8:$AS$13,0),MATCH(O476,$AU$7:$BB$7,0))</f>
        <v/>
      </c>
    </row>
    <row r="477" ht="14.25" customHeight="1">
      <c r="O477" s="43" t="inlineStr">
        <is>
          <t>Q4’26</t>
        </is>
      </c>
      <c r="P477" s="43" t="n">
        <v>3</v>
      </c>
      <c r="Q477" s="43" t="n">
        <v>2</v>
      </c>
      <c r="R477" s="43" t="n">
        <v>2</v>
      </c>
      <c r="S477" s="45" t="n">
        <v>3671.491764705882</v>
      </c>
      <c r="T477">
        <f>(S476+S477+S478)=Q4</f>
        <v/>
      </c>
      <c r="X477" s="84">
        <f>MAX(S474-S477,0)</f>
        <v/>
      </c>
      <c r="Y477" s="83" t="n">
        <v>0</v>
      </c>
      <c r="AA477" s="84" t="n">
        <v>8</v>
      </c>
      <c r="AB477" s="84" t="inlineStr">
        <is>
          <t>D</t>
        </is>
      </c>
      <c r="AC477" s="84" t="inlineStr">
        <is>
          <t>D+</t>
        </is>
      </c>
      <c r="AD477" s="84" t="n">
        <v>9</v>
      </c>
      <c r="AE477" s="84" t="n">
        <v>7</v>
      </c>
      <c r="AF477" s="84" t="n">
        <v>0.8</v>
      </c>
      <c r="AG477" s="84" t="n">
        <v>0.88</v>
      </c>
      <c r="AH477" s="84" t="n">
        <v>0</v>
      </c>
      <c r="AI477" s="84" t="n">
        <v>0</v>
      </c>
      <c r="AJ477" s="84">
        <f>SUMIFS(AH$8:AH$1039,$O$8:$O$1039,O477,$AB$8:$AB$1039,AB477,$R$8:$R$1039,R477,$AA$8:$AA$1039,"&lt;="&amp;AA477)</f>
        <v/>
      </c>
      <c r="AK477" s="84">
        <f>D47</f>
        <v/>
      </c>
      <c r="AL477" s="84">
        <f>D53</f>
        <v/>
      </c>
      <c r="AM477" s="84">
        <f>MAX(0,AJ477-AK477)</f>
        <v/>
      </c>
      <c r="AN477" s="84">
        <f>IF(AM477=0,AH477,IF(AM477&gt;=AH477,0,AH477-AM477))</f>
        <v/>
      </c>
      <c r="AO477" s="84">
        <f>IF(AM477&gt;=AH477,AI477,AI477*AM477/AH477)</f>
        <v/>
      </c>
      <c r="AP477">
        <f t="array" ref="AP477">INDEX($AU$8:$BB$25,6*(R477-1)+MATCH(AB477,$AS$8:$AS$13,0),MATCH(O477,$AU$7:$BB$7,0))</f>
        <v/>
      </c>
    </row>
    <row r="478" ht="14.25" customHeight="1">
      <c r="O478" s="43" t="inlineStr">
        <is>
          <t>Q4’26</t>
        </is>
      </c>
      <c r="P478" s="43" t="n">
        <v>3</v>
      </c>
      <c r="Q478" s="43" t="n">
        <v>2</v>
      </c>
      <c r="R478" s="43" t="n">
        <v>3</v>
      </c>
      <c r="S478" s="45" t="n">
        <v>2787.971240113693</v>
      </c>
      <c r="T478">
        <f>(S476+S477+S478)=Q4</f>
        <v/>
      </c>
      <c r="X478" s="84">
        <f>MAX(S475-S478,0)</f>
        <v/>
      </c>
      <c r="Y478" s="83" t="n">
        <v>0</v>
      </c>
      <c r="AA478" s="84" t="n">
        <v>8</v>
      </c>
      <c r="AB478" s="84" t="inlineStr">
        <is>
          <t>D</t>
        </is>
      </c>
      <c r="AC478" s="84" t="inlineStr">
        <is>
          <t>D+</t>
        </is>
      </c>
      <c r="AD478" s="84" t="n">
        <v>9</v>
      </c>
      <c r="AE478" s="84" t="n">
        <v>7</v>
      </c>
      <c r="AF478" s="84" t="n">
        <v>0.8</v>
      </c>
      <c r="AG478" s="84" t="n">
        <v>0.88</v>
      </c>
      <c r="AH478" s="84" t="n">
        <v>0</v>
      </c>
      <c r="AI478" s="84" t="n">
        <v>0</v>
      </c>
      <c r="AJ478" s="84">
        <f>SUMIFS(AH$8:AH$1039,$O$8:$O$1039,O478,$AB$8:$AB$1039,AB478,$R$8:$R$1039,R478,$AA$8:$AA$1039,"&lt;="&amp;AA478)</f>
        <v/>
      </c>
      <c r="AK478" s="84">
        <f>E47</f>
        <v/>
      </c>
      <c r="AL478" s="84">
        <f>E53</f>
        <v/>
      </c>
      <c r="AM478" s="84">
        <f>MAX(0,AJ478-AK478)</f>
        <v/>
      </c>
      <c r="AN478" s="84">
        <f>IF(AM478=0,AH478,IF(AM478&gt;=AH478,0,AH478-AM478))</f>
        <v/>
      </c>
      <c r="AO478" s="84">
        <f>IF(AM478&gt;=AH478,AI478,AI478*AM478/AH478)</f>
        <v/>
      </c>
      <c r="AP478">
        <f t="array" ref="AP478">INDEX($AU$8:$BB$25,6*(R478-1)+MATCH(AB478,$AS$8:$AS$13,0),MATCH(O478,$AU$7:$BB$7,0))</f>
        <v/>
      </c>
    </row>
    <row r="479" ht="14.25" customHeight="1">
      <c r="O479" s="43" t="inlineStr">
        <is>
          <t>Q4’26</t>
        </is>
      </c>
      <c r="P479" s="43" t="n">
        <v>3</v>
      </c>
      <c r="Q479" s="43" t="n">
        <v>3</v>
      </c>
      <c r="R479" s="43" t="n">
        <v>1</v>
      </c>
      <c r="S479" s="45" t="n">
        <v>1540.536995180425</v>
      </c>
      <c r="T479">
        <f>(S479+S480+S481)=Q4</f>
        <v/>
      </c>
      <c r="X479" s="84">
        <f>MAX(S476-S479,0)</f>
        <v/>
      </c>
      <c r="Y479" s="83" t="n">
        <v>0</v>
      </c>
      <c r="AA479" s="84" t="n">
        <v>1</v>
      </c>
      <c r="AB479" s="84" t="inlineStr">
        <is>
          <t>E</t>
        </is>
      </c>
      <c r="AC479" s="84" t="inlineStr">
        <is>
          <t>E+</t>
        </is>
      </c>
      <c r="AD479" s="84" t="n">
        <v>24</v>
      </c>
      <c r="AE479" s="84" t="n">
        <v>23</v>
      </c>
      <c r="AF479" s="84" t="n">
        <v>0.76</v>
      </c>
      <c r="AG479" s="84" t="n">
        <v>0.84</v>
      </c>
      <c r="AH479" s="84" t="n">
        <v>0</v>
      </c>
      <c r="AI479" s="84" t="n">
        <v>0</v>
      </c>
      <c r="AJ479" s="84">
        <f>SUMIFS(AH$8:AH$1039,$O$8:$O$1039,O479,$AB$8:$AB$1039,AB479,$R$8:$R$1039,R479,$AA$8:$AA$1039,"&lt;="&amp;AA479)</f>
        <v/>
      </c>
      <c r="AK479" s="84">
        <f>C48</f>
        <v/>
      </c>
      <c r="AL479" s="84">
        <f>C54</f>
        <v/>
      </c>
      <c r="AM479" s="84">
        <f>MAX(0,AJ479-AK479)</f>
        <v/>
      </c>
      <c r="AN479" s="84">
        <f>IF(AM479=0,AH479,IF(AM479&gt;=AH479,0,AH479-AM479))</f>
        <v/>
      </c>
      <c r="AO479" s="84">
        <f>IF(AM479&gt;=AH479,AI479,AI479*AM479/AH479)</f>
        <v/>
      </c>
      <c r="AP479">
        <f t="array" ref="AP479">INDEX($AU$8:$BB$25,6*(R479-1)+MATCH(AB479,$AS$8:$AS$13,0),MATCH(O479,$AU$7:$BB$7,0))</f>
        <v/>
      </c>
    </row>
    <row r="480" ht="14.25" customHeight="1">
      <c r="O480" s="43" t="inlineStr">
        <is>
          <t>Q4’26</t>
        </is>
      </c>
      <c r="P480" s="43" t="n">
        <v>3</v>
      </c>
      <c r="Q480" s="43" t="n">
        <v>3</v>
      </c>
      <c r="R480" s="43" t="n">
        <v>2</v>
      </c>
      <c r="S480" s="45" t="n">
        <v>3671.491764705882</v>
      </c>
      <c r="T480">
        <f>(S479+S480+S481)=Q4</f>
        <v/>
      </c>
      <c r="X480" s="84">
        <f>MAX(S477-S480,0)</f>
        <v/>
      </c>
      <c r="Y480" s="83" t="n">
        <v>0</v>
      </c>
      <c r="AA480" s="84" t="n">
        <v>1</v>
      </c>
      <c r="AB480" s="84" t="inlineStr">
        <is>
          <t>E</t>
        </is>
      </c>
      <c r="AC480" s="84" t="inlineStr">
        <is>
          <t>E+</t>
        </is>
      </c>
      <c r="AD480" s="84" t="n">
        <v>24</v>
      </c>
      <c r="AE480" s="84" t="n">
        <v>23</v>
      </c>
      <c r="AF480" s="84" t="n">
        <v>0.76</v>
      </c>
      <c r="AG480" s="84" t="n">
        <v>0.84</v>
      </c>
      <c r="AH480" s="84" t="n">
        <v>0</v>
      </c>
      <c r="AI480" s="84" t="n">
        <v>0</v>
      </c>
      <c r="AJ480" s="84">
        <f>SUMIFS(AH$8:AH$1039,$O$8:$O$1039,O480,$AB$8:$AB$1039,AB480,$R$8:$R$1039,R480,$AA$8:$AA$1039,"&lt;="&amp;AA480)</f>
        <v/>
      </c>
      <c r="AK480" s="84">
        <f>D48</f>
        <v/>
      </c>
      <c r="AL480" s="84">
        <f>D54</f>
        <v/>
      </c>
      <c r="AM480" s="84">
        <f>MAX(0,AJ480-AK480)</f>
        <v/>
      </c>
      <c r="AN480" s="84">
        <f>IF(AM480=0,AH480,IF(AM480&gt;=AH480,0,AH480-AM480))</f>
        <v/>
      </c>
      <c r="AO480" s="84">
        <f>IF(AM480&gt;=AH480,AI480,AI480*AM480/AH480)</f>
        <v/>
      </c>
      <c r="AP480">
        <f t="array" ref="AP480">INDEX($AU$8:$BB$25,6*(R480-1)+MATCH(AB480,$AS$8:$AS$13,0),MATCH(O480,$AU$7:$BB$7,0))</f>
        <v/>
      </c>
    </row>
    <row r="481" ht="14.25" customHeight="1">
      <c r="O481" s="43" t="inlineStr">
        <is>
          <t>Q4’26</t>
        </is>
      </c>
      <c r="P481" s="43" t="n">
        <v>3</v>
      </c>
      <c r="Q481" s="43" t="n">
        <v>3</v>
      </c>
      <c r="R481" s="43" t="n">
        <v>3</v>
      </c>
      <c r="S481" s="45" t="n">
        <v>2787.971240113693</v>
      </c>
      <c r="T481">
        <f>(S479+S480+S481)=Q4</f>
        <v/>
      </c>
      <c r="X481" s="84">
        <f>MAX(S478-S481,0)</f>
        <v/>
      </c>
      <c r="Y481" s="83" t="n">
        <v>0</v>
      </c>
      <c r="AA481" s="84" t="n">
        <v>1</v>
      </c>
      <c r="AB481" s="84" t="inlineStr">
        <is>
          <t>E</t>
        </is>
      </c>
      <c r="AC481" s="84" t="inlineStr">
        <is>
          <t>E+</t>
        </is>
      </c>
      <c r="AD481" s="84" t="n">
        <v>24</v>
      </c>
      <c r="AE481" s="84" t="n">
        <v>23</v>
      </c>
      <c r="AF481" s="84" t="n">
        <v>0.76</v>
      </c>
      <c r="AG481" s="84" t="n">
        <v>0.84</v>
      </c>
      <c r="AH481" s="84" t="n">
        <v>0</v>
      </c>
      <c r="AI481" s="84" t="n">
        <v>0</v>
      </c>
      <c r="AJ481" s="84">
        <f>SUMIFS(AH$8:AH$1039,$O$8:$O$1039,O481,$AB$8:$AB$1039,AB481,$R$8:$R$1039,R481,$AA$8:$AA$1039,"&lt;="&amp;AA481)</f>
        <v/>
      </c>
      <c r="AK481" s="84">
        <f>E48</f>
        <v/>
      </c>
      <c r="AL481" s="84">
        <f>E54</f>
        <v/>
      </c>
      <c r="AM481" s="84">
        <f>MAX(0,AJ481-AK481)</f>
        <v/>
      </c>
      <c r="AN481" s="84">
        <f>IF(AM481=0,AH481,IF(AM481&gt;=AH481,0,AH481-AM481))</f>
        <v/>
      </c>
      <c r="AO481" s="84">
        <f>IF(AM481&gt;=AH481,AI481,AI481*AM481/AH481)</f>
        <v/>
      </c>
      <c r="AP481">
        <f t="array" ref="AP481">INDEX($AU$8:$BB$25,6*(R481-1)+MATCH(AB481,$AS$8:$AS$13,0),MATCH(O481,$AU$7:$BB$7,0))</f>
        <v/>
      </c>
    </row>
    <row r="482" ht="14.25" customHeight="1">
      <c r="O482" s="43" t="inlineStr">
        <is>
          <t>Q4’26</t>
        </is>
      </c>
      <c r="P482" s="43" t="n">
        <v>3</v>
      </c>
      <c r="Q482" s="43" t="n">
        <v>4</v>
      </c>
      <c r="R482" s="43" t="n">
        <v>1</v>
      </c>
      <c r="S482" s="45" t="n">
        <v>1540.536995180425</v>
      </c>
      <c r="T482">
        <f>(S482+S483+S484)=Q4</f>
        <v/>
      </c>
      <c r="X482" s="84">
        <f>MAX(S479-S482,0)</f>
        <v/>
      </c>
      <c r="Y482" s="83" t="n">
        <v>0</v>
      </c>
      <c r="AA482" s="84" t="n">
        <v>9</v>
      </c>
      <c r="AB482" s="84" t="inlineStr">
        <is>
          <t>E</t>
        </is>
      </c>
      <c r="AC482" s="84" t="inlineStr">
        <is>
          <t>E+</t>
        </is>
      </c>
      <c r="AD482" s="84" t="n">
        <v>15</v>
      </c>
      <c r="AE482" s="84" t="n">
        <v>11</v>
      </c>
      <c r="AF482" s="84" t="n">
        <v>0.76</v>
      </c>
      <c r="AG482" s="84" t="n">
        <v>0.84</v>
      </c>
      <c r="AH482" s="84" t="n">
        <v>0</v>
      </c>
      <c r="AI482" s="84" t="n">
        <v>0</v>
      </c>
      <c r="AJ482" s="84">
        <f>SUMIFS(AH$8:AH$1039,$O$8:$O$1039,O482,$AB$8:$AB$1039,AB482,$R$8:$R$1039,R482,$AA$8:$AA$1039,"&lt;="&amp;AA482)</f>
        <v/>
      </c>
      <c r="AK482" s="84">
        <f>C48</f>
        <v/>
      </c>
      <c r="AL482" s="84">
        <f>C54</f>
        <v/>
      </c>
      <c r="AM482" s="84">
        <f>MAX(0,AJ482-AK482)</f>
        <v/>
      </c>
      <c r="AN482" s="84">
        <f>IF(AM482=0,AH482,IF(AM482&gt;=AH482,0,AH482-AM482))</f>
        <v/>
      </c>
      <c r="AO482" s="84">
        <f>IF(AM482&gt;=AH482,AI482,AI482*AM482/AH482)</f>
        <v/>
      </c>
      <c r="AP482">
        <f t="array" ref="AP482">INDEX($AU$8:$BB$25,6*(R482-1)+MATCH(AB482,$AS$8:$AS$13,0),MATCH(O482,$AU$7:$BB$7,0))</f>
        <v/>
      </c>
    </row>
    <row r="483" ht="14.25" customHeight="1">
      <c r="O483" s="43" t="inlineStr">
        <is>
          <t>Q4’26</t>
        </is>
      </c>
      <c r="P483" s="43" t="n">
        <v>3</v>
      </c>
      <c r="Q483" s="43" t="n">
        <v>4</v>
      </c>
      <c r="R483" s="43" t="n">
        <v>2</v>
      </c>
      <c r="S483" s="45" t="n">
        <v>3671.491764705882</v>
      </c>
      <c r="T483">
        <f>(S482+S483+S484)=Q4</f>
        <v/>
      </c>
      <c r="X483" s="84">
        <f>MAX(S480-S483,0)</f>
        <v/>
      </c>
      <c r="Y483" s="83" t="n">
        <v>0</v>
      </c>
      <c r="AA483" s="84" t="n">
        <v>9</v>
      </c>
      <c r="AB483" s="84" t="inlineStr">
        <is>
          <t>E</t>
        </is>
      </c>
      <c r="AC483" s="84" t="inlineStr">
        <is>
          <t>E+</t>
        </is>
      </c>
      <c r="AD483" s="84" t="n">
        <v>15</v>
      </c>
      <c r="AE483" s="84" t="n">
        <v>11</v>
      </c>
      <c r="AF483" s="84" t="n">
        <v>0.76</v>
      </c>
      <c r="AG483" s="84" t="n">
        <v>0.84</v>
      </c>
      <c r="AH483" s="84" t="n">
        <v>0</v>
      </c>
      <c r="AI483" s="84" t="n">
        <v>0</v>
      </c>
      <c r="AJ483" s="84">
        <f>SUMIFS(AH$8:AH$1039,$O$8:$O$1039,O483,$AB$8:$AB$1039,AB483,$R$8:$R$1039,R483,$AA$8:$AA$1039,"&lt;="&amp;AA483)</f>
        <v/>
      </c>
      <c r="AK483" s="84">
        <f>D48</f>
        <v/>
      </c>
      <c r="AL483" s="84">
        <f>D54</f>
        <v/>
      </c>
      <c r="AM483" s="84">
        <f>MAX(0,AJ483-AK483)</f>
        <v/>
      </c>
      <c r="AN483" s="84">
        <f>IF(AM483=0,AH483,IF(AM483&gt;=AH483,0,AH483-AM483))</f>
        <v/>
      </c>
      <c r="AO483" s="84">
        <f>IF(AM483&gt;=AH483,AI483,AI483*AM483/AH483)</f>
        <v/>
      </c>
      <c r="AP483">
        <f t="array" ref="AP483">INDEX($AU$8:$BB$25,6*(R483-1)+MATCH(AB483,$AS$8:$AS$13,0),MATCH(O483,$AU$7:$BB$7,0))</f>
        <v/>
      </c>
    </row>
    <row r="484" ht="14.25" customHeight="1">
      <c r="O484" s="43" t="inlineStr">
        <is>
          <t>Q4’26</t>
        </is>
      </c>
      <c r="P484" s="43" t="n">
        <v>3</v>
      </c>
      <c r="Q484" s="43" t="n">
        <v>4</v>
      </c>
      <c r="R484" s="43" t="n">
        <v>3</v>
      </c>
      <c r="S484" s="45" t="n">
        <v>2787.971240113693</v>
      </c>
      <c r="T484">
        <f>(S482+S483+S484)=Q4</f>
        <v/>
      </c>
      <c r="X484" s="84">
        <f>MAX(S481-S484,0)</f>
        <v/>
      </c>
      <c r="Y484" s="83" t="n">
        <v>0</v>
      </c>
      <c r="AA484" s="84" t="n">
        <v>9</v>
      </c>
      <c r="AB484" s="84" t="inlineStr">
        <is>
          <t>E</t>
        </is>
      </c>
      <c r="AC484" s="84" t="inlineStr">
        <is>
          <t>E+</t>
        </is>
      </c>
      <c r="AD484" s="84" t="n">
        <v>15</v>
      </c>
      <c r="AE484" s="84" t="n">
        <v>11</v>
      </c>
      <c r="AF484" s="84" t="n">
        <v>0.76</v>
      </c>
      <c r="AG484" s="84" t="n">
        <v>0.84</v>
      </c>
      <c r="AH484" s="84" t="n">
        <v>0</v>
      </c>
      <c r="AI484" s="84" t="n">
        <v>0</v>
      </c>
      <c r="AJ484" s="84">
        <f>SUMIFS(AH$8:AH$1039,$O$8:$O$1039,O484,$AB$8:$AB$1039,AB484,$R$8:$R$1039,R484,$AA$8:$AA$1039,"&lt;="&amp;AA484)</f>
        <v/>
      </c>
      <c r="AK484" s="84">
        <f>E48</f>
        <v/>
      </c>
      <c r="AL484" s="84">
        <f>E54</f>
        <v/>
      </c>
      <c r="AM484" s="84">
        <f>MAX(0,AJ484-AK484)</f>
        <v/>
      </c>
      <c r="AN484" s="84">
        <f>IF(AM484=0,AH484,IF(AM484&gt;=AH484,0,AH484-AM484))</f>
        <v/>
      </c>
      <c r="AO484" s="84">
        <f>IF(AM484&gt;=AH484,AI484,AI484*AM484/AH484)</f>
        <v/>
      </c>
      <c r="AP484">
        <f t="array" ref="AP484">INDEX($AU$8:$BB$25,6*(R484-1)+MATCH(AB484,$AS$8:$AS$13,0),MATCH(O484,$AU$7:$BB$7,0))</f>
        <v/>
      </c>
    </row>
    <row r="485" ht="14.25" customHeight="1">
      <c r="O485" s="43" t="inlineStr">
        <is>
          <t>Q4’26</t>
        </is>
      </c>
      <c r="P485" s="43" t="n">
        <v>3</v>
      </c>
      <c r="Q485" s="43" t="n">
        <v>5</v>
      </c>
      <c r="R485" s="43" t="n">
        <v>1</v>
      </c>
      <c r="S485" s="45" t="n">
        <v>1540.536995180425</v>
      </c>
      <c r="T485">
        <f>(S485+S486+S487)=Q4</f>
        <v/>
      </c>
      <c r="X485" s="84">
        <f>MAX(S482-S485,0)</f>
        <v/>
      </c>
      <c r="Y485" s="83" t="n">
        <v>0</v>
      </c>
      <c r="AA485" s="84" t="n">
        <v>6</v>
      </c>
      <c r="AB485" s="84" t="inlineStr">
        <is>
          <t>F</t>
        </is>
      </c>
      <c r="AC485" s="84" t="inlineStr">
        <is>
          <t>F+</t>
        </is>
      </c>
      <c r="AD485" s="84" t="n">
        <v>16</v>
      </c>
      <c r="AE485" s="84" t="n">
        <v>14</v>
      </c>
      <c r="AF485" s="84" t="n">
        <v>0.8</v>
      </c>
      <c r="AG485" s="84" t="n">
        <v>0.9</v>
      </c>
      <c r="AH485" s="84" t="n">
        <v>0</v>
      </c>
      <c r="AI485" s="84" t="n">
        <v>0</v>
      </c>
      <c r="AJ485" s="84">
        <f>SUMIFS(AH$8:AH$1039,$O$8:$O$1039,O485,$AB$8:$AB$1039,AB485,$R$8:$R$1039,R485,$AA$8:$AA$1039,"&lt;="&amp;AA485)</f>
        <v/>
      </c>
      <c r="AK485" s="84">
        <f>C49</f>
        <v/>
      </c>
      <c r="AL485" s="84">
        <f>C55</f>
        <v/>
      </c>
      <c r="AM485" s="84">
        <f>MAX(0,AJ485-AK485)</f>
        <v/>
      </c>
      <c r="AN485" s="84">
        <f>IF(AM485=0,AH485,IF(AM485&gt;=AH485,0,AH485-AM485))</f>
        <v/>
      </c>
      <c r="AO485" s="84">
        <f>IF(AM485&gt;=AH485,AI485,AI485*AM485/AH485)</f>
        <v/>
      </c>
      <c r="AP485">
        <f t="array" ref="AP485">INDEX($AU$8:$BB$25,6*(R485-1)+MATCH(AB485,$AS$8:$AS$13,0),MATCH(O485,$AU$7:$BB$7,0))</f>
        <v/>
      </c>
    </row>
    <row r="486" ht="14.25" customHeight="1">
      <c r="O486" s="43" t="inlineStr">
        <is>
          <t>Q4’26</t>
        </is>
      </c>
      <c r="P486" s="43" t="n">
        <v>3</v>
      </c>
      <c r="Q486" s="43" t="n">
        <v>5</v>
      </c>
      <c r="R486" s="43" t="n">
        <v>2</v>
      </c>
      <c r="S486" s="45" t="n">
        <v>3671.491764705882</v>
      </c>
      <c r="T486">
        <f>(S485+S486+S487)=Q4</f>
        <v/>
      </c>
      <c r="X486" s="84">
        <f>MAX(S483-S486,0)</f>
        <v/>
      </c>
      <c r="Y486" s="83" t="n">
        <v>0</v>
      </c>
      <c r="AA486" s="84" t="n">
        <v>6</v>
      </c>
      <c r="AB486" s="84" t="inlineStr">
        <is>
          <t>F</t>
        </is>
      </c>
      <c r="AC486" s="84" t="inlineStr">
        <is>
          <t>F+</t>
        </is>
      </c>
      <c r="AD486" s="84" t="n">
        <v>16</v>
      </c>
      <c r="AE486" s="84" t="n">
        <v>14</v>
      </c>
      <c r="AF486" s="84" t="n">
        <v>0.8</v>
      </c>
      <c r="AG486" s="84" t="n">
        <v>0.9</v>
      </c>
      <c r="AH486" s="84" t="n">
        <v>0</v>
      </c>
      <c r="AI486" s="84" t="n">
        <v>0</v>
      </c>
      <c r="AJ486" s="84">
        <f>SUMIFS(AH$8:AH$1039,$O$8:$O$1039,O486,$AB$8:$AB$1039,AB486,$R$8:$R$1039,R486,$AA$8:$AA$1039,"&lt;="&amp;AA486)</f>
        <v/>
      </c>
      <c r="AK486" s="84">
        <f>D49</f>
        <v/>
      </c>
      <c r="AL486" s="84">
        <f>D55</f>
        <v/>
      </c>
      <c r="AM486" s="84">
        <f>MAX(0,AJ486-AK486)</f>
        <v/>
      </c>
      <c r="AN486" s="84">
        <f>IF(AM486=0,AH486,IF(AM486&gt;=AH486,0,AH486-AM486))</f>
        <v/>
      </c>
      <c r="AO486" s="84">
        <f>IF(AM486&gt;=AH486,AI486,AI486*AM486/AH486)</f>
        <v/>
      </c>
      <c r="AP486">
        <f t="array" ref="AP486">INDEX($AU$8:$BB$25,6*(R486-1)+MATCH(AB486,$AS$8:$AS$13,0),MATCH(O486,$AU$7:$BB$7,0))</f>
        <v/>
      </c>
    </row>
    <row r="487" ht="14.25" customHeight="1">
      <c r="O487" s="43" t="inlineStr">
        <is>
          <t>Q4’26</t>
        </is>
      </c>
      <c r="P487" s="43" t="n">
        <v>3</v>
      </c>
      <c r="Q487" s="43" t="n">
        <v>5</v>
      </c>
      <c r="R487" s="43" t="n">
        <v>3</v>
      </c>
      <c r="S487" s="45" t="n">
        <v>2787.971240113693</v>
      </c>
      <c r="T487">
        <f>(S485+S486+S487)=Q4</f>
        <v/>
      </c>
      <c r="X487" s="84">
        <f>MAX(S484-S487,0)</f>
        <v/>
      </c>
      <c r="Y487" s="83" t="n">
        <v>0</v>
      </c>
      <c r="AA487" s="84" t="n">
        <v>6</v>
      </c>
      <c r="AB487" s="84" t="inlineStr">
        <is>
          <t>F</t>
        </is>
      </c>
      <c r="AC487" s="84" t="inlineStr">
        <is>
          <t>F+</t>
        </is>
      </c>
      <c r="AD487" s="84" t="n">
        <v>16</v>
      </c>
      <c r="AE487" s="84" t="n">
        <v>14</v>
      </c>
      <c r="AF487" s="84" t="n">
        <v>0.8</v>
      </c>
      <c r="AG487" s="84" t="n">
        <v>0.9</v>
      </c>
      <c r="AH487" s="84" t="n">
        <v>0</v>
      </c>
      <c r="AI487" s="84" t="n">
        <v>0</v>
      </c>
      <c r="AJ487" s="84">
        <f>SUMIFS(AH$8:AH$1039,$O$8:$O$1039,O487,$AB$8:$AB$1039,AB487,$R$8:$R$1039,R487,$AA$8:$AA$1039,"&lt;="&amp;AA487)</f>
        <v/>
      </c>
      <c r="AK487" s="84">
        <f>E49</f>
        <v/>
      </c>
      <c r="AL487" s="84">
        <f>E55</f>
        <v/>
      </c>
      <c r="AM487" s="84">
        <f>MAX(0,AJ487-AK487)</f>
        <v/>
      </c>
      <c r="AN487" s="84">
        <f>IF(AM487=0,AH487,IF(AM487&gt;=AH487,0,AH487-AM487))</f>
        <v/>
      </c>
      <c r="AO487" s="84">
        <f>IF(AM487&gt;=AH487,AI487,AI487*AM487/AH487)</f>
        <v/>
      </c>
      <c r="AP487">
        <f t="array" ref="AP487">INDEX($AU$8:$BB$25,6*(R487-1)+MATCH(AB487,$AS$8:$AS$13,0),MATCH(O487,$AU$7:$BB$7,0))</f>
        <v/>
      </c>
    </row>
    <row r="488" ht="14.25" customHeight="1">
      <c r="O488" s="43" t="inlineStr">
        <is>
          <t>Q4’26</t>
        </is>
      </c>
      <c r="P488" s="43" t="n">
        <v>3</v>
      </c>
      <c r="Q488" s="43" t="n">
        <v>6</v>
      </c>
      <c r="R488" s="43" t="n">
        <v>1</v>
      </c>
      <c r="S488" s="45" t="n">
        <v>1540.536995180425</v>
      </c>
      <c r="T488">
        <f>(S488+S489+S490)=Q4</f>
        <v/>
      </c>
      <c r="X488" s="84">
        <f>MAX(S485-S488,0)</f>
        <v/>
      </c>
      <c r="Y488" s="83" t="n">
        <v>0</v>
      </c>
      <c r="AA488" s="84" t="n">
        <v>1</v>
      </c>
      <c r="AB488" s="84" t="inlineStr">
        <is>
          <t>D</t>
        </is>
      </c>
      <c r="AC488" s="84" t="inlineStr">
        <is>
          <t>D+</t>
        </is>
      </c>
      <c r="AD488" s="84" t="n">
        <v>12</v>
      </c>
      <c r="AE488" s="84" t="n">
        <v>11</v>
      </c>
      <c r="AF488" s="84" t="n">
        <v>0.8</v>
      </c>
      <c r="AG488" s="84" t="n">
        <v>0.88</v>
      </c>
      <c r="AH488" s="84" t="n">
        <v>0</v>
      </c>
      <c r="AI488" s="84" t="n">
        <v>0</v>
      </c>
      <c r="AJ488" s="84">
        <f>SUMIFS(AH$8:AH$1039,$O$8:$O$1039,O488,$AB$8:$AB$1039,AB488,$R$8:$R$1039,R488,$AA$8:$AA$1039,"&lt;="&amp;AA488)</f>
        <v/>
      </c>
      <c r="AK488" s="84">
        <f>C47</f>
        <v/>
      </c>
      <c r="AL488" s="84">
        <f>C53</f>
        <v/>
      </c>
      <c r="AM488" s="84">
        <f>MAX(0,AJ488-AK488)</f>
        <v/>
      </c>
      <c r="AN488" s="84">
        <f>IF(AM488=0,AH488,IF(AM488&gt;=AH488,0,AH488-AM488))</f>
        <v/>
      </c>
      <c r="AO488" s="84">
        <f>IF(AM488&gt;=AH488,AI488,AI488*AM488/AH488)</f>
        <v/>
      </c>
      <c r="AP488">
        <f t="array" ref="AP488">INDEX($AU$8:$BB$25,6*(R488-1)+MATCH(AB488,$AS$8:$AS$13,0),MATCH(O488,$AU$7:$BB$7,0))</f>
        <v/>
      </c>
    </row>
    <row r="489" ht="14.25" customHeight="1">
      <c r="O489" s="43" t="inlineStr">
        <is>
          <t>Q4’26</t>
        </is>
      </c>
      <c r="P489" s="43" t="n">
        <v>3</v>
      </c>
      <c r="Q489" s="43" t="n">
        <v>6</v>
      </c>
      <c r="R489" s="43" t="n">
        <v>2</v>
      </c>
      <c r="S489" s="45" t="n">
        <v>3671.491764705882</v>
      </c>
      <c r="T489">
        <f>(S488+S489+S490)=Q4</f>
        <v/>
      </c>
      <c r="X489" s="84">
        <f>MAX(S486-S489,0)</f>
        <v/>
      </c>
      <c r="Y489" s="83" t="n">
        <v>0</v>
      </c>
      <c r="AA489" s="84" t="n">
        <v>1</v>
      </c>
      <c r="AB489" s="84" t="inlineStr">
        <is>
          <t>D</t>
        </is>
      </c>
      <c r="AC489" s="84" t="inlineStr">
        <is>
          <t>D+</t>
        </is>
      </c>
      <c r="AD489" s="84" t="n">
        <v>12</v>
      </c>
      <c r="AE489" s="84" t="n">
        <v>11</v>
      </c>
      <c r="AF489" s="84" t="n">
        <v>0.8</v>
      </c>
      <c r="AG489" s="84" t="n">
        <v>0.88</v>
      </c>
      <c r="AH489" s="84" t="n">
        <v>0</v>
      </c>
      <c r="AI489" s="84" t="n">
        <v>0</v>
      </c>
      <c r="AJ489" s="84">
        <f>SUMIFS(AH$8:AH$1039,$O$8:$O$1039,O489,$AB$8:$AB$1039,AB489,$R$8:$R$1039,R489,$AA$8:$AA$1039,"&lt;="&amp;AA489)</f>
        <v/>
      </c>
      <c r="AK489" s="84">
        <f>D47</f>
        <v/>
      </c>
      <c r="AL489" s="84">
        <f>D53</f>
        <v/>
      </c>
      <c r="AM489" s="84">
        <f>MAX(0,AJ489-AK489)</f>
        <v/>
      </c>
      <c r="AN489" s="84">
        <f>IF(AM489=0,AH489,IF(AM489&gt;=AH489,0,AH489-AM489))</f>
        <v/>
      </c>
      <c r="AO489" s="84">
        <f>IF(AM489&gt;=AH489,AI489,AI489*AM489/AH489)</f>
        <v/>
      </c>
      <c r="AP489">
        <f t="array" ref="AP489">INDEX($AU$8:$BB$25,6*(R489-1)+MATCH(AB489,$AS$8:$AS$13,0),MATCH(O489,$AU$7:$BB$7,0))</f>
        <v/>
      </c>
    </row>
    <row r="490" ht="14.25" customHeight="1">
      <c r="O490" s="43" t="inlineStr">
        <is>
          <t>Q4’26</t>
        </is>
      </c>
      <c r="P490" s="43" t="n">
        <v>3</v>
      </c>
      <c r="Q490" s="43" t="n">
        <v>6</v>
      </c>
      <c r="R490" s="43" t="n">
        <v>3</v>
      </c>
      <c r="S490" s="45" t="n">
        <v>2787.971240113693</v>
      </c>
      <c r="T490">
        <f>(S488+S489+S490)=Q4</f>
        <v/>
      </c>
      <c r="X490" s="84">
        <f>MAX(S487-S490,0)</f>
        <v/>
      </c>
      <c r="Y490" s="83" t="n">
        <v>0</v>
      </c>
      <c r="AA490" s="84" t="n">
        <v>1</v>
      </c>
      <c r="AB490" s="84" t="inlineStr">
        <is>
          <t>D</t>
        </is>
      </c>
      <c r="AC490" s="84" t="inlineStr">
        <is>
          <t>D+</t>
        </is>
      </c>
      <c r="AD490" s="84" t="n">
        <v>12</v>
      </c>
      <c r="AE490" s="84" t="n">
        <v>11</v>
      </c>
      <c r="AF490" s="84" t="n">
        <v>0.8</v>
      </c>
      <c r="AG490" s="84" t="n">
        <v>0.88</v>
      </c>
      <c r="AH490" s="84" t="n">
        <v>0</v>
      </c>
      <c r="AI490" s="84" t="n">
        <v>0</v>
      </c>
      <c r="AJ490" s="84">
        <f>SUMIFS(AH$8:AH$1039,$O$8:$O$1039,O490,$AB$8:$AB$1039,AB490,$R$8:$R$1039,R490,$AA$8:$AA$1039,"&lt;="&amp;AA490)</f>
        <v/>
      </c>
      <c r="AK490" s="84">
        <f>E47</f>
        <v/>
      </c>
      <c r="AL490" s="84">
        <f>E53</f>
        <v/>
      </c>
      <c r="AM490" s="84">
        <f>MAX(0,AJ490-AK490)</f>
        <v/>
      </c>
      <c r="AN490" s="84">
        <f>IF(AM490=0,AH490,IF(AM490&gt;=AH490,0,AH490-AM490))</f>
        <v/>
      </c>
      <c r="AO490" s="84">
        <f>IF(AM490&gt;=AH490,AI490,AI490*AM490/AH490)</f>
        <v/>
      </c>
      <c r="AP490">
        <f t="array" ref="AP490">INDEX($AU$8:$BB$25,6*(R490-1)+MATCH(AB490,$AS$8:$AS$13,0),MATCH(O490,$AU$7:$BB$7,0))</f>
        <v/>
      </c>
    </row>
    <row r="491" ht="14.25" customHeight="1">
      <c r="O491" s="43" t="inlineStr">
        <is>
          <t>Q4’26</t>
        </is>
      </c>
      <c r="P491" s="43" t="n">
        <v>3</v>
      </c>
      <c r="Q491" s="43" t="n">
        <v>7</v>
      </c>
      <c r="R491" s="43" t="n">
        <v>1</v>
      </c>
      <c r="S491" s="45" t="n">
        <v>1540.536995180425</v>
      </c>
      <c r="T491">
        <f>(S491+S492+S493)=Q4</f>
        <v/>
      </c>
      <c r="X491" s="84">
        <f>MAX(S488-S491,0)</f>
        <v/>
      </c>
      <c r="Y491" s="83" t="n">
        <v>0</v>
      </c>
      <c r="AA491" s="84" t="n">
        <v>3</v>
      </c>
      <c r="AB491" s="84" t="inlineStr">
        <is>
          <t>C</t>
        </is>
      </c>
      <c r="AC491" s="84" t="inlineStr">
        <is>
          <t>C+</t>
        </is>
      </c>
      <c r="AD491" s="84" t="n">
        <v>24</v>
      </c>
      <c r="AE491" s="84" t="n">
        <v>21</v>
      </c>
      <c r="AF491" s="84" t="n">
        <v>0.8</v>
      </c>
      <c r="AG491" s="84" t="n">
        <v>0.86</v>
      </c>
      <c r="AH491" s="84" t="n">
        <v>0</v>
      </c>
      <c r="AI491" s="84" t="n">
        <v>0</v>
      </c>
      <c r="AJ491" s="84">
        <f>SUMIFS(AH$8:AH$1039,$O$8:$O$1039,O491,$AB$8:$AB$1039,AB491,$R$8:$R$1039,R491,$AA$8:$AA$1039,"&lt;="&amp;AA491)</f>
        <v/>
      </c>
      <c r="AK491" s="84">
        <f>C46</f>
        <v/>
      </c>
      <c r="AL491" s="84">
        <f>C52</f>
        <v/>
      </c>
      <c r="AM491" s="84">
        <f>MAX(0,AJ491-AK491)</f>
        <v/>
      </c>
      <c r="AN491" s="84">
        <f>IF(AM491=0,AH491,IF(AM491&gt;=AH491,0,AH491-AM491))</f>
        <v/>
      </c>
      <c r="AO491" s="84">
        <f>IF(AM491&gt;=AH491,AI491,AI491*AM491/AH491)</f>
        <v/>
      </c>
      <c r="AP491">
        <f t="array" ref="AP491">INDEX($AU$8:$BB$25,6*(R491-1)+MATCH(AB491,$AS$8:$AS$13,0),MATCH(O491,$AU$7:$BB$7,0))</f>
        <v/>
      </c>
    </row>
    <row r="492" ht="14.25" customHeight="1">
      <c r="O492" s="43" t="inlineStr">
        <is>
          <t>Q4’26</t>
        </is>
      </c>
      <c r="P492" s="43" t="n">
        <v>3</v>
      </c>
      <c r="Q492" s="43" t="n">
        <v>7</v>
      </c>
      <c r="R492" s="43" t="n">
        <v>2</v>
      </c>
      <c r="S492" s="45" t="n">
        <v>3671.491764705882</v>
      </c>
      <c r="T492">
        <f>(S491+S492+S493)=Q4</f>
        <v/>
      </c>
      <c r="X492" s="84">
        <f>MAX(S489-S492,0)</f>
        <v/>
      </c>
      <c r="Y492" s="83" t="n">
        <v>0</v>
      </c>
      <c r="AA492" s="84" t="n">
        <v>3</v>
      </c>
      <c r="AB492" s="84" t="inlineStr">
        <is>
          <t>C</t>
        </is>
      </c>
      <c r="AC492" s="84" t="inlineStr">
        <is>
          <t>C+</t>
        </is>
      </c>
      <c r="AD492" s="84" t="n">
        <v>24</v>
      </c>
      <c r="AE492" s="84" t="n">
        <v>21</v>
      </c>
      <c r="AF492" s="84" t="n">
        <v>0.8</v>
      </c>
      <c r="AG492" s="84" t="n">
        <v>0.86</v>
      </c>
      <c r="AH492" s="84" t="n">
        <v>0</v>
      </c>
      <c r="AI492" s="84" t="n">
        <v>0</v>
      </c>
      <c r="AJ492" s="84">
        <f>SUMIFS(AH$8:AH$1039,$O$8:$O$1039,O492,$AB$8:$AB$1039,AB492,$R$8:$R$1039,R492,$AA$8:$AA$1039,"&lt;="&amp;AA492)</f>
        <v/>
      </c>
      <c r="AK492" s="84">
        <f>D46</f>
        <v/>
      </c>
      <c r="AL492" s="84">
        <f>D52</f>
        <v/>
      </c>
      <c r="AM492" s="84">
        <f>MAX(0,AJ492-AK492)</f>
        <v/>
      </c>
      <c r="AN492" s="84">
        <f>IF(AM492=0,AH492,IF(AM492&gt;=AH492,0,AH492-AM492))</f>
        <v/>
      </c>
      <c r="AO492" s="84">
        <f>IF(AM492&gt;=AH492,AI492,AI492*AM492/AH492)</f>
        <v/>
      </c>
      <c r="AP492">
        <f t="array" ref="AP492">INDEX($AU$8:$BB$25,6*(R492-1)+MATCH(AB492,$AS$8:$AS$13,0),MATCH(O492,$AU$7:$BB$7,0))</f>
        <v/>
      </c>
    </row>
    <row r="493" ht="14.25" customHeight="1">
      <c r="O493" s="43" t="inlineStr">
        <is>
          <t>Q4’26</t>
        </is>
      </c>
      <c r="P493" s="43" t="n">
        <v>3</v>
      </c>
      <c r="Q493" s="43" t="n">
        <v>7</v>
      </c>
      <c r="R493" s="43" t="n">
        <v>3</v>
      </c>
      <c r="S493" s="45" t="n">
        <v>2787.971240113693</v>
      </c>
      <c r="T493">
        <f>(S491+S492+S493)=Q4</f>
        <v/>
      </c>
      <c r="X493" s="84">
        <f>MAX(S490-S493,0)</f>
        <v/>
      </c>
      <c r="Y493" s="83" t="n">
        <v>0</v>
      </c>
      <c r="AA493" s="84" t="n">
        <v>3</v>
      </c>
      <c r="AB493" s="84" t="inlineStr">
        <is>
          <t>C</t>
        </is>
      </c>
      <c r="AC493" s="84" t="inlineStr">
        <is>
          <t>C+</t>
        </is>
      </c>
      <c r="AD493" s="84" t="n">
        <v>24</v>
      </c>
      <c r="AE493" s="84" t="n">
        <v>21</v>
      </c>
      <c r="AF493" s="84" t="n">
        <v>0.8</v>
      </c>
      <c r="AG493" s="84" t="n">
        <v>0.86</v>
      </c>
      <c r="AH493" s="84" t="n">
        <v>0</v>
      </c>
      <c r="AI493" s="84" t="n">
        <v>0</v>
      </c>
      <c r="AJ493" s="84">
        <f>SUMIFS(AH$8:AH$1039,$O$8:$O$1039,O493,$AB$8:$AB$1039,AB493,$R$8:$R$1039,R493,$AA$8:$AA$1039,"&lt;="&amp;AA493)</f>
        <v/>
      </c>
      <c r="AK493" s="84">
        <f>E46</f>
        <v/>
      </c>
      <c r="AL493" s="84">
        <f>E52</f>
        <v/>
      </c>
      <c r="AM493" s="84">
        <f>MAX(0,AJ493-AK493)</f>
        <v/>
      </c>
      <c r="AN493" s="84">
        <f>IF(AM493=0,AH493,IF(AM493&gt;=AH493,0,AH493-AM493))</f>
        <v/>
      </c>
      <c r="AO493" s="84">
        <f>IF(AM493&gt;=AH493,AI493,AI493*AM493/AH493)</f>
        <v/>
      </c>
      <c r="AP493">
        <f t="array" ref="AP493">INDEX($AU$8:$BB$25,6*(R493-1)+MATCH(AB493,$AS$8:$AS$13,0),MATCH(O493,$AU$7:$BB$7,0))</f>
        <v/>
      </c>
    </row>
    <row r="494" ht="14.25" customHeight="1">
      <c r="O494" s="43" t="inlineStr">
        <is>
          <t>Q4’26</t>
        </is>
      </c>
      <c r="P494" s="43" t="n">
        <v>3</v>
      </c>
      <c r="Q494" s="43" t="n">
        <v>8</v>
      </c>
      <c r="R494" s="43" t="n">
        <v>1</v>
      </c>
      <c r="S494" s="45" t="n">
        <v>1540.536995180425</v>
      </c>
      <c r="T494">
        <f>(S494+S495+S496)=Q4</f>
        <v/>
      </c>
      <c r="X494" s="84">
        <f>MAX(S491-S494,0)</f>
        <v/>
      </c>
      <c r="Y494" s="83" t="n">
        <v>0</v>
      </c>
      <c r="AA494" s="84" t="n">
        <v>5</v>
      </c>
      <c r="AB494" s="84" t="inlineStr">
        <is>
          <t>C</t>
        </is>
      </c>
      <c r="AC494" s="84" t="inlineStr">
        <is>
          <t>C+</t>
        </is>
      </c>
      <c r="AD494" s="84" t="n">
        <v>19</v>
      </c>
      <c r="AE494" s="84" t="n">
        <v>13</v>
      </c>
      <c r="AF494" s="84" t="n">
        <v>0.8</v>
      </c>
      <c r="AG494" s="84" t="n">
        <v>0.86</v>
      </c>
      <c r="AH494" s="84" t="n">
        <v>0</v>
      </c>
      <c r="AI494" s="84" t="n">
        <v>0</v>
      </c>
      <c r="AJ494" s="84">
        <f>SUMIFS(AH$8:AH$1039,$O$8:$O$1039,O494,$AB$8:$AB$1039,AB494,$R$8:$R$1039,R494,$AA$8:$AA$1039,"&lt;="&amp;AA494)</f>
        <v/>
      </c>
      <c r="AK494" s="84">
        <f>C46</f>
        <v/>
      </c>
      <c r="AL494" s="84">
        <f>C52</f>
        <v/>
      </c>
      <c r="AM494" s="84">
        <f>MAX(0,AJ494-AK494)</f>
        <v/>
      </c>
      <c r="AN494" s="84">
        <f>IF(AM494=0,AH494,IF(AM494&gt;=AH494,0,AH494-AM494))</f>
        <v/>
      </c>
      <c r="AO494" s="84">
        <f>IF(AM494&gt;=AH494,AI494,AI494*AM494/AH494)</f>
        <v/>
      </c>
      <c r="AP494">
        <f t="array" ref="AP494">INDEX($AU$8:$BB$25,6*(R494-1)+MATCH(AB494,$AS$8:$AS$13,0),MATCH(O494,$AU$7:$BB$7,0))</f>
        <v/>
      </c>
    </row>
    <row r="495" ht="14.25" customHeight="1">
      <c r="O495" s="43" t="inlineStr">
        <is>
          <t>Q4’26</t>
        </is>
      </c>
      <c r="P495" s="43" t="n">
        <v>3</v>
      </c>
      <c r="Q495" s="43" t="n">
        <v>8</v>
      </c>
      <c r="R495" s="43" t="n">
        <v>2</v>
      </c>
      <c r="S495" s="45" t="n">
        <v>3671.491764705882</v>
      </c>
      <c r="T495">
        <f>(S494+S495+S496)=Q4</f>
        <v/>
      </c>
      <c r="X495" s="84">
        <f>MAX(S492-S495,0)</f>
        <v/>
      </c>
      <c r="Y495" s="83" t="n">
        <v>0</v>
      </c>
      <c r="AA495" s="84" t="n">
        <v>5</v>
      </c>
      <c r="AB495" s="84" t="inlineStr">
        <is>
          <t>C</t>
        </is>
      </c>
      <c r="AC495" s="84" t="inlineStr">
        <is>
          <t>C+</t>
        </is>
      </c>
      <c r="AD495" s="84" t="n">
        <v>19</v>
      </c>
      <c r="AE495" s="84" t="n">
        <v>13</v>
      </c>
      <c r="AF495" s="84" t="n">
        <v>0.8</v>
      </c>
      <c r="AG495" s="84" t="n">
        <v>0.86</v>
      </c>
      <c r="AH495" s="84" t="n">
        <v>0</v>
      </c>
      <c r="AI495" s="84" t="n">
        <v>0</v>
      </c>
      <c r="AJ495" s="84">
        <f>SUMIFS(AH$8:AH$1039,$O$8:$O$1039,O495,$AB$8:$AB$1039,AB495,$R$8:$R$1039,R495,$AA$8:$AA$1039,"&lt;="&amp;AA495)</f>
        <v/>
      </c>
      <c r="AK495" s="84">
        <f>D46</f>
        <v/>
      </c>
      <c r="AL495" s="84">
        <f>D52</f>
        <v/>
      </c>
      <c r="AM495" s="84">
        <f>MAX(0,AJ495-AK495)</f>
        <v/>
      </c>
      <c r="AN495" s="84">
        <f>IF(AM495=0,AH495,IF(AM495&gt;=AH495,0,AH495-AM495))</f>
        <v/>
      </c>
      <c r="AO495" s="84">
        <f>IF(AM495&gt;=AH495,AI495,AI495*AM495/AH495)</f>
        <v/>
      </c>
      <c r="AP495">
        <f t="array" ref="AP495">INDEX($AU$8:$BB$25,6*(R495-1)+MATCH(AB495,$AS$8:$AS$13,0),MATCH(O495,$AU$7:$BB$7,0))</f>
        <v/>
      </c>
    </row>
    <row r="496" ht="14.25" customHeight="1">
      <c r="O496" s="43" t="inlineStr">
        <is>
          <t>Q4’26</t>
        </is>
      </c>
      <c r="P496" s="43" t="n">
        <v>3</v>
      </c>
      <c r="Q496" s="43" t="n">
        <v>8</v>
      </c>
      <c r="R496" s="43" t="n">
        <v>3</v>
      </c>
      <c r="S496" s="45" t="n">
        <v>2787.971240113693</v>
      </c>
      <c r="T496">
        <f>(S494+S495+S496)=Q4</f>
        <v/>
      </c>
      <c r="X496" s="84">
        <f>MAX(S493-S496,0)</f>
        <v/>
      </c>
      <c r="Y496" s="83" t="n">
        <v>0</v>
      </c>
      <c r="AA496" s="84" t="n">
        <v>5</v>
      </c>
      <c r="AB496" s="84" t="inlineStr">
        <is>
          <t>C</t>
        </is>
      </c>
      <c r="AC496" s="84" t="inlineStr">
        <is>
          <t>C+</t>
        </is>
      </c>
      <c r="AD496" s="84" t="n">
        <v>19</v>
      </c>
      <c r="AE496" s="84" t="n">
        <v>13</v>
      </c>
      <c r="AF496" s="84" t="n">
        <v>0.8</v>
      </c>
      <c r="AG496" s="84" t="n">
        <v>0.86</v>
      </c>
      <c r="AH496" s="84" t="n">
        <v>0</v>
      </c>
      <c r="AI496" s="84" t="n">
        <v>0</v>
      </c>
      <c r="AJ496" s="84">
        <f>SUMIFS(AH$8:AH$1039,$O$8:$O$1039,O496,$AB$8:$AB$1039,AB496,$R$8:$R$1039,R496,$AA$8:$AA$1039,"&lt;="&amp;AA496)</f>
        <v/>
      </c>
      <c r="AK496" s="84">
        <f>E46</f>
        <v/>
      </c>
      <c r="AL496" s="84">
        <f>E52</f>
        <v/>
      </c>
      <c r="AM496" s="84">
        <f>MAX(0,AJ496-AK496)</f>
        <v/>
      </c>
      <c r="AN496" s="84">
        <f>IF(AM496=0,AH496,IF(AM496&gt;=AH496,0,AH496-AM496))</f>
        <v/>
      </c>
      <c r="AO496" s="84">
        <f>IF(AM496&gt;=AH496,AI496,AI496*AM496/AH496)</f>
        <v/>
      </c>
      <c r="AP496">
        <f t="array" ref="AP496">INDEX($AU$8:$BB$25,6*(R496-1)+MATCH(AB496,$AS$8:$AS$13,0),MATCH(O496,$AU$7:$BB$7,0))</f>
        <v/>
      </c>
    </row>
    <row r="497" ht="14.25" customHeight="1">
      <c r="O497" s="43" t="inlineStr">
        <is>
          <t>Q4’26</t>
        </is>
      </c>
      <c r="P497" s="43" t="n">
        <v>3</v>
      </c>
      <c r="Q497" s="43" t="n">
        <v>9</v>
      </c>
      <c r="R497" s="43" t="n">
        <v>1</v>
      </c>
      <c r="S497" s="45" t="n">
        <v>90.68052588578701</v>
      </c>
      <c r="T497">
        <f>(S497+S498+S499)=Q4</f>
        <v/>
      </c>
      <c r="X497" s="84">
        <f>MAX(S494-S497,0)</f>
        <v/>
      </c>
      <c r="Y497" s="83" t="n">
        <v>0</v>
      </c>
      <c r="AA497" s="84" t="n">
        <v>3</v>
      </c>
      <c r="AB497" s="84" t="inlineStr">
        <is>
          <t>D</t>
        </is>
      </c>
      <c r="AC497" s="84" t="inlineStr">
        <is>
          <t>D+</t>
        </is>
      </c>
      <c r="AD497" s="84" t="n">
        <v>15</v>
      </c>
      <c r="AE497" s="84" t="n">
        <v>13</v>
      </c>
      <c r="AF497" s="84" t="n">
        <v>0.8</v>
      </c>
      <c r="AG497" s="84" t="n">
        <v>0.88</v>
      </c>
      <c r="AH497" s="84" t="n">
        <v>0</v>
      </c>
      <c r="AI497" s="84" t="n">
        <v>0</v>
      </c>
      <c r="AJ497" s="84">
        <f>SUMIFS(AH$8:AH$1039,$O$8:$O$1039,O497,$AB$8:$AB$1039,AB497,$R$8:$R$1039,R497,$AA$8:$AA$1039,"&lt;="&amp;AA497)</f>
        <v/>
      </c>
      <c r="AK497" s="84">
        <f>C47</f>
        <v/>
      </c>
      <c r="AL497" s="84">
        <f>C53</f>
        <v/>
      </c>
      <c r="AM497" s="84">
        <f>MAX(0,AJ497-AK497)</f>
        <v/>
      </c>
      <c r="AN497" s="84">
        <f>IF(AM497=0,AH497,IF(AM497&gt;=AH497,0,AH497-AM497))</f>
        <v/>
      </c>
      <c r="AO497" s="84">
        <f>IF(AM497&gt;=AH497,AI497,AI497*AM497/AH497)</f>
        <v/>
      </c>
      <c r="AP497">
        <f t="array" ref="AP497">INDEX($AU$8:$BB$25,6*(R497-1)+MATCH(AB497,$AS$8:$AS$13,0),MATCH(O497,$AU$7:$BB$7,0))</f>
        <v/>
      </c>
    </row>
    <row r="498" ht="14.25" customHeight="1">
      <c r="O498" s="43" t="inlineStr">
        <is>
          <t>Q4’26</t>
        </is>
      </c>
      <c r="P498" s="43" t="n">
        <v>3</v>
      </c>
      <c r="Q498" s="43" t="n">
        <v>9</v>
      </c>
      <c r="R498" s="43" t="n">
        <v>2</v>
      </c>
      <c r="S498" s="45" t="n">
        <v>3671.491764705882</v>
      </c>
      <c r="T498">
        <f>(S497+S498+S499)=Q4</f>
        <v/>
      </c>
      <c r="X498" s="84">
        <f>MAX(S495-S498,0)</f>
        <v/>
      </c>
      <c r="Y498" s="83" t="n">
        <v>0</v>
      </c>
      <c r="AA498" s="84" t="n">
        <v>3</v>
      </c>
      <c r="AB498" s="84" t="inlineStr">
        <is>
          <t>D</t>
        </is>
      </c>
      <c r="AC498" s="84" t="inlineStr">
        <is>
          <t>D+</t>
        </is>
      </c>
      <c r="AD498" s="84" t="n">
        <v>15</v>
      </c>
      <c r="AE498" s="84" t="n">
        <v>13</v>
      </c>
      <c r="AF498" s="84" t="n">
        <v>0.8</v>
      </c>
      <c r="AG498" s="84" t="n">
        <v>0.88</v>
      </c>
      <c r="AH498" s="84" t="n">
        <v>0</v>
      </c>
      <c r="AI498" s="84" t="n">
        <v>0</v>
      </c>
      <c r="AJ498" s="84">
        <f>SUMIFS(AH$8:AH$1039,$O$8:$O$1039,O498,$AB$8:$AB$1039,AB498,$R$8:$R$1039,R498,$AA$8:$AA$1039,"&lt;="&amp;AA498)</f>
        <v/>
      </c>
      <c r="AK498" s="84">
        <f>D47</f>
        <v/>
      </c>
      <c r="AL498" s="84">
        <f>D53</f>
        <v/>
      </c>
      <c r="AM498" s="84">
        <f>MAX(0,AJ498-AK498)</f>
        <v/>
      </c>
      <c r="AN498" s="84">
        <f>IF(AM498=0,AH498,IF(AM498&gt;=AH498,0,AH498-AM498))</f>
        <v/>
      </c>
      <c r="AO498" s="84">
        <f>IF(AM498&gt;=AH498,AI498,AI498*AM498/AH498)</f>
        <v/>
      </c>
      <c r="AP498">
        <f t="array" ref="AP498">INDEX($AU$8:$BB$25,6*(R498-1)+MATCH(AB498,$AS$8:$AS$13,0),MATCH(O498,$AU$7:$BB$7,0))</f>
        <v/>
      </c>
    </row>
    <row r="499" ht="14.25" customHeight="1">
      <c r="O499" s="43" t="inlineStr">
        <is>
          <t>Q4’26</t>
        </is>
      </c>
      <c r="P499" s="43" t="n">
        <v>3</v>
      </c>
      <c r="Q499" s="43" t="n">
        <v>9</v>
      </c>
      <c r="R499" s="43" t="n">
        <v>3</v>
      </c>
      <c r="S499" s="45" t="n">
        <v>4237.827709408331</v>
      </c>
      <c r="T499">
        <f>(S497+S498+S499)=Q4</f>
        <v/>
      </c>
      <c r="X499" s="84">
        <f>MAX(S496-S499,0)</f>
        <v/>
      </c>
      <c r="Y499" s="83" t="n">
        <v>0</v>
      </c>
      <c r="AA499" s="84" t="n">
        <v>3</v>
      </c>
      <c r="AB499" s="84" t="inlineStr">
        <is>
          <t>D</t>
        </is>
      </c>
      <c r="AC499" s="84" t="inlineStr">
        <is>
          <t>D+</t>
        </is>
      </c>
      <c r="AD499" s="84" t="n">
        <v>15</v>
      </c>
      <c r="AE499" s="84" t="n">
        <v>13</v>
      </c>
      <c r="AF499" s="84" t="n">
        <v>0.8</v>
      </c>
      <c r="AG499" s="84" t="n">
        <v>0.88</v>
      </c>
      <c r="AH499" s="84" t="n">
        <v>0</v>
      </c>
      <c r="AI499" s="84" t="n">
        <v>0</v>
      </c>
      <c r="AJ499" s="84">
        <f>SUMIFS(AH$8:AH$1039,$O$8:$O$1039,O499,$AB$8:$AB$1039,AB499,$R$8:$R$1039,R499,$AA$8:$AA$1039,"&lt;="&amp;AA499)</f>
        <v/>
      </c>
      <c r="AK499" s="84">
        <f>E47</f>
        <v/>
      </c>
      <c r="AL499" s="84">
        <f>E53</f>
        <v/>
      </c>
      <c r="AM499" s="84">
        <f>MAX(0,AJ499-AK499)</f>
        <v/>
      </c>
      <c r="AN499" s="84">
        <f>IF(AM499=0,AH499,IF(AM499&gt;=AH499,0,AH499-AM499))</f>
        <v/>
      </c>
      <c r="AO499" s="84">
        <f>IF(AM499&gt;=AH499,AI499,AI499*AM499/AH499)</f>
        <v/>
      </c>
      <c r="AP499">
        <f t="array" ref="AP499">INDEX($AU$8:$BB$25,6*(R499-1)+MATCH(AB499,$AS$8:$AS$13,0),MATCH(O499,$AU$7:$BB$7,0))</f>
        <v/>
      </c>
    </row>
    <row r="500" ht="14.25" customHeight="1">
      <c r="O500" s="43" t="inlineStr">
        <is>
          <t>Q4’26</t>
        </is>
      </c>
      <c r="P500" s="43" t="n">
        <v>3</v>
      </c>
      <c r="Q500" s="43" t="n">
        <v>10</v>
      </c>
      <c r="R500" s="43" t="n">
        <v>1</v>
      </c>
      <c r="S500" s="45" t="n">
        <v>90.68052588578701</v>
      </c>
      <c r="T500">
        <f>(S500+S501+S502)=Q4</f>
        <v/>
      </c>
      <c r="X500" s="84">
        <f>MAX(S497-S500,0)</f>
        <v/>
      </c>
      <c r="Y500" s="83" t="n">
        <v>0</v>
      </c>
      <c r="AA500" s="84" t="n">
        <v>5</v>
      </c>
      <c r="AB500" s="84" t="inlineStr">
        <is>
          <t>D</t>
        </is>
      </c>
      <c r="AC500" s="84" t="inlineStr">
        <is>
          <t>D+</t>
        </is>
      </c>
      <c r="AD500" s="84" t="n">
        <v>24</v>
      </c>
      <c r="AE500" s="84" t="n">
        <v>20</v>
      </c>
      <c r="AF500" s="84" t="n">
        <v>0.8</v>
      </c>
      <c r="AG500" s="84" t="n">
        <v>0.88</v>
      </c>
      <c r="AH500" s="84" t="n">
        <v>0</v>
      </c>
      <c r="AI500" s="84" t="n">
        <v>0</v>
      </c>
      <c r="AJ500" s="84">
        <f>SUMIFS(AH$8:AH$1039,$O$8:$O$1039,O500,$AB$8:$AB$1039,AB500,$R$8:$R$1039,R500,$AA$8:$AA$1039,"&lt;="&amp;AA500)</f>
        <v/>
      </c>
      <c r="AK500" s="84">
        <f>C47</f>
        <v/>
      </c>
      <c r="AL500" s="84">
        <f>C53</f>
        <v/>
      </c>
      <c r="AM500" s="84">
        <f>MAX(0,AJ500-AK500)</f>
        <v/>
      </c>
      <c r="AN500" s="84">
        <f>IF(AM500=0,AH500,IF(AM500&gt;=AH500,0,AH500-AM500))</f>
        <v/>
      </c>
      <c r="AO500" s="84">
        <f>IF(AM500&gt;=AH500,AI500,AI500*AM500/AH500)</f>
        <v/>
      </c>
      <c r="AP500">
        <f t="array" ref="AP500">INDEX($AU$8:$BB$25,6*(R500-1)+MATCH(AB500,$AS$8:$AS$13,0),MATCH(O500,$AU$7:$BB$7,0))</f>
        <v/>
      </c>
    </row>
    <row r="501" ht="14.25" customHeight="1">
      <c r="O501" s="43" t="inlineStr">
        <is>
          <t>Q4’26</t>
        </is>
      </c>
      <c r="P501" s="43" t="n">
        <v>3</v>
      </c>
      <c r="Q501" s="43" t="n">
        <v>10</v>
      </c>
      <c r="R501" s="43" t="n">
        <v>2</v>
      </c>
      <c r="S501" s="45" t="n">
        <v>3671.491764705882</v>
      </c>
      <c r="T501">
        <f>(S500+S501+S502)=Q4</f>
        <v/>
      </c>
      <c r="X501" s="84">
        <f>MAX(S498-S501,0)</f>
        <v/>
      </c>
      <c r="Y501" s="83" t="n">
        <v>0</v>
      </c>
      <c r="AA501" s="84" t="n">
        <v>5</v>
      </c>
      <c r="AB501" s="84" t="inlineStr">
        <is>
          <t>D</t>
        </is>
      </c>
      <c r="AC501" s="84" t="inlineStr">
        <is>
          <t>D+</t>
        </is>
      </c>
      <c r="AD501" s="84" t="n">
        <v>24</v>
      </c>
      <c r="AE501" s="84" t="n">
        <v>20</v>
      </c>
      <c r="AF501" s="84" t="n">
        <v>0.8</v>
      </c>
      <c r="AG501" s="84" t="n">
        <v>0.88</v>
      </c>
      <c r="AH501" s="84" t="n">
        <v>0</v>
      </c>
      <c r="AI501" s="84" t="n">
        <v>0</v>
      </c>
      <c r="AJ501" s="84">
        <f>SUMIFS(AH$8:AH$1039,$O$8:$O$1039,O501,$AB$8:$AB$1039,AB501,$R$8:$R$1039,R501,$AA$8:$AA$1039,"&lt;="&amp;AA501)</f>
        <v/>
      </c>
      <c r="AK501" s="84">
        <f>D47</f>
        <v/>
      </c>
      <c r="AL501" s="84">
        <f>D53</f>
        <v/>
      </c>
      <c r="AM501" s="84">
        <f>MAX(0,AJ501-AK501)</f>
        <v/>
      </c>
      <c r="AN501" s="84">
        <f>IF(AM501=0,AH501,IF(AM501&gt;=AH501,0,AH501-AM501))</f>
        <v/>
      </c>
      <c r="AO501" s="84">
        <f>IF(AM501&gt;=AH501,AI501,AI501*AM501/AH501)</f>
        <v/>
      </c>
      <c r="AP501">
        <f t="array" ref="AP501">INDEX($AU$8:$BB$25,6*(R501-1)+MATCH(AB501,$AS$8:$AS$13,0),MATCH(O501,$AU$7:$BB$7,0))</f>
        <v/>
      </c>
    </row>
    <row r="502" ht="14.25" customHeight="1">
      <c r="O502" s="43" t="inlineStr">
        <is>
          <t>Q4’26</t>
        </is>
      </c>
      <c r="P502" s="43" t="n">
        <v>3</v>
      </c>
      <c r="Q502" s="43" t="n">
        <v>10</v>
      </c>
      <c r="R502" s="43" t="n">
        <v>3</v>
      </c>
      <c r="S502" s="45" t="n">
        <v>4237.827709408331</v>
      </c>
      <c r="T502">
        <f>(S500+S501+S502)=Q4</f>
        <v/>
      </c>
      <c r="X502" s="84">
        <f>MAX(S499-S502,0)</f>
        <v/>
      </c>
      <c r="Y502" s="83" t="n">
        <v>0</v>
      </c>
      <c r="AA502" s="84" t="n">
        <v>5</v>
      </c>
      <c r="AB502" s="84" t="inlineStr">
        <is>
          <t>D</t>
        </is>
      </c>
      <c r="AC502" s="84" t="inlineStr">
        <is>
          <t>D+</t>
        </is>
      </c>
      <c r="AD502" s="84" t="n">
        <v>24</v>
      </c>
      <c r="AE502" s="84" t="n">
        <v>20</v>
      </c>
      <c r="AF502" s="84" t="n">
        <v>0.8</v>
      </c>
      <c r="AG502" s="84" t="n">
        <v>0.88</v>
      </c>
      <c r="AH502" s="84" t="n">
        <v>0</v>
      </c>
      <c r="AI502" s="84" t="n">
        <v>0</v>
      </c>
      <c r="AJ502" s="84">
        <f>SUMIFS(AH$8:AH$1039,$O$8:$O$1039,O502,$AB$8:$AB$1039,AB502,$R$8:$R$1039,R502,$AA$8:$AA$1039,"&lt;="&amp;AA502)</f>
        <v/>
      </c>
      <c r="AK502" s="84">
        <f>E47</f>
        <v/>
      </c>
      <c r="AL502" s="84">
        <f>E53</f>
        <v/>
      </c>
      <c r="AM502" s="84">
        <f>MAX(0,AJ502-AK502)</f>
        <v/>
      </c>
      <c r="AN502" s="84">
        <f>IF(AM502=0,AH502,IF(AM502&gt;=AH502,0,AH502-AM502))</f>
        <v/>
      </c>
      <c r="AO502" s="84">
        <f>IF(AM502&gt;=AH502,AI502,AI502*AM502/AH502)</f>
        <v/>
      </c>
      <c r="AP502">
        <f t="array" ref="AP502">INDEX($AU$8:$BB$25,6*(R502-1)+MATCH(AB502,$AS$8:$AS$13,0),MATCH(O502,$AU$7:$BB$7,0))</f>
        <v/>
      </c>
    </row>
    <row r="503" ht="14.25" customHeight="1">
      <c r="O503" s="43" t="inlineStr">
        <is>
          <t>Q4’26</t>
        </is>
      </c>
      <c r="P503" s="43" t="n">
        <v>3</v>
      </c>
      <c r="Q503" s="43" t="n">
        <v>11</v>
      </c>
      <c r="R503" s="43" t="n">
        <v>1</v>
      </c>
      <c r="S503" s="45" t="n">
        <v>90.68052588578701</v>
      </c>
      <c r="T503">
        <f>(S503+S504+S505)=Q4</f>
        <v/>
      </c>
      <c r="X503" s="84">
        <f>MAX(S500-S503,0)</f>
        <v/>
      </c>
      <c r="Y503" s="83" t="n">
        <v>0</v>
      </c>
      <c r="AA503" s="84" t="n">
        <v>3</v>
      </c>
      <c r="AB503" s="84" t="inlineStr">
        <is>
          <t>E</t>
        </is>
      </c>
      <c r="AC503" s="84" t="inlineStr">
        <is>
          <t>E+</t>
        </is>
      </c>
      <c r="AD503" s="84" t="n">
        <v>17</v>
      </c>
      <c r="AE503" s="84" t="n">
        <v>15</v>
      </c>
      <c r="AF503" s="84" t="n">
        <v>0.76</v>
      </c>
      <c r="AG503" s="84" t="n">
        <v>0.84</v>
      </c>
      <c r="AH503" s="84" t="n">
        <v>0</v>
      </c>
      <c r="AI503" s="84" t="n">
        <v>0</v>
      </c>
      <c r="AJ503" s="84">
        <f>SUMIFS(AH$8:AH$1039,$O$8:$O$1039,O503,$AB$8:$AB$1039,AB503,$R$8:$R$1039,R503,$AA$8:$AA$1039,"&lt;="&amp;AA503)</f>
        <v/>
      </c>
      <c r="AK503" s="84">
        <f>C48</f>
        <v/>
      </c>
      <c r="AL503" s="84">
        <f>C54</f>
        <v/>
      </c>
      <c r="AM503" s="84">
        <f>MAX(0,AJ503-AK503)</f>
        <v/>
      </c>
      <c r="AN503" s="84">
        <f>IF(AM503=0,AH503,IF(AM503&gt;=AH503,0,AH503-AM503))</f>
        <v/>
      </c>
      <c r="AO503" s="84">
        <f>IF(AM503&gt;=AH503,AI503,AI503*AM503/AH503)</f>
        <v/>
      </c>
      <c r="AP503">
        <f t="array" ref="AP503">INDEX($AU$8:$BB$25,6*(R503-1)+MATCH(AB503,$AS$8:$AS$13,0),MATCH(O503,$AU$7:$BB$7,0))</f>
        <v/>
      </c>
    </row>
    <row r="504" ht="14.25" customHeight="1">
      <c r="O504" s="43" t="inlineStr">
        <is>
          <t>Q4’26</t>
        </is>
      </c>
      <c r="P504" s="43" t="n">
        <v>3</v>
      </c>
      <c r="Q504" s="43" t="n">
        <v>11</v>
      </c>
      <c r="R504" s="43" t="n">
        <v>2</v>
      </c>
      <c r="S504" s="45" t="n">
        <v>3671.491764705882</v>
      </c>
      <c r="T504">
        <f>(S503+S504+S505)=Q4</f>
        <v/>
      </c>
      <c r="X504" s="84">
        <f>MAX(S501-S504,0)</f>
        <v/>
      </c>
      <c r="Y504" s="83" t="n">
        <v>0</v>
      </c>
      <c r="AA504" s="84" t="n">
        <v>3</v>
      </c>
      <c r="AB504" s="84" t="inlineStr">
        <is>
          <t>E</t>
        </is>
      </c>
      <c r="AC504" s="84" t="inlineStr">
        <is>
          <t>E+</t>
        </is>
      </c>
      <c r="AD504" s="84" t="n">
        <v>17</v>
      </c>
      <c r="AE504" s="84" t="n">
        <v>15</v>
      </c>
      <c r="AF504" s="84" t="n">
        <v>0.76</v>
      </c>
      <c r="AG504" s="84" t="n">
        <v>0.84</v>
      </c>
      <c r="AH504" s="84" t="n">
        <v>0</v>
      </c>
      <c r="AI504" s="84" t="n">
        <v>0</v>
      </c>
      <c r="AJ504" s="84">
        <f>SUMIFS(AH$8:AH$1039,$O$8:$O$1039,O504,$AB$8:$AB$1039,AB504,$R$8:$R$1039,R504,$AA$8:$AA$1039,"&lt;="&amp;AA504)</f>
        <v/>
      </c>
      <c r="AK504" s="84">
        <f>D48</f>
        <v/>
      </c>
      <c r="AL504" s="84">
        <f>D54</f>
        <v/>
      </c>
      <c r="AM504" s="84">
        <f>MAX(0,AJ504-AK504)</f>
        <v/>
      </c>
      <c r="AN504" s="84">
        <f>IF(AM504=0,AH504,IF(AM504&gt;=AH504,0,AH504-AM504))</f>
        <v/>
      </c>
      <c r="AO504" s="84">
        <f>IF(AM504&gt;=AH504,AI504,AI504*AM504/AH504)</f>
        <v/>
      </c>
      <c r="AP504">
        <f t="array" ref="AP504">INDEX($AU$8:$BB$25,6*(R504-1)+MATCH(AB504,$AS$8:$AS$13,0),MATCH(O504,$AU$7:$BB$7,0))</f>
        <v/>
      </c>
    </row>
    <row r="505" ht="14.25" customHeight="1">
      <c r="O505" s="43" t="inlineStr">
        <is>
          <t>Q4’26</t>
        </is>
      </c>
      <c r="P505" s="43" t="n">
        <v>3</v>
      </c>
      <c r="Q505" s="43" t="n">
        <v>11</v>
      </c>
      <c r="R505" s="43" t="n">
        <v>3</v>
      </c>
      <c r="S505" s="45" t="n">
        <v>4237.827709408331</v>
      </c>
      <c r="T505">
        <f>(S503+S504+S505)=Q4</f>
        <v/>
      </c>
      <c r="X505" s="84">
        <f>MAX(S502-S505,0)</f>
        <v/>
      </c>
      <c r="Y505" s="83" t="n">
        <v>0</v>
      </c>
      <c r="AA505" s="84" t="n">
        <v>3</v>
      </c>
      <c r="AB505" s="84" t="inlineStr">
        <is>
          <t>E</t>
        </is>
      </c>
      <c r="AC505" s="84" t="inlineStr">
        <is>
          <t>E+</t>
        </is>
      </c>
      <c r="AD505" s="84" t="n">
        <v>17</v>
      </c>
      <c r="AE505" s="84" t="n">
        <v>15</v>
      </c>
      <c r="AF505" s="84" t="n">
        <v>0.76</v>
      </c>
      <c r="AG505" s="84" t="n">
        <v>0.84</v>
      </c>
      <c r="AH505" s="84" t="n">
        <v>0</v>
      </c>
      <c r="AI505" s="84" t="n">
        <v>0</v>
      </c>
      <c r="AJ505" s="84">
        <f>SUMIFS(AH$8:AH$1039,$O$8:$O$1039,O505,$AB$8:$AB$1039,AB505,$R$8:$R$1039,R505,$AA$8:$AA$1039,"&lt;="&amp;AA505)</f>
        <v/>
      </c>
      <c r="AK505" s="84">
        <f>E48</f>
        <v/>
      </c>
      <c r="AL505" s="84">
        <f>E54</f>
        <v/>
      </c>
      <c r="AM505" s="84">
        <f>MAX(0,AJ505-AK505)</f>
        <v/>
      </c>
      <c r="AN505" s="84">
        <f>IF(AM505=0,AH505,IF(AM505&gt;=AH505,0,AH505-AM505))</f>
        <v/>
      </c>
      <c r="AO505" s="84">
        <f>IF(AM505&gt;=AH505,AI505,AI505*AM505/AH505)</f>
        <v/>
      </c>
      <c r="AP505">
        <f t="array" ref="AP505">INDEX($AU$8:$BB$25,6*(R505-1)+MATCH(AB505,$AS$8:$AS$13,0),MATCH(O505,$AU$7:$BB$7,0))</f>
        <v/>
      </c>
    </row>
    <row r="506" ht="14.25" customHeight="1">
      <c r="O506" s="43" t="inlineStr">
        <is>
          <t>Q4’26</t>
        </is>
      </c>
      <c r="P506" s="43" t="n">
        <v>3</v>
      </c>
      <c r="Q506" s="43" t="n">
        <v>12</v>
      </c>
      <c r="R506" s="43" t="n">
        <v>1</v>
      </c>
      <c r="S506" s="45" t="n">
        <v>90.68052588578701</v>
      </c>
      <c r="T506">
        <f>(S506+S507+S508)=Q4</f>
        <v/>
      </c>
      <c r="X506" s="84">
        <f>MAX(S503-S506,0)</f>
        <v/>
      </c>
      <c r="Y506" s="83" t="n">
        <v>0</v>
      </c>
      <c r="AA506" s="84" t="n">
        <v>10</v>
      </c>
      <c r="AB506" s="84" t="inlineStr">
        <is>
          <t>E</t>
        </is>
      </c>
      <c r="AC506" s="84" t="inlineStr">
        <is>
          <t>E+</t>
        </is>
      </c>
      <c r="AD506" s="84" t="n">
        <v>18</v>
      </c>
      <c r="AE506" s="84" t="n">
        <v>13</v>
      </c>
      <c r="AF506" s="84" t="n">
        <v>0.76</v>
      </c>
      <c r="AG506" s="84" t="n">
        <v>0.84</v>
      </c>
      <c r="AH506" s="84" t="n">
        <v>0</v>
      </c>
      <c r="AI506" s="84" t="n">
        <v>0</v>
      </c>
      <c r="AJ506" s="84">
        <f>SUMIFS(AH$8:AH$1039,$O$8:$O$1039,O506,$AB$8:$AB$1039,AB506,$R$8:$R$1039,R506,$AA$8:$AA$1039,"&lt;="&amp;AA506)</f>
        <v/>
      </c>
      <c r="AK506" s="84">
        <f>C48</f>
        <v/>
      </c>
      <c r="AL506" s="84">
        <f>C54</f>
        <v/>
      </c>
      <c r="AM506" s="84">
        <f>MAX(0,AJ506-AK506)</f>
        <v/>
      </c>
      <c r="AN506" s="84">
        <f>IF(AM506=0,AH506,IF(AM506&gt;=AH506,0,AH506-AM506))</f>
        <v/>
      </c>
      <c r="AO506" s="84">
        <f>IF(AM506&gt;=AH506,AI506,AI506*AM506/AH506)</f>
        <v/>
      </c>
      <c r="AP506">
        <f t="array" ref="AP506">INDEX($AU$8:$BB$25,6*(R506-1)+MATCH(AB506,$AS$8:$AS$13,0),MATCH(O506,$AU$7:$BB$7,0))</f>
        <v/>
      </c>
    </row>
    <row r="507" ht="14.25" customHeight="1">
      <c r="O507" s="43" t="inlineStr">
        <is>
          <t>Q4’26</t>
        </is>
      </c>
      <c r="P507" s="43" t="n">
        <v>3</v>
      </c>
      <c r="Q507" s="43" t="n">
        <v>12</v>
      </c>
      <c r="R507" s="43" t="n">
        <v>2</v>
      </c>
      <c r="S507" s="45" t="n">
        <v>3671.491764705882</v>
      </c>
      <c r="T507">
        <f>(S506+S507+S508)=Q4</f>
        <v/>
      </c>
      <c r="X507" s="84">
        <f>MAX(S504-S507,0)</f>
        <v/>
      </c>
      <c r="Y507" s="83" t="n">
        <v>0</v>
      </c>
      <c r="AA507" s="84" t="n">
        <v>10</v>
      </c>
      <c r="AB507" s="84" t="inlineStr">
        <is>
          <t>E</t>
        </is>
      </c>
      <c r="AC507" s="84" t="inlineStr">
        <is>
          <t>E+</t>
        </is>
      </c>
      <c r="AD507" s="84" t="n">
        <v>18</v>
      </c>
      <c r="AE507" s="84" t="n">
        <v>13</v>
      </c>
      <c r="AF507" s="84" t="n">
        <v>0.76</v>
      </c>
      <c r="AG507" s="84" t="n">
        <v>0.84</v>
      </c>
      <c r="AH507" s="84" t="n">
        <v>0</v>
      </c>
      <c r="AI507" s="84" t="n">
        <v>0</v>
      </c>
      <c r="AJ507" s="84">
        <f>SUMIFS(AH$8:AH$1039,$O$8:$O$1039,O507,$AB$8:$AB$1039,AB507,$R$8:$R$1039,R507,$AA$8:$AA$1039,"&lt;="&amp;AA507)</f>
        <v/>
      </c>
      <c r="AK507" s="84">
        <f>D48</f>
        <v/>
      </c>
      <c r="AL507" s="84">
        <f>D54</f>
        <v/>
      </c>
      <c r="AM507" s="84">
        <f>MAX(0,AJ507-AK507)</f>
        <v/>
      </c>
      <c r="AN507" s="84">
        <f>IF(AM507=0,AH507,IF(AM507&gt;=AH507,0,AH507-AM507))</f>
        <v/>
      </c>
      <c r="AO507" s="84">
        <f>IF(AM507&gt;=AH507,AI507,AI507*AM507/AH507)</f>
        <v/>
      </c>
      <c r="AP507">
        <f t="array" ref="AP507">INDEX($AU$8:$BB$25,6*(R507-1)+MATCH(AB507,$AS$8:$AS$13,0),MATCH(O507,$AU$7:$BB$7,0))</f>
        <v/>
      </c>
    </row>
    <row r="508" ht="14.25" customHeight="1">
      <c r="O508" s="43" t="inlineStr">
        <is>
          <t>Q4’26</t>
        </is>
      </c>
      <c r="P508" s="43" t="n">
        <v>3</v>
      </c>
      <c r="Q508" s="43" t="n">
        <v>12</v>
      </c>
      <c r="R508" s="43" t="n">
        <v>3</v>
      </c>
      <c r="S508" s="45" t="n">
        <v>4237.827709408331</v>
      </c>
      <c r="T508">
        <f>(S506+S507+S508)=Q4</f>
        <v/>
      </c>
      <c r="X508" s="84">
        <f>MAX(S505-S508,0)</f>
        <v/>
      </c>
      <c r="Y508" s="83" t="n">
        <v>0</v>
      </c>
      <c r="AA508" s="84" t="n">
        <v>10</v>
      </c>
      <c r="AB508" s="84" t="inlineStr">
        <is>
          <t>E</t>
        </is>
      </c>
      <c r="AC508" s="84" t="inlineStr">
        <is>
          <t>E+</t>
        </is>
      </c>
      <c r="AD508" s="84" t="n">
        <v>18</v>
      </c>
      <c r="AE508" s="84" t="n">
        <v>13</v>
      </c>
      <c r="AF508" s="84" t="n">
        <v>0.76</v>
      </c>
      <c r="AG508" s="84" t="n">
        <v>0.84</v>
      </c>
      <c r="AH508" s="84" t="n">
        <v>0</v>
      </c>
      <c r="AI508" s="84" t="n">
        <v>0</v>
      </c>
      <c r="AJ508" s="84">
        <f>SUMIFS(AH$8:AH$1039,$O$8:$O$1039,O508,$AB$8:$AB$1039,AB508,$R$8:$R$1039,R508,$AA$8:$AA$1039,"&lt;="&amp;AA508)</f>
        <v/>
      </c>
      <c r="AK508" s="84">
        <f>E48</f>
        <v/>
      </c>
      <c r="AL508" s="84">
        <f>E54</f>
        <v/>
      </c>
      <c r="AM508" s="84">
        <f>MAX(0,AJ508-AK508)</f>
        <v/>
      </c>
      <c r="AN508" s="84">
        <f>IF(AM508=0,AH508,IF(AM508&gt;=AH508,0,AH508-AM508))</f>
        <v/>
      </c>
      <c r="AO508" s="84">
        <f>IF(AM508&gt;=AH508,AI508,AI508*AM508/AH508)</f>
        <v/>
      </c>
      <c r="AP508">
        <f t="array" ref="AP508">INDEX($AU$8:$BB$25,6*(R508-1)+MATCH(AB508,$AS$8:$AS$13,0),MATCH(O508,$AU$7:$BB$7,0))</f>
        <v/>
      </c>
    </row>
    <row r="509" ht="14.25" customHeight="1">
      <c r="O509" s="43" t="inlineStr">
        <is>
          <t>Q4’26</t>
        </is>
      </c>
      <c r="P509" s="43" t="n">
        <v>3</v>
      </c>
      <c r="Q509" s="43" t="n">
        <v>13</v>
      </c>
      <c r="R509" s="43" t="n">
        <v>1</v>
      </c>
      <c r="S509" s="45" t="n">
        <v>90.68052588578701</v>
      </c>
      <c r="T509">
        <f>(S509+S510+S511)=Q4</f>
        <v/>
      </c>
      <c r="X509" s="84">
        <f>MAX(S506-S509,0)</f>
        <v/>
      </c>
      <c r="Y509" s="83" t="n">
        <v>0</v>
      </c>
      <c r="AA509" s="84" t="n">
        <v>2</v>
      </c>
      <c r="AB509" s="84" t="inlineStr">
        <is>
          <t>F</t>
        </is>
      </c>
      <c r="AC509" s="84" t="inlineStr">
        <is>
          <t>F+</t>
        </is>
      </c>
      <c r="AD509" s="84" t="n">
        <v>20</v>
      </c>
      <c r="AE509" s="84" t="n">
        <v>18</v>
      </c>
      <c r="AF509" s="84" t="n">
        <v>0.8</v>
      </c>
      <c r="AG509" s="84" t="n">
        <v>0.9</v>
      </c>
      <c r="AH509" s="84" t="n">
        <v>0</v>
      </c>
      <c r="AI509" s="84" t="n">
        <v>0</v>
      </c>
      <c r="AJ509" s="84">
        <f>SUMIFS(AH$8:AH$1039,$O$8:$O$1039,O509,$AB$8:$AB$1039,AB509,$R$8:$R$1039,R509,$AA$8:$AA$1039,"&lt;="&amp;AA509)</f>
        <v/>
      </c>
      <c r="AK509" s="84">
        <f>C49</f>
        <v/>
      </c>
      <c r="AL509" s="84">
        <f>C55</f>
        <v/>
      </c>
      <c r="AM509" s="84">
        <f>MAX(0,AJ509-AK509)</f>
        <v/>
      </c>
      <c r="AN509" s="84">
        <f>IF(AM509=0,AH509,IF(AM509&gt;=AH509,0,AH509-AM509))</f>
        <v/>
      </c>
      <c r="AO509" s="84">
        <f>IF(AM509&gt;=AH509,AI509,AI509*AM509/AH509)</f>
        <v/>
      </c>
      <c r="AP509">
        <f t="array" ref="AP509">INDEX($AU$8:$BB$25,6*(R509-1)+MATCH(AB509,$AS$8:$AS$13,0),MATCH(O509,$AU$7:$BB$7,0))</f>
        <v/>
      </c>
    </row>
    <row r="510" ht="14.25" customHeight="1">
      <c r="O510" s="43" t="inlineStr">
        <is>
          <t>Q4’26</t>
        </is>
      </c>
      <c r="P510" s="43" t="n">
        <v>3</v>
      </c>
      <c r="Q510" s="43" t="n">
        <v>13</v>
      </c>
      <c r="R510" s="43" t="n">
        <v>2</v>
      </c>
      <c r="S510" s="45" t="n">
        <v>3671.491764705882</v>
      </c>
      <c r="T510">
        <f>(S509+S510+S511)=Q4</f>
        <v/>
      </c>
      <c r="X510" s="84">
        <f>MAX(S507-S510,0)</f>
        <v/>
      </c>
      <c r="Y510" s="83" t="n">
        <v>0</v>
      </c>
      <c r="AA510" s="84" t="n">
        <v>2</v>
      </c>
      <c r="AB510" s="84" t="inlineStr">
        <is>
          <t>F</t>
        </is>
      </c>
      <c r="AC510" s="84" t="inlineStr">
        <is>
          <t>F+</t>
        </is>
      </c>
      <c r="AD510" s="84" t="n">
        <v>20</v>
      </c>
      <c r="AE510" s="84" t="n">
        <v>18</v>
      </c>
      <c r="AF510" s="84" t="n">
        <v>0.8</v>
      </c>
      <c r="AG510" s="84" t="n">
        <v>0.9</v>
      </c>
      <c r="AH510" s="84" t="n">
        <v>0</v>
      </c>
      <c r="AI510" s="84" t="n">
        <v>0</v>
      </c>
      <c r="AJ510" s="84">
        <f>SUMIFS(AH$8:AH$1039,$O$8:$O$1039,O510,$AB$8:$AB$1039,AB510,$R$8:$R$1039,R510,$AA$8:$AA$1039,"&lt;="&amp;AA510)</f>
        <v/>
      </c>
      <c r="AK510" s="84">
        <f>D49</f>
        <v/>
      </c>
      <c r="AL510" s="84">
        <f>D55</f>
        <v/>
      </c>
      <c r="AM510" s="84">
        <f>MAX(0,AJ510-AK510)</f>
        <v/>
      </c>
      <c r="AN510" s="84">
        <f>IF(AM510=0,AH510,IF(AM510&gt;=AH510,0,AH510-AM510))</f>
        <v/>
      </c>
      <c r="AO510" s="84">
        <f>IF(AM510&gt;=AH510,AI510,AI510*AM510/AH510)</f>
        <v/>
      </c>
      <c r="AP510">
        <f t="array" ref="AP510">INDEX($AU$8:$BB$25,6*(R510-1)+MATCH(AB510,$AS$8:$AS$13,0),MATCH(O510,$AU$7:$BB$7,0))</f>
        <v/>
      </c>
    </row>
    <row r="511" ht="14.25" customHeight="1">
      <c r="O511" s="43" t="inlineStr">
        <is>
          <t>Q4’26</t>
        </is>
      </c>
      <c r="P511" s="43" t="n">
        <v>3</v>
      </c>
      <c r="Q511" s="43" t="n">
        <v>13</v>
      </c>
      <c r="R511" s="43" t="n">
        <v>3</v>
      </c>
      <c r="S511" s="45" t="n">
        <v>4237.827709408331</v>
      </c>
      <c r="T511">
        <f>(S509+S510+S511)=Q4</f>
        <v/>
      </c>
      <c r="X511" s="84">
        <f>MAX(S508-S511,0)</f>
        <v/>
      </c>
      <c r="Y511" s="83" t="n">
        <v>0</v>
      </c>
      <c r="AA511" s="84" t="n">
        <v>2</v>
      </c>
      <c r="AB511" s="84" t="inlineStr">
        <is>
          <t>F</t>
        </is>
      </c>
      <c r="AC511" s="84" t="inlineStr">
        <is>
          <t>F+</t>
        </is>
      </c>
      <c r="AD511" s="84" t="n">
        <v>20</v>
      </c>
      <c r="AE511" s="84" t="n">
        <v>18</v>
      </c>
      <c r="AF511" s="84" t="n">
        <v>0.8</v>
      </c>
      <c r="AG511" s="84" t="n">
        <v>0.9</v>
      </c>
      <c r="AH511" s="84" t="n">
        <v>0</v>
      </c>
      <c r="AI511" s="84" t="n">
        <v>0</v>
      </c>
      <c r="AJ511" s="84">
        <f>SUMIFS(AH$8:AH$1039,$O$8:$O$1039,O511,$AB$8:$AB$1039,AB511,$R$8:$R$1039,R511,$AA$8:$AA$1039,"&lt;="&amp;AA511)</f>
        <v/>
      </c>
      <c r="AK511" s="84">
        <f>E49</f>
        <v/>
      </c>
      <c r="AL511" s="84">
        <f>E55</f>
        <v/>
      </c>
      <c r="AM511" s="84">
        <f>MAX(0,AJ511-AK511)</f>
        <v/>
      </c>
      <c r="AN511" s="84">
        <f>IF(AM511=0,AH511,IF(AM511&gt;=AH511,0,AH511-AM511))</f>
        <v/>
      </c>
      <c r="AO511" s="84">
        <f>IF(AM511&gt;=AH511,AI511,AI511*AM511/AH511)</f>
        <v/>
      </c>
      <c r="AP511">
        <f t="array" ref="AP511">INDEX($AU$8:$BB$25,6*(R511-1)+MATCH(AB511,$AS$8:$AS$13,0),MATCH(O511,$AU$7:$BB$7,0))</f>
        <v/>
      </c>
    </row>
    <row r="512" ht="14.25" customHeight="1">
      <c r="O512" s="43" t="inlineStr">
        <is>
          <t>Q4’26</t>
        </is>
      </c>
      <c r="P512" s="43" t="n">
        <v>3</v>
      </c>
      <c r="Q512" s="43" t="n">
        <v>14</v>
      </c>
      <c r="R512" s="43" t="n">
        <v>1</v>
      </c>
      <c r="S512" s="45" t="n">
        <v>90.680525885786</v>
      </c>
      <c r="T512">
        <f>(S512+S513+S514)=Q4</f>
        <v/>
      </c>
      <c r="X512" s="84">
        <f>MAX(S509-S512,0)</f>
        <v/>
      </c>
      <c r="Y512" s="83" t="n">
        <v>0</v>
      </c>
      <c r="AA512" s="84" t="n">
        <v>2</v>
      </c>
      <c r="AB512" s="84" t="inlineStr">
        <is>
          <t>C</t>
        </is>
      </c>
      <c r="AC512" s="84" t="inlineStr">
        <is>
          <t>C+</t>
        </is>
      </c>
      <c r="AD512" s="84" t="n">
        <v>12</v>
      </c>
      <c r="AE512" s="84" t="n">
        <v>11</v>
      </c>
      <c r="AF512" s="84" t="n">
        <v>0.8</v>
      </c>
      <c r="AG512" s="84" t="n">
        <v>0.86</v>
      </c>
      <c r="AH512" s="84" t="n">
        <v>0</v>
      </c>
      <c r="AI512" s="84" t="n">
        <v>0</v>
      </c>
      <c r="AJ512" s="84">
        <f>SUMIFS(AH$8:AH$1039,$O$8:$O$1039,O512,$AB$8:$AB$1039,AB512,$R$8:$R$1039,R512,$AA$8:$AA$1039,"&lt;="&amp;AA512)</f>
        <v/>
      </c>
      <c r="AK512" s="84">
        <f>C46</f>
        <v/>
      </c>
      <c r="AL512" s="84">
        <f>C52</f>
        <v/>
      </c>
      <c r="AM512" s="84">
        <f>MAX(0,AJ512-AK512)</f>
        <v/>
      </c>
      <c r="AN512" s="84">
        <f>IF(AM512=0,AH512,IF(AM512&gt;=AH512,0,AH512-AM512))</f>
        <v/>
      </c>
      <c r="AO512" s="84">
        <f>IF(AM512&gt;=AH512,AI512,AI512*AM512/AH512)</f>
        <v/>
      </c>
      <c r="AP512">
        <f t="array" ref="AP512">INDEX($AU$8:$BB$25,6*(R512-1)+MATCH(AB512,$AS$8:$AS$13,0),MATCH(O512,$AU$7:$BB$7,0))</f>
        <v/>
      </c>
    </row>
    <row r="513" ht="14.25" customHeight="1">
      <c r="O513" s="43" t="inlineStr">
        <is>
          <t>Q4’26</t>
        </is>
      </c>
      <c r="P513" s="43" t="n">
        <v>3</v>
      </c>
      <c r="Q513" s="43" t="n">
        <v>14</v>
      </c>
      <c r="R513" s="43" t="n">
        <v>2</v>
      </c>
      <c r="S513" s="45" t="n">
        <v>3671.491764705882</v>
      </c>
      <c r="T513">
        <f>(S512+S513+S514)=Q4</f>
        <v/>
      </c>
      <c r="X513" s="84">
        <f>MAX(S510-S513,0)</f>
        <v/>
      </c>
      <c r="Y513" s="83" t="n">
        <v>0</v>
      </c>
      <c r="AA513" s="84" t="n">
        <v>2</v>
      </c>
      <c r="AB513" s="84" t="inlineStr">
        <is>
          <t>C</t>
        </is>
      </c>
      <c r="AC513" s="84" t="inlineStr">
        <is>
          <t>C+</t>
        </is>
      </c>
      <c r="AD513" s="84" t="n">
        <v>12</v>
      </c>
      <c r="AE513" s="84" t="n">
        <v>11</v>
      </c>
      <c r="AF513" s="84" t="n">
        <v>0.8</v>
      </c>
      <c r="AG513" s="84" t="n">
        <v>0.86</v>
      </c>
      <c r="AH513" s="84" t="n">
        <v>0</v>
      </c>
      <c r="AI513" s="84" t="n">
        <v>0</v>
      </c>
      <c r="AJ513" s="84">
        <f>SUMIFS(AH$8:AH$1039,$O$8:$O$1039,O513,$AB$8:$AB$1039,AB513,$R$8:$R$1039,R513,$AA$8:$AA$1039,"&lt;="&amp;AA513)</f>
        <v/>
      </c>
      <c r="AK513" s="84">
        <f>D46</f>
        <v/>
      </c>
      <c r="AL513" s="84">
        <f>D52</f>
        <v/>
      </c>
      <c r="AM513" s="84">
        <f>MAX(0,AJ513-AK513)</f>
        <v/>
      </c>
      <c r="AN513" s="84">
        <f>IF(AM513=0,AH513,IF(AM513&gt;=AH513,0,AH513-AM513))</f>
        <v/>
      </c>
      <c r="AO513" s="84">
        <f>IF(AM513&gt;=AH513,AI513,AI513*AM513/AH513)</f>
        <v/>
      </c>
      <c r="AP513">
        <f t="array" ref="AP513">INDEX($AU$8:$BB$25,6*(R513-1)+MATCH(AB513,$AS$8:$AS$13,0),MATCH(O513,$AU$7:$BB$7,0))</f>
        <v/>
      </c>
    </row>
    <row r="514" ht="14.25" customHeight="1">
      <c r="O514" s="43" t="inlineStr">
        <is>
          <t>Q4’26</t>
        </is>
      </c>
      <c r="P514" s="43" t="n">
        <v>3</v>
      </c>
      <c r="Q514" s="43" t="n">
        <v>14</v>
      </c>
      <c r="R514" s="43" t="n">
        <v>3</v>
      </c>
      <c r="S514" s="45" t="n">
        <v>4237.827709408331</v>
      </c>
      <c r="T514">
        <f>(S512+S513+S514)=Q4</f>
        <v/>
      </c>
      <c r="X514" s="84">
        <f>MAX(S511-S514,0)</f>
        <v/>
      </c>
      <c r="Y514" s="83" t="n">
        <v>0</v>
      </c>
      <c r="AA514" s="84" t="n">
        <v>2</v>
      </c>
      <c r="AB514" s="84" t="inlineStr">
        <is>
          <t>C</t>
        </is>
      </c>
      <c r="AC514" s="84" t="inlineStr">
        <is>
          <t>C+</t>
        </is>
      </c>
      <c r="AD514" s="84" t="n">
        <v>12</v>
      </c>
      <c r="AE514" s="84" t="n">
        <v>11</v>
      </c>
      <c r="AF514" s="84" t="n">
        <v>0.8</v>
      </c>
      <c r="AG514" s="84" t="n">
        <v>0.86</v>
      </c>
      <c r="AH514" s="84" t="n">
        <v>0</v>
      </c>
      <c r="AI514" s="84" t="n">
        <v>0</v>
      </c>
      <c r="AJ514" s="84">
        <f>SUMIFS(AH$8:AH$1039,$O$8:$O$1039,O514,$AB$8:$AB$1039,AB514,$R$8:$R$1039,R514,$AA$8:$AA$1039,"&lt;="&amp;AA514)</f>
        <v/>
      </c>
      <c r="AK514" s="84">
        <f>E46</f>
        <v/>
      </c>
      <c r="AL514" s="84">
        <f>E52</f>
        <v/>
      </c>
      <c r="AM514" s="84">
        <f>MAX(0,AJ514-AK514)</f>
        <v/>
      </c>
      <c r="AN514" s="84">
        <f>IF(AM514=0,AH514,IF(AM514&gt;=AH514,0,AH514-AM514))</f>
        <v/>
      </c>
      <c r="AO514" s="84">
        <f>IF(AM514&gt;=AH514,AI514,AI514*AM514/AH514)</f>
        <v/>
      </c>
      <c r="AP514">
        <f t="array" ref="AP514">INDEX($AU$8:$BB$25,6*(R514-1)+MATCH(AB514,$AS$8:$AS$13,0),MATCH(O514,$AU$7:$BB$7,0))</f>
        <v/>
      </c>
    </row>
    <row r="515" ht="14.25" customHeight="1">
      <c r="O515" s="43" t="inlineStr">
        <is>
          <t>Q4’26</t>
        </is>
      </c>
      <c r="P515" s="43" t="n">
        <v>3</v>
      </c>
      <c r="Q515" s="43" t="n">
        <v>15</v>
      </c>
      <c r="R515" s="43" t="n">
        <v>1</v>
      </c>
      <c r="S515" s="45" t="n">
        <v>90.68052588578701</v>
      </c>
      <c r="T515">
        <f>(S515+S516+S517)=Q4</f>
        <v/>
      </c>
      <c r="X515" s="84">
        <f>MAX(S512-S515,0)</f>
        <v/>
      </c>
      <c r="Y515" s="83" t="n">
        <v>0</v>
      </c>
      <c r="AA515" s="84" t="n">
        <v>2</v>
      </c>
      <c r="AB515" s="84" t="inlineStr">
        <is>
          <t>D</t>
        </is>
      </c>
      <c r="AC515" s="84" t="inlineStr">
        <is>
          <t>D+</t>
        </is>
      </c>
      <c r="AD515" s="84" t="n">
        <v>11</v>
      </c>
      <c r="AE515" s="84" t="n">
        <v>10</v>
      </c>
      <c r="AF515" s="84" t="n">
        <v>0.8</v>
      </c>
      <c r="AG515" s="84" t="n">
        <v>0.88</v>
      </c>
      <c r="AH515" s="84" t="n">
        <v>0</v>
      </c>
      <c r="AI515" s="84" t="n">
        <v>0</v>
      </c>
      <c r="AJ515" s="84">
        <f>SUMIFS(AH$8:AH$1039,$O$8:$O$1039,O515,$AB$8:$AB$1039,AB515,$R$8:$R$1039,R515,$AA$8:$AA$1039,"&lt;="&amp;AA515)</f>
        <v/>
      </c>
      <c r="AK515" s="84">
        <f>C47</f>
        <v/>
      </c>
      <c r="AL515" s="84">
        <f>C53</f>
        <v/>
      </c>
      <c r="AM515" s="84">
        <f>MAX(0,AJ515-AK515)</f>
        <v/>
      </c>
      <c r="AN515" s="84">
        <f>IF(AM515=0,AH515,IF(AM515&gt;=AH515,0,AH515-AM515))</f>
        <v/>
      </c>
      <c r="AO515" s="84">
        <f>IF(AM515&gt;=AH515,AI515,AI515*AM515/AH515)</f>
        <v/>
      </c>
      <c r="AP515">
        <f t="array" ref="AP515">INDEX($AU$8:$BB$25,6*(R515-1)+MATCH(AB515,$AS$8:$AS$13,0),MATCH(O515,$AU$7:$BB$7,0))</f>
        <v/>
      </c>
    </row>
    <row r="516" ht="14.25" customHeight="1">
      <c r="O516" s="43" t="inlineStr">
        <is>
          <t>Q4’26</t>
        </is>
      </c>
      <c r="P516" s="43" t="n">
        <v>3</v>
      </c>
      <c r="Q516" s="43" t="n">
        <v>15</v>
      </c>
      <c r="R516" s="43" t="n">
        <v>2</v>
      </c>
      <c r="S516" s="45" t="n">
        <v>3671.491764705882</v>
      </c>
      <c r="T516">
        <f>(S515+S516+S517)=Q4</f>
        <v/>
      </c>
      <c r="X516" s="84">
        <f>MAX(S513-S516,0)</f>
        <v/>
      </c>
      <c r="Y516" s="83" t="n">
        <v>0</v>
      </c>
      <c r="AA516" s="84" t="n">
        <v>2</v>
      </c>
      <c r="AB516" s="84" t="inlineStr">
        <is>
          <t>D</t>
        </is>
      </c>
      <c r="AC516" s="84" t="inlineStr">
        <is>
          <t>D+</t>
        </is>
      </c>
      <c r="AD516" s="84" t="n">
        <v>11</v>
      </c>
      <c r="AE516" s="84" t="n">
        <v>10</v>
      </c>
      <c r="AF516" s="84" t="n">
        <v>0.8</v>
      </c>
      <c r="AG516" s="84" t="n">
        <v>0.88</v>
      </c>
      <c r="AH516" s="84" t="n">
        <v>0</v>
      </c>
      <c r="AI516" s="84" t="n">
        <v>0</v>
      </c>
      <c r="AJ516" s="84">
        <f>SUMIFS(AH$8:AH$1039,$O$8:$O$1039,O516,$AB$8:$AB$1039,AB516,$R$8:$R$1039,R516,$AA$8:$AA$1039,"&lt;="&amp;AA516)</f>
        <v/>
      </c>
      <c r="AK516" s="84">
        <f>D47</f>
        <v/>
      </c>
      <c r="AL516" s="84">
        <f>D53</f>
        <v/>
      </c>
      <c r="AM516" s="84">
        <f>MAX(0,AJ516-AK516)</f>
        <v/>
      </c>
      <c r="AN516" s="84">
        <f>IF(AM516=0,AH516,IF(AM516&gt;=AH516,0,AH516-AM516))</f>
        <v/>
      </c>
      <c r="AO516" s="84">
        <f>IF(AM516&gt;=AH516,AI516,AI516*AM516/AH516)</f>
        <v/>
      </c>
      <c r="AP516">
        <f t="array" ref="AP516">INDEX($AU$8:$BB$25,6*(R516-1)+MATCH(AB516,$AS$8:$AS$13,0),MATCH(O516,$AU$7:$BB$7,0))</f>
        <v/>
      </c>
    </row>
    <row r="517" ht="14.25" customHeight="1">
      <c r="O517" s="43" t="inlineStr">
        <is>
          <t>Q4’26</t>
        </is>
      </c>
      <c r="P517" s="43" t="n">
        <v>3</v>
      </c>
      <c r="Q517" s="43" t="n">
        <v>15</v>
      </c>
      <c r="R517" s="43" t="n">
        <v>3</v>
      </c>
      <c r="S517" s="45" t="n">
        <v>4237.827709408331</v>
      </c>
      <c r="T517">
        <f>(S515+S516+S517)=Q4</f>
        <v/>
      </c>
      <c r="X517" s="84">
        <f>MAX(S514-S517,0)</f>
        <v/>
      </c>
      <c r="Y517" s="83" t="n">
        <v>0</v>
      </c>
      <c r="AA517" s="84" t="n">
        <v>2</v>
      </c>
      <c r="AB517" s="84" t="inlineStr">
        <is>
          <t>D</t>
        </is>
      </c>
      <c r="AC517" s="84" t="inlineStr">
        <is>
          <t>D+</t>
        </is>
      </c>
      <c r="AD517" s="84" t="n">
        <v>11</v>
      </c>
      <c r="AE517" s="84" t="n">
        <v>10</v>
      </c>
      <c r="AF517" s="84" t="n">
        <v>0.8</v>
      </c>
      <c r="AG517" s="84" t="n">
        <v>0.88</v>
      </c>
      <c r="AH517" s="84" t="n">
        <v>0</v>
      </c>
      <c r="AI517" s="84" t="n">
        <v>0</v>
      </c>
      <c r="AJ517" s="84">
        <f>SUMIFS(AH$8:AH$1039,$O$8:$O$1039,O517,$AB$8:$AB$1039,AB517,$R$8:$R$1039,R517,$AA$8:$AA$1039,"&lt;="&amp;AA517)</f>
        <v/>
      </c>
      <c r="AK517" s="84">
        <f>E47</f>
        <v/>
      </c>
      <c r="AL517" s="84">
        <f>E53</f>
        <v/>
      </c>
      <c r="AM517" s="84">
        <f>MAX(0,AJ517-AK517)</f>
        <v/>
      </c>
      <c r="AN517" s="84">
        <f>IF(AM517=0,AH517,IF(AM517&gt;=AH517,0,AH517-AM517))</f>
        <v/>
      </c>
      <c r="AO517" s="84">
        <f>IF(AM517&gt;=AH517,AI517,AI517*AM517/AH517)</f>
        <v/>
      </c>
      <c r="AP517">
        <f t="array" ref="AP517">INDEX($AU$8:$BB$25,6*(R517-1)+MATCH(AB517,$AS$8:$AS$13,0),MATCH(O517,$AU$7:$BB$7,0))</f>
        <v/>
      </c>
    </row>
    <row r="518" ht="14.25" customHeight="1">
      <c r="O518" s="43" t="inlineStr">
        <is>
          <t>Q4’26</t>
        </is>
      </c>
      <c r="P518" s="43" t="n">
        <v>3</v>
      </c>
      <c r="Q518" s="43" t="n">
        <v>16</v>
      </c>
      <c r="R518" s="43" t="n">
        <v>1</v>
      </c>
      <c r="S518" s="45" t="n">
        <v>90.68052588578701</v>
      </c>
      <c r="T518">
        <f>(S518+S519+S520)=Q4</f>
        <v/>
      </c>
      <c r="X518" s="84">
        <f>MAX(S515-S518,0)</f>
        <v/>
      </c>
      <c r="Y518" s="83" t="n">
        <v>0</v>
      </c>
      <c r="AA518" s="84" t="n">
        <v>4</v>
      </c>
      <c r="AB518" s="84" t="inlineStr">
        <is>
          <t>C</t>
        </is>
      </c>
      <c r="AC518" s="84" t="inlineStr">
        <is>
          <t>C+</t>
        </is>
      </c>
      <c r="AD518" s="84" t="n">
        <v>25</v>
      </c>
      <c r="AE518" s="84" t="n">
        <v>20</v>
      </c>
      <c r="AF518" s="84" t="n">
        <v>0.8</v>
      </c>
      <c r="AG518" s="84" t="n">
        <v>0.86</v>
      </c>
      <c r="AH518" s="84" t="n">
        <v>0</v>
      </c>
      <c r="AI518" s="84" t="n">
        <v>0</v>
      </c>
      <c r="AJ518" s="84">
        <f>SUMIFS(AH$8:AH$1039,$O$8:$O$1039,O518,$AB$8:$AB$1039,AB518,$R$8:$R$1039,R518,$AA$8:$AA$1039,"&lt;="&amp;AA518)</f>
        <v/>
      </c>
      <c r="AK518" s="84">
        <f>C46</f>
        <v/>
      </c>
      <c r="AL518" s="84">
        <f>C52</f>
        <v/>
      </c>
      <c r="AM518" s="84">
        <f>MAX(0,AJ518-AK518)</f>
        <v/>
      </c>
      <c r="AN518" s="84">
        <f>IF(AM518=0,AH518,IF(AM518&gt;=AH518,0,AH518-AM518))</f>
        <v/>
      </c>
      <c r="AO518" s="84">
        <f>IF(AM518&gt;=AH518,AI518,AI518*AM518/AH518)</f>
        <v/>
      </c>
      <c r="AP518">
        <f t="array" ref="AP518">INDEX($AU$8:$BB$25,6*(R518-1)+MATCH(AB518,$AS$8:$AS$13,0),MATCH(O518,$AU$7:$BB$7,0))</f>
        <v/>
      </c>
    </row>
    <row r="519" ht="14.25" customHeight="1">
      <c r="O519" s="43" t="inlineStr">
        <is>
          <t>Q4’26</t>
        </is>
      </c>
      <c r="P519" s="43" t="n">
        <v>3</v>
      </c>
      <c r="Q519" s="43" t="n">
        <v>16</v>
      </c>
      <c r="R519" s="43" t="n">
        <v>2</v>
      </c>
      <c r="S519" s="45" t="n">
        <v>3671.491764705882</v>
      </c>
      <c r="T519">
        <f>(S518+S519+S520)=Q4</f>
        <v/>
      </c>
      <c r="X519" s="84">
        <f>MAX(S516-S519,0)</f>
        <v/>
      </c>
      <c r="Y519" s="83" t="n">
        <v>0</v>
      </c>
      <c r="AA519" s="84" t="n">
        <v>4</v>
      </c>
      <c r="AB519" s="84" t="inlineStr">
        <is>
          <t>C</t>
        </is>
      </c>
      <c r="AC519" s="84" t="inlineStr">
        <is>
          <t>C+</t>
        </is>
      </c>
      <c r="AD519" s="84" t="n">
        <v>25</v>
      </c>
      <c r="AE519" s="84" t="n">
        <v>20</v>
      </c>
      <c r="AF519" s="84" t="n">
        <v>0.8</v>
      </c>
      <c r="AG519" s="84" t="n">
        <v>0.86</v>
      </c>
      <c r="AH519" s="84" t="n">
        <v>0</v>
      </c>
      <c r="AI519" s="84" t="n">
        <v>0</v>
      </c>
      <c r="AJ519" s="84">
        <f>SUMIFS(AH$8:AH$1039,$O$8:$O$1039,O519,$AB$8:$AB$1039,AB519,$R$8:$R$1039,R519,$AA$8:$AA$1039,"&lt;="&amp;AA519)</f>
        <v/>
      </c>
      <c r="AK519" s="84">
        <f>D46</f>
        <v/>
      </c>
      <c r="AL519" s="84">
        <f>D52</f>
        <v/>
      </c>
      <c r="AM519" s="84">
        <f>MAX(0,AJ519-AK519)</f>
        <v/>
      </c>
      <c r="AN519" s="84">
        <f>IF(AM519=0,AH519,IF(AM519&gt;=AH519,0,AH519-AM519))</f>
        <v/>
      </c>
      <c r="AO519" s="84">
        <f>IF(AM519&gt;=AH519,AI519,AI519*AM519/AH519)</f>
        <v/>
      </c>
      <c r="AP519">
        <f t="array" ref="AP519">INDEX($AU$8:$BB$25,6*(R519-1)+MATCH(AB519,$AS$8:$AS$13,0),MATCH(O519,$AU$7:$BB$7,0))</f>
        <v/>
      </c>
    </row>
    <row r="520" ht="14.25" customHeight="1">
      <c r="O520" s="43" t="inlineStr">
        <is>
          <t>Q4’26</t>
        </is>
      </c>
      <c r="P520" s="43" t="n">
        <v>3</v>
      </c>
      <c r="Q520" s="43" t="n">
        <v>16</v>
      </c>
      <c r="R520" s="43" t="n">
        <v>3</v>
      </c>
      <c r="S520" s="45" t="n">
        <v>4237.827709408331</v>
      </c>
      <c r="T520">
        <f>(S518+S519+S520)=Q4</f>
        <v/>
      </c>
      <c r="X520" s="84">
        <f>MAX(S517-S520,0)</f>
        <v/>
      </c>
      <c r="Y520" s="83" t="n">
        <v>0</v>
      </c>
      <c r="AA520" s="84" t="n">
        <v>4</v>
      </c>
      <c r="AB520" s="84" t="inlineStr">
        <is>
          <t>C</t>
        </is>
      </c>
      <c r="AC520" s="84" t="inlineStr">
        <is>
          <t>C+</t>
        </is>
      </c>
      <c r="AD520" s="84" t="n">
        <v>25</v>
      </c>
      <c r="AE520" s="84" t="n">
        <v>20</v>
      </c>
      <c r="AF520" s="84" t="n">
        <v>0.8</v>
      </c>
      <c r="AG520" s="84" t="n">
        <v>0.86</v>
      </c>
      <c r="AH520" s="84" t="n">
        <v>0</v>
      </c>
      <c r="AI520" s="84" t="n">
        <v>0</v>
      </c>
      <c r="AJ520" s="84">
        <f>SUMIFS(AH$8:AH$1039,$O$8:$O$1039,O520,$AB$8:$AB$1039,AB520,$R$8:$R$1039,R520,$AA$8:$AA$1039,"&lt;="&amp;AA520)</f>
        <v/>
      </c>
      <c r="AK520" s="84">
        <f>E46</f>
        <v/>
      </c>
      <c r="AL520" s="84">
        <f>E52</f>
        <v/>
      </c>
      <c r="AM520" s="84">
        <f>MAX(0,AJ520-AK520)</f>
        <v/>
      </c>
      <c r="AN520" s="84">
        <f>IF(AM520=0,AH520,IF(AM520&gt;=AH520,0,AH520-AM520))</f>
        <v/>
      </c>
      <c r="AO520" s="84">
        <f>IF(AM520&gt;=AH520,AI520,AI520*AM520/AH520)</f>
        <v/>
      </c>
      <c r="AP520">
        <f t="array" ref="AP520">INDEX($AU$8:$BB$25,6*(R520-1)+MATCH(AB520,$AS$8:$AS$13,0),MATCH(O520,$AU$7:$BB$7,0))</f>
        <v/>
      </c>
    </row>
    <row r="521" ht="14.25" customHeight="1">
      <c r="O521" s="43" t="inlineStr">
        <is>
          <t>Q4’26</t>
        </is>
      </c>
      <c r="P521" s="43" t="n">
        <v>3</v>
      </c>
      <c r="Q521" s="43" t="n">
        <v>17</v>
      </c>
      <c r="R521" s="43" t="n">
        <v>1</v>
      </c>
      <c r="S521" s="45" t="n">
        <v>90.68052588578701</v>
      </c>
      <c r="T521">
        <f>(S521+S522+S523)=Q4</f>
        <v/>
      </c>
      <c r="X521" s="84">
        <f>MAX(S518-S521,0)</f>
        <v/>
      </c>
      <c r="Y521" s="83" t="n">
        <v>0</v>
      </c>
      <c r="AA521" s="84" t="n">
        <v>1</v>
      </c>
      <c r="AB521" s="84" t="inlineStr">
        <is>
          <t>F</t>
        </is>
      </c>
      <c r="AC521" s="84" t="inlineStr">
        <is>
          <t>F+</t>
        </is>
      </c>
      <c r="AD521" s="84" t="n">
        <v>14</v>
      </c>
      <c r="AE521" s="84" t="n">
        <v>13</v>
      </c>
      <c r="AF521" s="84" t="n">
        <v>0.8</v>
      </c>
      <c r="AG521" s="84" t="n">
        <v>0.9</v>
      </c>
      <c r="AH521" s="84" t="n">
        <v>0</v>
      </c>
      <c r="AI521" s="84" t="n">
        <v>0</v>
      </c>
      <c r="AJ521" s="84">
        <f>SUMIFS(AH$8:AH$1039,$O$8:$O$1039,O521,$AB$8:$AB$1039,AB521,$R$8:$R$1039,R521,$AA$8:$AA$1039,"&lt;="&amp;AA521)</f>
        <v/>
      </c>
      <c r="AK521" s="84">
        <f>C49</f>
        <v/>
      </c>
      <c r="AL521" s="84">
        <f>C55</f>
        <v/>
      </c>
      <c r="AM521" s="84">
        <f>MAX(0,AJ521-AK521)</f>
        <v/>
      </c>
      <c r="AN521" s="84">
        <f>IF(AM521=0,AH521,IF(AM521&gt;=AH521,0,AH521-AM521))</f>
        <v/>
      </c>
      <c r="AO521" s="84">
        <f>IF(AM521&gt;=AH521,AI521,AI521*AM521/AH521)</f>
        <v/>
      </c>
      <c r="AP521">
        <f t="array" ref="AP521">INDEX($AU$8:$BB$25,6*(R521-1)+MATCH(AB521,$AS$8:$AS$13,0),MATCH(O521,$AU$7:$BB$7,0))</f>
        <v/>
      </c>
    </row>
    <row r="522" ht="14.25" customHeight="1">
      <c r="O522" s="43" t="inlineStr">
        <is>
          <t>Q4’26</t>
        </is>
      </c>
      <c r="P522" s="43" t="n">
        <v>3</v>
      </c>
      <c r="Q522" s="43" t="n">
        <v>17</v>
      </c>
      <c r="R522" s="43" t="n">
        <v>2</v>
      </c>
      <c r="S522" s="45" t="n">
        <v>3671.491764705882</v>
      </c>
      <c r="T522">
        <f>(S521+S522+S523)=Q4</f>
        <v/>
      </c>
      <c r="X522" s="84">
        <f>MAX(S519-S522,0)</f>
        <v/>
      </c>
      <c r="Y522" s="83" t="n">
        <v>0</v>
      </c>
      <c r="AA522" s="84" t="n">
        <v>1</v>
      </c>
      <c r="AB522" s="84" t="inlineStr">
        <is>
          <t>F</t>
        </is>
      </c>
      <c r="AC522" s="84" t="inlineStr">
        <is>
          <t>F+</t>
        </is>
      </c>
      <c r="AD522" s="84" t="n">
        <v>14</v>
      </c>
      <c r="AE522" s="84" t="n">
        <v>13</v>
      </c>
      <c r="AF522" s="84" t="n">
        <v>0.8</v>
      </c>
      <c r="AG522" s="84" t="n">
        <v>0.9</v>
      </c>
      <c r="AH522" s="84" t="n">
        <v>0</v>
      </c>
      <c r="AI522" s="84" t="n">
        <v>0</v>
      </c>
      <c r="AJ522" s="84">
        <f>SUMIFS(AH$8:AH$1039,$O$8:$O$1039,O522,$AB$8:$AB$1039,AB522,$R$8:$R$1039,R522,$AA$8:$AA$1039,"&lt;="&amp;AA522)</f>
        <v/>
      </c>
      <c r="AK522" s="84">
        <f>D49</f>
        <v/>
      </c>
      <c r="AL522" s="84">
        <f>D55</f>
        <v/>
      </c>
      <c r="AM522" s="84">
        <f>MAX(0,AJ522-AK522)</f>
        <v/>
      </c>
      <c r="AN522" s="84">
        <f>IF(AM522=0,AH522,IF(AM522&gt;=AH522,0,AH522-AM522))</f>
        <v/>
      </c>
      <c r="AO522" s="84">
        <f>IF(AM522&gt;=AH522,AI522,AI522*AM522/AH522)</f>
        <v/>
      </c>
      <c r="AP522">
        <f t="array" ref="AP522">INDEX($AU$8:$BB$25,6*(R522-1)+MATCH(AB522,$AS$8:$AS$13,0),MATCH(O522,$AU$7:$BB$7,0))</f>
        <v/>
      </c>
    </row>
    <row r="523" ht="14.25" customHeight="1">
      <c r="O523" s="43" t="inlineStr">
        <is>
          <t>Q4’26</t>
        </is>
      </c>
      <c r="P523" s="43" t="n">
        <v>3</v>
      </c>
      <c r="Q523" s="43" t="n">
        <v>17</v>
      </c>
      <c r="R523" s="43" t="n">
        <v>3</v>
      </c>
      <c r="S523" s="45" t="n">
        <v>4237.827709408331</v>
      </c>
      <c r="T523">
        <f>(S521+S522+S523)=Q4</f>
        <v/>
      </c>
      <c r="X523" s="84">
        <f>MAX(S520-S523,0)</f>
        <v/>
      </c>
      <c r="Y523" s="83" t="n">
        <v>0</v>
      </c>
      <c r="AA523" s="84" t="n">
        <v>1</v>
      </c>
      <c r="AB523" s="84" t="inlineStr">
        <is>
          <t>F</t>
        </is>
      </c>
      <c r="AC523" s="84" t="inlineStr">
        <is>
          <t>F+</t>
        </is>
      </c>
      <c r="AD523" s="84" t="n">
        <v>14</v>
      </c>
      <c r="AE523" s="84" t="n">
        <v>13</v>
      </c>
      <c r="AF523" s="84" t="n">
        <v>0.8</v>
      </c>
      <c r="AG523" s="84" t="n">
        <v>0.9</v>
      </c>
      <c r="AH523" s="84" t="n">
        <v>0</v>
      </c>
      <c r="AI523" s="84" t="n">
        <v>0</v>
      </c>
      <c r="AJ523" s="84">
        <f>SUMIFS(AH$8:AH$1039,$O$8:$O$1039,O523,$AB$8:$AB$1039,AB523,$R$8:$R$1039,R523,$AA$8:$AA$1039,"&lt;="&amp;AA523)</f>
        <v/>
      </c>
      <c r="AK523" s="84">
        <f>E49</f>
        <v/>
      </c>
      <c r="AL523" s="84">
        <f>E55</f>
        <v/>
      </c>
      <c r="AM523" s="84">
        <f>MAX(0,AJ523-AK523)</f>
        <v/>
      </c>
      <c r="AN523" s="84">
        <f>IF(AM523=0,AH523,IF(AM523&gt;=AH523,0,AH523-AM523))</f>
        <v/>
      </c>
      <c r="AO523" s="84">
        <f>IF(AM523&gt;=AH523,AI523,AI523*AM523/AH523)</f>
        <v/>
      </c>
      <c r="AP523">
        <f t="array" ref="AP523">INDEX($AU$8:$BB$25,6*(R523-1)+MATCH(AB523,$AS$8:$AS$13,0),MATCH(O523,$AU$7:$BB$7,0))</f>
        <v/>
      </c>
    </row>
    <row r="524" ht="14.25" customHeight="1">
      <c r="O524" s="43" t="inlineStr">
        <is>
          <t>Q1’27</t>
        </is>
      </c>
      <c r="P524" s="43" t="n">
        <v>1</v>
      </c>
      <c r="Q524" s="43" t="n">
        <v>1</v>
      </c>
      <c r="R524" s="43" t="n">
        <v>1</v>
      </c>
      <c r="S524" s="45" t="n">
        <v>3940.722281259798</v>
      </c>
      <c r="T524">
        <f>(S524+S525+S526)=R2</f>
        <v/>
      </c>
      <c r="X524" s="84" t="n">
        <v>0</v>
      </c>
      <c r="Y524" s="83" t="n">
        <v>0</v>
      </c>
      <c r="AA524" s="84" t="n">
        <v>4</v>
      </c>
      <c r="AB524" s="84" t="inlineStr">
        <is>
          <t>D</t>
        </is>
      </c>
      <c r="AC524" s="84" t="inlineStr">
        <is>
          <t>D+</t>
        </is>
      </c>
      <c r="AD524" s="84" t="n">
        <v>14</v>
      </c>
      <c r="AE524" s="84" t="n">
        <v>12</v>
      </c>
      <c r="AF524" s="84" t="n">
        <v>0.8</v>
      </c>
      <c r="AG524" s="84" t="n">
        <v>0.88</v>
      </c>
      <c r="AH524" s="84" t="n">
        <v>0</v>
      </c>
      <c r="AI524" s="84" t="n">
        <v>0</v>
      </c>
      <c r="AJ524" s="84">
        <f>SUMIFS(AH$8:AH$1039,$O$8:$O$1039,O524,$AB$8:$AB$1039,AB524,$R$8:$R$1039,R524,$AA$8:$AA$1039,"&lt;="&amp;AA524)</f>
        <v/>
      </c>
      <c r="AK524" s="84">
        <f>C59</f>
        <v/>
      </c>
      <c r="AL524" s="84">
        <f>C65</f>
        <v/>
      </c>
      <c r="AM524" s="84">
        <f>MAX(0,AJ524-AK524)</f>
        <v/>
      </c>
      <c r="AN524" s="84">
        <f>IF(AM524=0,AH524,IF(AM524&gt;=AH524,0,AH524-AM524))</f>
        <v/>
      </c>
      <c r="AO524" s="84">
        <f>IF(AM524&gt;=AH524,AI524,AI524*AM524/AH524)</f>
        <v/>
      </c>
      <c r="AP524">
        <f t="array" ref="AP524">INDEX($AU$8:$BB$25,6*(R524-1)+MATCH(AB524,$AS$8:$AS$13,0),MATCH(O524,$AU$7:$BB$7,0))</f>
        <v/>
      </c>
    </row>
    <row r="525" ht="14.25" customHeight="1">
      <c r="O525" s="43" t="inlineStr">
        <is>
          <t>Q1’27</t>
        </is>
      </c>
      <c r="P525" s="43" t="n">
        <v>1</v>
      </c>
      <c r="Q525" s="43" t="n">
        <v>1</v>
      </c>
      <c r="R525" s="43" t="n">
        <v>2</v>
      </c>
      <c r="S525" s="45" t="n">
        <v>1334.082304393404</v>
      </c>
      <c r="T525">
        <f>(S524+S525+S526)=R2</f>
        <v/>
      </c>
      <c r="X525" s="84" t="n">
        <v>0</v>
      </c>
      <c r="Y525" s="83" t="n">
        <v>0</v>
      </c>
      <c r="AA525" s="84" t="n">
        <v>4</v>
      </c>
      <c r="AB525" s="84" t="inlineStr">
        <is>
          <t>D</t>
        </is>
      </c>
      <c r="AC525" s="84" t="inlineStr">
        <is>
          <t>D+</t>
        </is>
      </c>
      <c r="AD525" s="84" t="n">
        <v>14</v>
      </c>
      <c r="AE525" s="84" t="n">
        <v>12</v>
      </c>
      <c r="AF525" s="84" t="n">
        <v>0.8</v>
      </c>
      <c r="AG525" s="84" t="n">
        <v>0.88</v>
      </c>
      <c r="AH525" s="84" t="n">
        <v>0</v>
      </c>
      <c r="AI525" s="84" t="n">
        <v>0</v>
      </c>
      <c r="AJ525" s="84">
        <f>SUMIFS(AH$8:AH$1039,$O$8:$O$1039,O525,$AB$8:$AB$1039,AB525,$R$8:$R$1039,R525,$AA$8:$AA$1039,"&lt;="&amp;AA525)</f>
        <v/>
      </c>
      <c r="AK525" s="84">
        <f>D59</f>
        <v/>
      </c>
      <c r="AL525" s="84">
        <f>D65</f>
        <v/>
      </c>
      <c r="AM525" s="84">
        <f>MAX(0,AJ525-AK525)</f>
        <v/>
      </c>
      <c r="AN525" s="84">
        <f>IF(AM525=0,AH525,IF(AM525&gt;=AH525,0,AH525-AM525))</f>
        <v/>
      </c>
      <c r="AO525" s="84">
        <f>IF(AM525&gt;=AH525,AI525,AI525*AM525/AH525)</f>
        <v/>
      </c>
      <c r="AP525">
        <f t="array" ref="AP525">INDEX($AU$8:$BB$25,6*(R525-1)+MATCH(AB525,$AS$8:$AS$13,0),MATCH(O525,$AU$7:$BB$7,0))</f>
        <v/>
      </c>
    </row>
    <row r="526" ht="14.25" customHeight="1">
      <c r="O526" s="43" t="inlineStr">
        <is>
          <t>Q1’27</t>
        </is>
      </c>
      <c r="P526" s="43" t="n">
        <v>1</v>
      </c>
      <c r="Q526" s="43" t="n">
        <v>1</v>
      </c>
      <c r="R526" s="43" t="n">
        <v>3</v>
      </c>
      <c r="S526" s="45" t="n">
        <v>725.195414346799</v>
      </c>
      <c r="T526">
        <f>(S524+S525+S526)=R2</f>
        <v/>
      </c>
      <c r="X526" s="84" t="n">
        <v>0</v>
      </c>
      <c r="Y526" s="83" t="n">
        <v>0</v>
      </c>
      <c r="AA526" s="84" t="n">
        <v>4</v>
      </c>
      <c r="AB526" s="84" t="inlineStr">
        <is>
          <t>D</t>
        </is>
      </c>
      <c r="AC526" s="84" t="inlineStr">
        <is>
          <t>D+</t>
        </is>
      </c>
      <c r="AD526" s="84" t="n">
        <v>14</v>
      </c>
      <c r="AE526" s="84" t="n">
        <v>12</v>
      </c>
      <c r="AF526" s="84" t="n">
        <v>0.8</v>
      </c>
      <c r="AG526" s="84" t="n">
        <v>0.88</v>
      </c>
      <c r="AH526" s="84" t="n">
        <v>0</v>
      </c>
      <c r="AI526" s="84" t="n">
        <v>0</v>
      </c>
      <c r="AJ526" s="84">
        <f>SUMIFS(AH$8:AH$1039,$O$8:$O$1039,O526,$AB$8:$AB$1039,AB526,$R$8:$R$1039,R526,$AA$8:$AA$1039,"&lt;="&amp;AA526)</f>
        <v/>
      </c>
      <c r="AK526" s="84">
        <f>E59</f>
        <v/>
      </c>
      <c r="AL526" s="84">
        <f>E65</f>
        <v/>
      </c>
      <c r="AM526" s="84">
        <f>MAX(0,AJ526-AK526)</f>
        <v/>
      </c>
      <c r="AN526" s="84">
        <f>IF(AM526=0,AH526,IF(AM526&gt;=AH526,0,AH526-AM526))</f>
        <v/>
      </c>
      <c r="AO526" s="84">
        <f>IF(AM526&gt;=AH526,AI526,AI526*AM526/AH526)</f>
        <v/>
      </c>
      <c r="AP526">
        <f t="array" ref="AP526">INDEX($AU$8:$BB$25,6*(R526-1)+MATCH(AB526,$AS$8:$AS$13,0),MATCH(O526,$AU$7:$BB$7,0))</f>
        <v/>
      </c>
    </row>
    <row r="527" ht="14.25" customHeight="1">
      <c r="O527" s="43" t="inlineStr">
        <is>
          <t>Q1’27</t>
        </is>
      </c>
      <c r="P527" s="43" t="n">
        <v>1</v>
      </c>
      <c r="Q527" s="43" t="n">
        <v>2</v>
      </c>
      <c r="R527" s="43" t="n">
        <v>1</v>
      </c>
      <c r="S527" s="45" t="n">
        <v>3940.722281259798</v>
      </c>
      <c r="T527">
        <f>(S527+S528+S529)=R2</f>
        <v/>
      </c>
      <c r="X527" s="84">
        <f>MAX(S524-S527,0)</f>
        <v/>
      </c>
      <c r="Y527" s="83" t="n">
        <v>0</v>
      </c>
      <c r="AA527" s="84" t="n">
        <v>10</v>
      </c>
      <c r="AB527" s="84" t="inlineStr">
        <is>
          <t>F</t>
        </is>
      </c>
      <c r="AC527" s="84" t="inlineStr">
        <is>
          <t>F+</t>
        </is>
      </c>
      <c r="AD527" s="84" t="n">
        <v>25</v>
      </c>
      <c r="AE527" s="84" t="n">
        <v>21</v>
      </c>
      <c r="AF527" s="84" t="n">
        <v>0.8</v>
      </c>
      <c r="AG527" s="84" t="n">
        <v>0.9</v>
      </c>
      <c r="AH527" s="84" t="n">
        <v>0</v>
      </c>
      <c r="AI527" s="84" t="n">
        <v>0</v>
      </c>
      <c r="AJ527" s="84">
        <f>SUMIFS(AH$8:AH$1039,$O$8:$O$1039,O527,$AB$8:$AB$1039,AB527,$R$8:$R$1039,R527,$AA$8:$AA$1039,"&lt;="&amp;AA527)</f>
        <v/>
      </c>
      <c r="AK527" s="84">
        <f>C61</f>
        <v/>
      </c>
      <c r="AL527" s="84">
        <f>C67</f>
        <v/>
      </c>
      <c r="AM527" s="84">
        <f>MAX(0,AJ527-AK527)</f>
        <v/>
      </c>
      <c r="AN527" s="84">
        <f>IF(AM527=0,AH527,IF(AM527&gt;=AH527,0,AH527-AM527))</f>
        <v/>
      </c>
      <c r="AO527" s="84">
        <f>IF(AM527&gt;=AH527,AI527,AI527*AM527/AH527)</f>
        <v/>
      </c>
      <c r="AP527">
        <f t="array" ref="AP527">INDEX($AU$8:$BB$25,6*(R527-1)+MATCH(AB527,$AS$8:$AS$13,0),MATCH(O527,$AU$7:$BB$7,0))</f>
        <v/>
      </c>
    </row>
    <row r="528" ht="14.25" customHeight="1">
      <c r="O528" s="43" t="inlineStr">
        <is>
          <t>Q1’27</t>
        </is>
      </c>
      <c r="P528" s="43" t="n">
        <v>1</v>
      </c>
      <c r="Q528" s="43" t="n">
        <v>2</v>
      </c>
      <c r="R528" s="43" t="n">
        <v>2</v>
      </c>
      <c r="S528" s="45" t="n">
        <v>1334.082304393404</v>
      </c>
      <c r="T528">
        <f>(S527+S528+S529)=R2</f>
        <v/>
      </c>
      <c r="X528" s="84">
        <f>MAX(S525-S528,0)</f>
        <v/>
      </c>
      <c r="Y528" s="83" t="n">
        <v>0</v>
      </c>
      <c r="AA528" s="84" t="n">
        <v>10</v>
      </c>
      <c r="AB528" s="84" t="inlineStr">
        <is>
          <t>F</t>
        </is>
      </c>
      <c r="AC528" s="84" t="inlineStr">
        <is>
          <t>F+</t>
        </is>
      </c>
      <c r="AD528" s="84" t="n">
        <v>25</v>
      </c>
      <c r="AE528" s="84" t="n">
        <v>21</v>
      </c>
      <c r="AF528" s="84" t="n">
        <v>0.8</v>
      </c>
      <c r="AG528" s="84" t="n">
        <v>0.9</v>
      </c>
      <c r="AH528" s="84" t="n">
        <v>0</v>
      </c>
      <c r="AI528" s="84" t="n">
        <v>0</v>
      </c>
      <c r="AJ528" s="84">
        <f>SUMIFS(AH$8:AH$1039,$O$8:$O$1039,O528,$AB$8:$AB$1039,AB528,$R$8:$R$1039,R528,$AA$8:$AA$1039,"&lt;="&amp;AA528)</f>
        <v/>
      </c>
      <c r="AK528" s="84">
        <f>D61</f>
        <v/>
      </c>
      <c r="AL528" s="84">
        <f>D67</f>
        <v/>
      </c>
      <c r="AM528" s="84">
        <f>MAX(0,AJ528-AK528)</f>
        <v/>
      </c>
      <c r="AN528" s="84">
        <f>IF(AM528=0,AH528,IF(AM528&gt;=AH528,0,AH528-AM528))</f>
        <v/>
      </c>
      <c r="AO528" s="84">
        <f>IF(AM528&gt;=AH528,AI528,AI528*AM528/AH528)</f>
        <v/>
      </c>
      <c r="AP528">
        <f t="array" ref="AP528">INDEX($AU$8:$BB$25,6*(R528-1)+MATCH(AB528,$AS$8:$AS$13,0),MATCH(O528,$AU$7:$BB$7,0))</f>
        <v/>
      </c>
    </row>
    <row r="529" ht="14.25" customHeight="1">
      <c r="O529" s="43" t="inlineStr">
        <is>
          <t>Q1’27</t>
        </is>
      </c>
      <c r="P529" s="43" t="n">
        <v>1</v>
      </c>
      <c r="Q529" s="43" t="n">
        <v>2</v>
      </c>
      <c r="R529" s="43" t="n">
        <v>3</v>
      </c>
      <c r="S529" s="45" t="n">
        <v>725.195414346799</v>
      </c>
      <c r="T529">
        <f>(S527+S528+S529)=R2</f>
        <v/>
      </c>
      <c r="X529" s="84">
        <f>MAX(S526-S529,0)</f>
        <v/>
      </c>
      <c r="Y529" s="83" t="n">
        <v>0</v>
      </c>
      <c r="AA529" s="84" t="n">
        <v>10</v>
      </c>
      <c r="AB529" s="84" t="inlineStr">
        <is>
          <t>F</t>
        </is>
      </c>
      <c r="AC529" s="84" t="inlineStr">
        <is>
          <t>F+</t>
        </is>
      </c>
      <c r="AD529" s="84" t="n">
        <v>25</v>
      </c>
      <c r="AE529" s="84" t="n">
        <v>21</v>
      </c>
      <c r="AF529" s="84" t="n">
        <v>0.8</v>
      </c>
      <c r="AG529" s="84" t="n">
        <v>0.9</v>
      </c>
      <c r="AH529" s="84" t="n">
        <v>0</v>
      </c>
      <c r="AI529" s="84" t="n">
        <v>0</v>
      </c>
      <c r="AJ529" s="84">
        <f>SUMIFS(AH$8:AH$1039,$O$8:$O$1039,O529,$AB$8:$AB$1039,AB529,$R$8:$R$1039,R529,$AA$8:$AA$1039,"&lt;="&amp;AA529)</f>
        <v/>
      </c>
      <c r="AK529" s="84">
        <f>E61</f>
        <v/>
      </c>
      <c r="AL529" s="84">
        <f>E67</f>
        <v/>
      </c>
      <c r="AM529" s="84">
        <f>MAX(0,AJ529-AK529)</f>
        <v/>
      </c>
      <c r="AN529" s="84">
        <f>IF(AM529=0,AH529,IF(AM529&gt;=AH529,0,AH529-AM529))</f>
        <v/>
      </c>
      <c r="AO529" s="84">
        <f>IF(AM529&gt;=AH529,AI529,AI529*AM529/AH529)</f>
        <v/>
      </c>
      <c r="AP529">
        <f t="array" ref="AP529">INDEX($AU$8:$BB$25,6*(R529-1)+MATCH(AB529,$AS$8:$AS$13,0),MATCH(O529,$AU$7:$BB$7,0))</f>
        <v/>
      </c>
    </row>
    <row r="530" ht="14.25" customHeight="1">
      <c r="O530" s="43" t="inlineStr">
        <is>
          <t>Q1’27</t>
        </is>
      </c>
      <c r="P530" s="43" t="n">
        <v>1</v>
      </c>
      <c r="Q530" s="43" t="n">
        <v>3</v>
      </c>
      <c r="R530" s="43" t="n">
        <v>1</v>
      </c>
      <c r="S530" s="45" t="n">
        <v>3940.722281259798</v>
      </c>
      <c r="T530">
        <f>(S530+S531+S532)=R2</f>
        <v/>
      </c>
      <c r="X530" s="84">
        <f>MAX(S527-S530,0)</f>
        <v/>
      </c>
      <c r="Y530" s="83" t="n">
        <v>0</v>
      </c>
      <c r="AA530" s="84" t="n">
        <v>8</v>
      </c>
      <c r="AB530" s="84" t="inlineStr">
        <is>
          <t>F</t>
        </is>
      </c>
      <c r="AC530" s="84" t="inlineStr">
        <is>
          <t>F+</t>
        </is>
      </c>
      <c r="AD530" s="84" t="n">
        <v>27</v>
      </c>
      <c r="AE530" s="84" t="n">
        <v>23</v>
      </c>
      <c r="AF530" s="84" t="n">
        <v>0.8</v>
      </c>
      <c r="AG530" s="84" t="n">
        <v>0.9</v>
      </c>
      <c r="AH530" s="84" t="n">
        <v>0</v>
      </c>
      <c r="AI530" s="84" t="n">
        <v>0</v>
      </c>
      <c r="AJ530" s="84">
        <f>SUMIFS(AH$8:AH$1039,$O$8:$O$1039,O530,$AB$8:$AB$1039,AB530,$R$8:$R$1039,R530,$AA$8:$AA$1039,"&lt;="&amp;AA530)</f>
        <v/>
      </c>
      <c r="AK530" s="84">
        <f>C61</f>
        <v/>
      </c>
      <c r="AL530" s="84">
        <f>C67</f>
        <v/>
      </c>
      <c r="AM530" s="84">
        <f>MAX(0,AJ530-AK530)</f>
        <v/>
      </c>
      <c r="AN530" s="84">
        <f>IF(AM530=0,AH530,IF(AM530&gt;=AH530,0,AH530-AM530))</f>
        <v/>
      </c>
      <c r="AO530" s="84">
        <f>IF(AM530&gt;=AH530,AI530,AI530*AM530/AH530)</f>
        <v/>
      </c>
      <c r="AP530">
        <f t="array" ref="AP530">INDEX($AU$8:$BB$25,6*(R530-1)+MATCH(AB530,$AS$8:$AS$13,0),MATCH(O530,$AU$7:$BB$7,0))</f>
        <v/>
      </c>
    </row>
    <row r="531" ht="14.25" customHeight="1">
      <c r="O531" s="43" t="inlineStr">
        <is>
          <t>Q1’27</t>
        </is>
      </c>
      <c r="P531" s="43" t="n">
        <v>1</v>
      </c>
      <c r="Q531" s="43" t="n">
        <v>3</v>
      </c>
      <c r="R531" s="43" t="n">
        <v>2</v>
      </c>
      <c r="S531" s="45" t="n">
        <v>1334.082304393404</v>
      </c>
      <c r="T531">
        <f>(S530+S531+S532)=R2</f>
        <v/>
      </c>
      <c r="X531" s="84">
        <f>MAX(S528-S531,0)</f>
        <v/>
      </c>
      <c r="Y531" s="83" t="n">
        <v>0</v>
      </c>
      <c r="AA531" s="84" t="n">
        <v>8</v>
      </c>
      <c r="AB531" s="84" t="inlineStr">
        <is>
          <t>F</t>
        </is>
      </c>
      <c r="AC531" s="84" t="inlineStr">
        <is>
          <t>F+</t>
        </is>
      </c>
      <c r="AD531" s="84" t="n">
        <v>27</v>
      </c>
      <c r="AE531" s="84" t="n">
        <v>23</v>
      </c>
      <c r="AF531" s="84" t="n">
        <v>0.8</v>
      </c>
      <c r="AG531" s="84" t="n">
        <v>0.9</v>
      </c>
      <c r="AH531" s="84" t="n">
        <v>0</v>
      </c>
      <c r="AI531" s="84" t="n">
        <v>0</v>
      </c>
      <c r="AJ531" s="84">
        <f>SUMIFS(AH$8:AH$1039,$O$8:$O$1039,O531,$AB$8:$AB$1039,AB531,$R$8:$R$1039,R531,$AA$8:$AA$1039,"&lt;="&amp;AA531)</f>
        <v/>
      </c>
      <c r="AK531" s="84">
        <f>D61</f>
        <v/>
      </c>
      <c r="AL531" s="84">
        <f>D67</f>
        <v/>
      </c>
      <c r="AM531" s="84">
        <f>MAX(0,AJ531-AK531)</f>
        <v/>
      </c>
      <c r="AN531" s="84">
        <f>IF(AM531=0,AH531,IF(AM531&gt;=AH531,0,AH531-AM531))</f>
        <v/>
      </c>
      <c r="AO531" s="84">
        <f>IF(AM531&gt;=AH531,AI531,AI531*AM531/AH531)</f>
        <v/>
      </c>
      <c r="AP531">
        <f t="array" ref="AP531">INDEX($AU$8:$BB$25,6*(R531-1)+MATCH(AB531,$AS$8:$AS$13,0),MATCH(O531,$AU$7:$BB$7,0))</f>
        <v/>
      </c>
    </row>
    <row r="532" ht="14.25" customHeight="1">
      <c r="O532" s="43" t="inlineStr">
        <is>
          <t>Q1’27</t>
        </is>
      </c>
      <c r="P532" s="43" t="n">
        <v>1</v>
      </c>
      <c r="Q532" s="43" t="n">
        <v>3</v>
      </c>
      <c r="R532" s="43" t="n">
        <v>3</v>
      </c>
      <c r="S532" s="45" t="n">
        <v>725.195414346799</v>
      </c>
      <c r="T532">
        <f>(S530+S531+S532)=R2</f>
        <v/>
      </c>
      <c r="X532" s="84">
        <f>MAX(S529-S532,0)</f>
        <v/>
      </c>
      <c r="Y532" s="83" t="n">
        <v>0</v>
      </c>
      <c r="AA532" s="84" t="n">
        <v>8</v>
      </c>
      <c r="AB532" s="84" t="inlineStr">
        <is>
          <t>F</t>
        </is>
      </c>
      <c r="AC532" s="84" t="inlineStr">
        <is>
          <t>F+</t>
        </is>
      </c>
      <c r="AD532" s="84" t="n">
        <v>27</v>
      </c>
      <c r="AE532" s="84" t="n">
        <v>23</v>
      </c>
      <c r="AF532" s="84" t="n">
        <v>0.8</v>
      </c>
      <c r="AG532" s="84" t="n">
        <v>0.9</v>
      </c>
      <c r="AH532" s="84" t="n">
        <v>0</v>
      </c>
      <c r="AI532" s="84" t="n">
        <v>0</v>
      </c>
      <c r="AJ532" s="84">
        <f>SUMIFS(AH$8:AH$1039,$O$8:$O$1039,O532,$AB$8:$AB$1039,AB532,$R$8:$R$1039,R532,$AA$8:$AA$1039,"&lt;="&amp;AA532)</f>
        <v/>
      </c>
      <c r="AK532" s="84">
        <f>E61</f>
        <v/>
      </c>
      <c r="AL532" s="84">
        <f>E67</f>
        <v/>
      </c>
      <c r="AM532" s="84">
        <f>MAX(0,AJ532-AK532)</f>
        <v/>
      </c>
      <c r="AN532" s="84">
        <f>IF(AM532=0,AH532,IF(AM532&gt;=AH532,0,AH532-AM532))</f>
        <v/>
      </c>
      <c r="AO532" s="84">
        <f>IF(AM532&gt;=AH532,AI532,AI532*AM532/AH532)</f>
        <v/>
      </c>
      <c r="AP532">
        <f t="array" ref="AP532">INDEX($AU$8:$BB$25,6*(R532-1)+MATCH(AB532,$AS$8:$AS$13,0),MATCH(O532,$AU$7:$BB$7,0))</f>
        <v/>
      </c>
    </row>
    <row r="533" ht="14.25" customHeight="1">
      <c r="O533" s="43" t="inlineStr">
        <is>
          <t>Q1’27</t>
        </is>
      </c>
      <c r="P533" s="43" t="n">
        <v>1</v>
      </c>
      <c r="Q533" s="43" t="n">
        <v>4</v>
      </c>
      <c r="R533" s="43" t="n">
        <v>1</v>
      </c>
      <c r="S533" s="45" t="n">
        <v>3940.722281259798</v>
      </c>
      <c r="T533">
        <f>(S533+S534+S535)=R2</f>
        <v/>
      </c>
      <c r="X533" s="84">
        <f>MAX(S530-S533,0)</f>
        <v/>
      </c>
      <c r="Y533" s="83" t="n">
        <v>0</v>
      </c>
      <c r="AA533" s="84" t="n">
        <v>3</v>
      </c>
      <c r="AB533" s="84" t="inlineStr">
        <is>
          <t>A</t>
        </is>
      </c>
      <c r="AC533" s="84" t="inlineStr">
        <is>
          <t>A+</t>
        </is>
      </c>
      <c r="AD533" s="84" t="n">
        <v>20</v>
      </c>
      <c r="AE533" s="84" t="n">
        <v>16</v>
      </c>
      <c r="AF533" s="84" t="n">
        <v>0.78</v>
      </c>
      <c r="AG533" s="84" t="n">
        <v>0.84</v>
      </c>
      <c r="AH533" s="84" t="n">
        <v>0</v>
      </c>
      <c r="AI533" s="84" t="n">
        <v>0</v>
      </c>
      <c r="AJ533" s="84">
        <f>SUMIFS(AH$8:AH$1039,$O$8:$O$1039,O533,$AB$8:$AB$1039,AB533,$R$8:$R$1039,R533,$AA$8:$AA$1039,"&lt;="&amp;AA533)</f>
        <v/>
      </c>
      <c r="AK533" s="84">
        <f>C56</f>
        <v/>
      </c>
      <c r="AL533" s="84">
        <f>C62</f>
        <v/>
      </c>
      <c r="AM533" s="84">
        <f>MAX(0,AJ533-AK533)</f>
        <v/>
      </c>
      <c r="AN533" s="84">
        <f>IF(AM533=0,AH533,IF(AM533&gt;=AH533,0,AH533-AM533))</f>
        <v/>
      </c>
      <c r="AO533" s="84">
        <f>IF(AM533&gt;=AH533,AI533,AI533*AM533/AH533)</f>
        <v/>
      </c>
      <c r="AP533">
        <f t="array" ref="AP533">INDEX($AU$8:$BB$25,6*(R533-1)+MATCH(AB533,$AS$8:$AS$13,0),MATCH(O533,$AU$7:$BB$7,0))</f>
        <v/>
      </c>
    </row>
    <row r="534" ht="14.25" customHeight="1">
      <c r="O534" s="43" t="inlineStr">
        <is>
          <t>Q1’27</t>
        </is>
      </c>
      <c r="P534" s="43" t="n">
        <v>1</v>
      </c>
      <c r="Q534" s="43" t="n">
        <v>4</v>
      </c>
      <c r="R534" s="43" t="n">
        <v>2</v>
      </c>
      <c r="S534" s="45" t="n">
        <v>2059.277718740202</v>
      </c>
      <c r="T534">
        <f>(S533+S534+S535)=R2</f>
        <v/>
      </c>
      <c r="X534" s="84">
        <f>MAX(S531-S534,0)</f>
        <v/>
      </c>
      <c r="Y534" s="83" t="n">
        <v>0</v>
      </c>
      <c r="AA534" s="84" t="n">
        <v>3</v>
      </c>
      <c r="AB534" s="84" t="inlineStr">
        <is>
          <t>A</t>
        </is>
      </c>
      <c r="AC534" s="84" t="inlineStr">
        <is>
          <t>A+</t>
        </is>
      </c>
      <c r="AD534" s="84" t="n">
        <v>20</v>
      </c>
      <c r="AE534" s="84" t="n">
        <v>16</v>
      </c>
      <c r="AF534" s="84" t="n">
        <v>0.78</v>
      </c>
      <c r="AG534" s="84" t="n">
        <v>0.84</v>
      </c>
      <c r="AH534" s="84" t="n">
        <v>0</v>
      </c>
      <c r="AI534" s="84" t="n">
        <v>0</v>
      </c>
      <c r="AJ534" s="84">
        <f>SUMIFS(AH$8:AH$1039,$O$8:$O$1039,O534,$AB$8:$AB$1039,AB534,$R$8:$R$1039,R534,$AA$8:$AA$1039,"&lt;="&amp;AA534)</f>
        <v/>
      </c>
      <c r="AK534" s="84">
        <f>D56</f>
        <v/>
      </c>
      <c r="AL534" s="84">
        <f>D62</f>
        <v/>
      </c>
      <c r="AM534" s="84">
        <f>MAX(0,AJ534-AK534)</f>
        <v/>
      </c>
      <c r="AN534" s="84">
        <f>IF(AM534=0,AH534,IF(AM534&gt;=AH534,0,AH534-AM534))</f>
        <v/>
      </c>
      <c r="AO534" s="84">
        <f>IF(AM534&gt;=AH534,AI534,AI534*AM534/AH534)</f>
        <v/>
      </c>
      <c r="AP534">
        <f t="array" ref="AP534">INDEX($AU$8:$BB$25,6*(R534-1)+MATCH(AB534,$AS$8:$AS$13,0),MATCH(O534,$AU$7:$BB$7,0))</f>
        <v/>
      </c>
    </row>
    <row r="535" ht="14.25" customHeight="1">
      <c r="O535" s="43" t="inlineStr">
        <is>
          <t>Q1’27</t>
        </is>
      </c>
      <c r="P535" s="43" t="n">
        <v>1</v>
      </c>
      <c r="Q535" s="43" t="n">
        <v>4</v>
      </c>
      <c r="R535" s="43" t="n">
        <v>3</v>
      </c>
      <c r="S535" s="45" t="n">
        <v>0</v>
      </c>
      <c r="T535">
        <f>(S533+S534+S535)=R2</f>
        <v/>
      </c>
      <c r="X535" s="84">
        <f>MAX(S532-S535,0)</f>
        <v/>
      </c>
      <c r="Y535" s="83" t="n">
        <v>0</v>
      </c>
      <c r="AA535" s="84" t="n">
        <v>3</v>
      </c>
      <c r="AB535" s="84" t="inlineStr">
        <is>
          <t>A</t>
        </is>
      </c>
      <c r="AC535" s="84" t="inlineStr">
        <is>
          <t>A+</t>
        </is>
      </c>
      <c r="AD535" s="84" t="n">
        <v>20</v>
      </c>
      <c r="AE535" s="84" t="n">
        <v>16</v>
      </c>
      <c r="AF535" s="84" t="n">
        <v>0.78</v>
      </c>
      <c r="AG535" s="84" t="n">
        <v>0.84</v>
      </c>
      <c r="AH535" s="84" t="n">
        <v>0</v>
      </c>
      <c r="AI535" s="84" t="n">
        <v>0</v>
      </c>
      <c r="AJ535" s="84">
        <f>SUMIFS(AH$8:AH$1039,$O$8:$O$1039,O535,$AB$8:$AB$1039,AB535,$R$8:$R$1039,R535,$AA$8:$AA$1039,"&lt;="&amp;AA535)</f>
        <v/>
      </c>
      <c r="AK535" s="84">
        <f>E56</f>
        <v/>
      </c>
      <c r="AL535" s="84">
        <f>E62</f>
        <v/>
      </c>
      <c r="AM535" s="84">
        <f>MAX(0,AJ535-AK535)</f>
        <v/>
      </c>
      <c r="AN535" s="84">
        <f>IF(AM535=0,AH535,IF(AM535&gt;=AH535,0,AH535-AM535))</f>
        <v/>
      </c>
      <c r="AO535" s="84">
        <f>IF(AM535&gt;=AH535,AI535,AI535*AM535/AH535)</f>
        <v/>
      </c>
      <c r="AP535">
        <f t="array" ref="AP535">INDEX($AU$8:$BB$25,6*(R535-1)+MATCH(AB535,$AS$8:$AS$13,0),MATCH(O535,$AU$7:$BB$7,0))</f>
        <v/>
      </c>
    </row>
    <row r="536" ht="14.25" customHeight="1">
      <c r="O536" s="43" t="inlineStr">
        <is>
          <t>Q1’27</t>
        </is>
      </c>
      <c r="P536" s="43" t="n">
        <v>1</v>
      </c>
      <c r="Q536" s="43" t="n">
        <v>5</v>
      </c>
      <c r="R536" s="43" t="n">
        <v>1</v>
      </c>
      <c r="S536" s="45" t="n">
        <v>3940.722281259798</v>
      </c>
      <c r="T536">
        <f>(S536+S537+S538)=R2</f>
        <v/>
      </c>
      <c r="X536" s="84">
        <f>MAX(S533-S536,0)</f>
        <v/>
      </c>
      <c r="Y536" s="83" t="n">
        <v>0</v>
      </c>
      <c r="AA536" s="84" t="n">
        <v>11</v>
      </c>
      <c r="AB536" s="84" t="inlineStr">
        <is>
          <t>F</t>
        </is>
      </c>
      <c r="AC536" s="84" t="inlineStr">
        <is>
          <t>F+</t>
        </is>
      </c>
      <c r="AD536" s="84" t="n">
        <v>12</v>
      </c>
      <c r="AE536" s="84" t="n">
        <v>9</v>
      </c>
      <c r="AF536" s="84" t="n">
        <v>0.8</v>
      </c>
      <c r="AG536" s="84" t="n">
        <v>0.9</v>
      </c>
      <c r="AH536" s="84" t="n">
        <v>0</v>
      </c>
      <c r="AI536" s="84" t="n">
        <v>0</v>
      </c>
      <c r="AJ536" s="84">
        <f>SUMIFS(AH$8:AH$1039,$O$8:$O$1039,O536,$AB$8:$AB$1039,AB536,$R$8:$R$1039,R536,$AA$8:$AA$1039,"&lt;="&amp;AA536)</f>
        <v/>
      </c>
      <c r="AK536" s="84">
        <f>C61</f>
        <v/>
      </c>
      <c r="AL536" s="84">
        <f>C67</f>
        <v/>
      </c>
      <c r="AM536" s="84">
        <f>MAX(0,AJ536-AK536)</f>
        <v/>
      </c>
      <c r="AN536" s="84">
        <f>IF(AM536=0,AH536,IF(AM536&gt;=AH536,0,AH536-AM536))</f>
        <v/>
      </c>
      <c r="AO536" s="84">
        <f>IF(AM536&gt;=AH536,AI536,AI536*AM536/AH536)</f>
        <v/>
      </c>
      <c r="AP536">
        <f t="array" ref="AP536">INDEX($AU$8:$BB$25,6*(R536-1)+MATCH(AB536,$AS$8:$AS$13,0),MATCH(O536,$AU$7:$BB$7,0))</f>
        <v/>
      </c>
    </row>
    <row r="537" ht="14.25" customHeight="1">
      <c r="O537" s="43" t="inlineStr">
        <is>
          <t>Q1’27</t>
        </is>
      </c>
      <c r="P537" s="43" t="n">
        <v>1</v>
      </c>
      <c r="Q537" s="43" t="n">
        <v>5</v>
      </c>
      <c r="R537" s="43" t="n">
        <v>2</v>
      </c>
      <c r="S537" s="45" t="n">
        <v>2059.277718740202</v>
      </c>
      <c r="T537">
        <f>(S536+S537+S538)=R2</f>
        <v/>
      </c>
      <c r="X537" s="84">
        <f>MAX(S534-S537,0)</f>
        <v/>
      </c>
      <c r="Y537" s="83" t="n">
        <v>0</v>
      </c>
      <c r="AA537" s="84" t="n">
        <v>11</v>
      </c>
      <c r="AB537" s="84" t="inlineStr">
        <is>
          <t>F</t>
        </is>
      </c>
      <c r="AC537" s="84" t="inlineStr">
        <is>
          <t>F+</t>
        </is>
      </c>
      <c r="AD537" s="84" t="n">
        <v>12</v>
      </c>
      <c r="AE537" s="84" t="n">
        <v>9</v>
      </c>
      <c r="AF537" s="84" t="n">
        <v>0.8</v>
      </c>
      <c r="AG537" s="84" t="n">
        <v>0.9</v>
      </c>
      <c r="AH537" s="84" t="n">
        <v>0</v>
      </c>
      <c r="AI537" s="84" t="n">
        <v>0</v>
      </c>
      <c r="AJ537" s="84">
        <f>SUMIFS(AH$8:AH$1039,$O$8:$O$1039,O537,$AB$8:$AB$1039,AB537,$R$8:$R$1039,R537,$AA$8:$AA$1039,"&lt;="&amp;AA537)</f>
        <v/>
      </c>
      <c r="AK537" s="84">
        <f>D61</f>
        <v/>
      </c>
      <c r="AL537" s="84">
        <f>D67</f>
        <v/>
      </c>
      <c r="AM537" s="84">
        <f>MAX(0,AJ537-AK537)</f>
        <v/>
      </c>
      <c r="AN537" s="84">
        <f>IF(AM537=0,AH537,IF(AM537&gt;=AH537,0,AH537-AM537))</f>
        <v/>
      </c>
      <c r="AO537" s="84">
        <f>IF(AM537&gt;=AH537,AI537,AI537*AM537/AH537)</f>
        <v/>
      </c>
      <c r="AP537">
        <f t="array" ref="AP537">INDEX($AU$8:$BB$25,6*(R537-1)+MATCH(AB537,$AS$8:$AS$13,0),MATCH(O537,$AU$7:$BB$7,0))</f>
        <v/>
      </c>
    </row>
    <row r="538" ht="14.25" customHeight="1">
      <c r="O538" s="43" t="inlineStr">
        <is>
          <t>Q1’27</t>
        </is>
      </c>
      <c r="P538" s="43" t="n">
        <v>1</v>
      </c>
      <c r="Q538" s="43" t="n">
        <v>5</v>
      </c>
      <c r="R538" s="43" t="n">
        <v>3</v>
      </c>
      <c r="S538" s="45" t="n">
        <v>0</v>
      </c>
      <c r="T538">
        <f>(S536+S537+S538)=R2</f>
        <v/>
      </c>
      <c r="X538" s="84">
        <f>MAX(S535-S538,0)</f>
        <v/>
      </c>
      <c r="Y538" s="83" t="n">
        <v>0</v>
      </c>
      <c r="AA538" s="84" t="n">
        <v>11</v>
      </c>
      <c r="AB538" s="84" t="inlineStr">
        <is>
          <t>F</t>
        </is>
      </c>
      <c r="AC538" s="84" t="inlineStr">
        <is>
          <t>F+</t>
        </is>
      </c>
      <c r="AD538" s="84" t="n">
        <v>12</v>
      </c>
      <c r="AE538" s="84" t="n">
        <v>9</v>
      </c>
      <c r="AF538" s="84" t="n">
        <v>0.8</v>
      </c>
      <c r="AG538" s="84" t="n">
        <v>0.9</v>
      </c>
      <c r="AH538" s="84" t="n">
        <v>0</v>
      </c>
      <c r="AI538" s="84" t="n">
        <v>0</v>
      </c>
      <c r="AJ538" s="84">
        <f>SUMIFS(AH$8:AH$1039,$O$8:$O$1039,O538,$AB$8:$AB$1039,AB538,$R$8:$R$1039,R538,$AA$8:$AA$1039,"&lt;="&amp;AA538)</f>
        <v/>
      </c>
      <c r="AK538" s="84">
        <f>E61</f>
        <v/>
      </c>
      <c r="AL538" s="84">
        <f>E67</f>
        <v/>
      </c>
      <c r="AM538" s="84">
        <f>MAX(0,AJ538-AK538)</f>
        <v/>
      </c>
      <c r="AN538" s="84">
        <f>IF(AM538=0,AH538,IF(AM538&gt;=AH538,0,AH538-AM538))</f>
        <v/>
      </c>
      <c r="AO538" s="84">
        <f>IF(AM538&gt;=AH538,AI538,AI538*AM538/AH538)</f>
        <v/>
      </c>
      <c r="AP538">
        <f t="array" ref="AP538">INDEX($AU$8:$BB$25,6*(R538-1)+MATCH(AB538,$AS$8:$AS$13,0),MATCH(O538,$AU$7:$BB$7,0))</f>
        <v/>
      </c>
    </row>
    <row r="539" ht="14.25" customHeight="1">
      <c r="O539" s="43" t="inlineStr">
        <is>
          <t>Q1’27</t>
        </is>
      </c>
      <c r="P539" s="43" t="n">
        <v>1</v>
      </c>
      <c r="Q539" s="43" t="n">
        <v>6</v>
      </c>
      <c r="R539" s="43" t="n">
        <v>1</v>
      </c>
      <c r="S539" s="45" t="n">
        <v>3940.722281259798</v>
      </c>
      <c r="T539">
        <f>(S539+S540+S541)=R2</f>
        <v/>
      </c>
      <c r="X539" s="84">
        <f>MAX(S536-S539,0)</f>
        <v/>
      </c>
      <c r="Y539" s="83" t="n">
        <v>0</v>
      </c>
      <c r="AA539" s="84" t="n">
        <v>7</v>
      </c>
      <c r="AB539" s="84" t="inlineStr">
        <is>
          <t>D</t>
        </is>
      </c>
      <c r="AC539" s="84" t="inlineStr">
        <is>
          <t>D+</t>
        </is>
      </c>
      <c r="AD539" s="84" t="n">
        <v>27</v>
      </c>
      <c r="AE539" s="84" t="n">
        <v>21</v>
      </c>
      <c r="AF539" s="84" t="n">
        <v>0.8</v>
      </c>
      <c r="AG539" s="84" t="n">
        <v>0.88</v>
      </c>
      <c r="AH539" s="84" t="n">
        <v>0</v>
      </c>
      <c r="AI539" s="84" t="n">
        <v>0</v>
      </c>
      <c r="AJ539" s="84">
        <f>SUMIFS(AH$8:AH$1039,$O$8:$O$1039,O539,$AB$8:$AB$1039,AB539,$R$8:$R$1039,R539,$AA$8:$AA$1039,"&lt;="&amp;AA539)</f>
        <v/>
      </c>
      <c r="AK539" s="84">
        <f>C59</f>
        <v/>
      </c>
      <c r="AL539" s="84">
        <f>C65</f>
        <v/>
      </c>
      <c r="AM539" s="84">
        <f>MAX(0,AJ539-AK539)</f>
        <v/>
      </c>
      <c r="AN539" s="84">
        <f>IF(AM539=0,AH539,IF(AM539&gt;=AH539,0,AH539-AM539))</f>
        <v/>
      </c>
      <c r="AO539" s="84">
        <f>IF(AM539&gt;=AH539,AI539,AI539*AM539/AH539)</f>
        <v/>
      </c>
      <c r="AP539">
        <f t="array" ref="AP539">INDEX($AU$8:$BB$25,6*(R539-1)+MATCH(AB539,$AS$8:$AS$13,0),MATCH(O539,$AU$7:$BB$7,0))</f>
        <v/>
      </c>
    </row>
    <row r="540" ht="14.25" customHeight="1">
      <c r="O540" s="43" t="inlineStr">
        <is>
          <t>Q1’27</t>
        </is>
      </c>
      <c r="P540" s="43" t="n">
        <v>1</v>
      </c>
      <c r="Q540" s="43" t="n">
        <v>6</v>
      </c>
      <c r="R540" s="43" t="n">
        <v>2</v>
      </c>
      <c r="S540" s="45" t="n">
        <v>2059.277718740202</v>
      </c>
      <c r="T540">
        <f>(S539+S540+S541)=R2</f>
        <v/>
      </c>
      <c r="X540" s="84">
        <f>MAX(S537-S540,0)</f>
        <v/>
      </c>
      <c r="Y540" s="83" t="n">
        <v>0</v>
      </c>
      <c r="AA540" s="84" t="n">
        <v>7</v>
      </c>
      <c r="AB540" s="84" t="inlineStr">
        <is>
          <t>D</t>
        </is>
      </c>
      <c r="AC540" s="84" t="inlineStr">
        <is>
          <t>D+</t>
        </is>
      </c>
      <c r="AD540" s="84" t="n">
        <v>27</v>
      </c>
      <c r="AE540" s="84" t="n">
        <v>21</v>
      </c>
      <c r="AF540" s="84" t="n">
        <v>0.8</v>
      </c>
      <c r="AG540" s="84" t="n">
        <v>0.88</v>
      </c>
      <c r="AH540" s="84" t="n">
        <v>0</v>
      </c>
      <c r="AI540" s="84" t="n">
        <v>0</v>
      </c>
      <c r="AJ540" s="84">
        <f>SUMIFS(AH$8:AH$1039,$O$8:$O$1039,O540,$AB$8:$AB$1039,AB540,$R$8:$R$1039,R540,$AA$8:$AA$1039,"&lt;="&amp;AA540)</f>
        <v/>
      </c>
      <c r="AK540" s="84">
        <f>D59</f>
        <v/>
      </c>
      <c r="AL540" s="84">
        <f>D65</f>
        <v/>
      </c>
      <c r="AM540" s="84">
        <f>MAX(0,AJ540-AK540)</f>
        <v/>
      </c>
      <c r="AN540" s="84">
        <f>IF(AM540=0,AH540,IF(AM540&gt;=AH540,0,AH540-AM540))</f>
        <v/>
      </c>
      <c r="AO540" s="84">
        <f>IF(AM540&gt;=AH540,AI540,AI540*AM540/AH540)</f>
        <v/>
      </c>
      <c r="AP540">
        <f t="array" ref="AP540">INDEX($AU$8:$BB$25,6*(R540-1)+MATCH(AB540,$AS$8:$AS$13,0),MATCH(O540,$AU$7:$BB$7,0))</f>
        <v/>
      </c>
    </row>
    <row r="541" ht="14.25" customHeight="1">
      <c r="O541" s="43" t="inlineStr">
        <is>
          <t>Q1’27</t>
        </is>
      </c>
      <c r="P541" s="43" t="n">
        <v>1</v>
      </c>
      <c r="Q541" s="43" t="n">
        <v>6</v>
      </c>
      <c r="R541" s="43" t="n">
        <v>3</v>
      </c>
      <c r="S541" s="45" t="n">
        <v>0</v>
      </c>
      <c r="T541">
        <f>(S539+S540+S541)=R2</f>
        <v/>
      </c>
      <c r="X541" s="84">
        <f>MAX(S538-S541,0)</f>
        <v/>
      </c>
      <c r="Y541" s="83" t="n">
        <v>0</v>
      </c>
      <c r="AA541" s="84" t="n">
        <v>7</v>
      </c>
      <c r="AB541" s="84" t="inlineStr">
        <is>
          <t>D</t>
        </is>
      </c>
      <c r="AC541" s="84" t="inlineStr">
        <is>
          <t>D+</t>
        </is>
      </c>
      <c r="AD541" s="84" t="n">
        <v>27</v>
      </c>
      <c r="AE541" s="84" t="n">
        <v>21</v>
      </c>
      <c r="AF541" s="84" t="n">
        <v>0.8</v>
      </c>
      <c r="AG541" s="84" t="n">
        <v>0.88</v>
      </c>
      <c r="AH541" s="84" t="n">
        <v>0</v>
      </c>
      <c r="AI541" s="84" t="n">
        <v>0</v>
      </c>
      <c r="AJ541" s="84">
        <f>SUMIFS(AH$8:AH$1039,$O$8:$O$1039,O541,$AB$8:$AB$1039,AB541,$R$8:$R$1039,R541,$AA$8:$AA$1039,"&lt;="&amp;AA541)</f>
        <v/>
      </c>
      <c r="AK541" s="84">
        <f>E59</f>
        <v/>
      </c>
      <c r="AL541" s="84">
        <f>E65</f>
        <v/>
      </c>
      <c r="AM541" s="84">
        <f>MAX(0,AJ541-AK541)</f>
        <v/>
      </c>
      <c r="AN541" s="84">
        <f>IF(AM541=0,AH541,IF(AM541&gt;=AH541,0,AH541-AM541))</f>
        <v/>
      </c>
      <c r="AO541" s="84">
        <f>IF(AM541&gt;=AH541,AI541,AI541*AM541/AH541)</f>
        <v/>
      </c>
      <c r="AP541">
        <f t="array" ref="AP541">INDEX($AU$8:$BB$25,6*(R541-1)+MATCH(AB541,$AS$8:$AS$13,0),MATCH(O541,$AU$7:$BB$7,0))</f>
        <v/>
      </c>
    </row>
    <row r="542" ht="14.25" customHeight="1">
      <c r="O542" s="43" t="inlineStr">
        <is>
          <t>Q1’27</t>
        </is>
      </c>
      <c r="P542" s="43" t="n">
        <v>1</v>
      </c>
      <c r="Q542" s="43" t="n">
        <v>7</v>
      </c>
      <c r="R542" s="43" t="n">
        <v>1</v>
      </c>
      <c r="S542" s="45" t="n">
        <v>3940.722281259798</v>
      </c>
      <c r="T542">
        <f>(S542+S543+S544)=R2</f>
        <v/>
      </c>
      <c r="X542" s="84">
        <f>MAX(S539-S542,0)</f>
        <v/>
      </c>
      <c r="Y542" s="83" t="n">
        <v>0</v>
      </c>
      <c r="AA542" s="84" t="n">
        <v>9</v>
      </c>
      <c r="AB542" s="84" t="inlineStr">
        <is>
          <t>D</t>
        </is>
      </c>
      <c r="AC542" s="84" t="inlineStr">
        <is>
          <t>D+</t>
        </is>
      </c>
      <c r="AD542" s="84" t="n">
        <v>17</v>
      </c>
      <c r="AE542" s="84" t="n">
        <v>13</v>
      </c>
      <c r="AF542" s="84" t="n">
        <v>0.8</v>
      </c>
      <c r="AG542" s="84" t="n">
        <v>0.88</v>
      </c>
      <c r="AH542" s="84" t="n">
        <v>0</v>
      </c>
      <c r="AI542" s="84" t="n">
        <v>0</v>
      </c>
      <c r="AJ542" s="84">
        <f>SUMIFS(AH$8:AH$1039,$O$8:$O$1039,O542,$AB$8:$AB$1039,AB542,$R$8:$R$1039,R542,$AA$8:$AA$1039,"&lt;="&amp;AA542)</f>
        <v/>
      </c>
      <c r="AK542" s="84">
        <f>C59</f>
        <v/>
      </c>
      <c r="AL542" s="84">
        <f>C65</f>
        <v/>
      </c>
      <c r="AM542" s="84">
        <f>MAX(0,AJ542-AK542)</f>
        <v/>
      </c>
      <c r="AN542" s="84">
        <f>IF(AM542=0,AH542,IF(AM542&gt;=AH542,0,AH542-AM542))</f>
        <v/>
      </c>
      <c r="AO542" s="84">
        <f>IF(AM542&gt;=AH542,AI542,AI542*AM542/AH542)</f>
        <v/>
      </c>
      <c r="AP542">
        <f t="array" ref="AP542">INDEX($AU$8:$BB$25,6*(R542-1)+MATCH(AB542,$AS$8:$AS$13,0),MATCH(O542,$AU$7:$BB$7,0))</f>
        <v/>
      </c>
    </row>
    <row r="543" ht="14.25" customHeight="1">
      <c r="O543" s="43" t="inlineStr">
        <is>
          <t>Q1’27</t>
        </is>
      </c>
      <c r="P543" s="43" t="n">
        <v>1</v>
      </c>
      <c r="Q543" s="43" t="n">
        <v>7</v>
      </c>
      <c r="R543" s="43" t="n">
        <v>2</v>
      </c>
      <c r="S543" s="45" t="n">
        <v>2059.277718740202</v>
      </c>
      <c r="T543">
        <f>(S542+S543+S544)=R2</f>
        <v/>
      </c>
      <c r="X543" s="84">
        <f>MAX(S540-S543,0)</f>
        <v/>
      </c>
      <c r="Y543" s="83" t="n">
        <v>0</v>
      </c>
      <c r="AA543" s="84" t="n">
        <v>9</v>
      </c>
      <c r="AB543" s="84" t="inlineStr">
        <is>
          <t>D</t>
        </is>
      </c>
      <c r="AC543" s="84" t="inlineStr">
        <is>
          <t>D+</t>
        </is>
      </c>
      <c r="AD543" s="84" t="n">
        <v>17</v>
      </c>
      <c r="AE543" s="84" t="n">
        <v>13</v>
      </c>
      <c r="AF543" s="84" t="n">
        <v>0.8</v>
      </c>
      <c r="AG543" s="84" t="n">
        <v>0.88</v>
      </c>
      <c r="AH543" s="84" t="n">
        <v>0</v>
      </c>
      <c r="AI543" s="84" t="n">
        <v>0</v>
      </c>
      <c r="AJ543" s="84">
        <f>SUMIFS(AH$8:AH$1039,$O$8:$O$1039,O543,$AB$8:$AB$1039,AB543,$R$8:$R$1039,R543,$AA$8:$AA$1039,"&lt;="&amp;AA543)</f>
        <v/>
      </c>
      <c r="AK543" s="84">
        <f>D59</f>
        <v/>
      </c>
      <c r="AL543" s="84">
        <f>D65</f>
        <v/>
      </c>
      <c r="AM543" s="84">
        <f>MAX(0,AJ543-AK543)</f>
        <v/>
      </c>
      <c r="AN543" s="84">
        <f>IF(AM543=0,AH543,IF(AM543&gt;=AH543,0,AH543-AM543))</f>
        <v/>
      </c>
      <c r="AO543" s="84">
        <f>IF(AM543&gt;=AH543,AI543,AI543*AM543/AH543)</f>
        <v/>
      </c>
      <c r="AP543">
        <f t="array" ref="AP543">INDEX($AU$8:$BB$25,6*(R543-1)+MATCH(AB543,$AS$8:$AS$13,0),MATCH(O543,$AU$7:$BB$7,0))</f>
        <v/>
      </c>
    </row>
    <row r="544" ht="14.25" customHeight="1">
      <c r="O544" s="43" t="inlineStr">
        <is>
          <t>Q1’27</t>
        </is>
      </c>
      <c r="P544" s="43" t="n">
        <v>1</v>
      </c>
      <c r="Q544" s="43" t="n">
        <v>7</v>
      </c>
      <c r="R544" s="43" t="n">
        <v>3</v>
      </c>
      <c r="S544" s="45" t="n">
        <v>-0</v>
      </c>
      <c r="T544">
        <f>(S542+S543+S544)=R2</f>
        <v/>
      </c>
      <c r="X544" s="84">
        <f>MAX(S541-S544,0)</f>
        <v/>
      </c>
      <c r="Y544" s="83" t="n">
        <v>0</v>
      </c>
      <c r="AA544" s="84" t="n">
        <v>9</v>
      </c>
      <c r="AB544" s="84" t="inlineStr">
        <is>
          <t>D</t>
        </is>
      </c>
      <c r="AC544" s="84" t="inlineStr">
        <is>
          <t>D+</t>
        </is>
      </c>
      <c r="AD544" s="84" t="n">
        <v>17</v>
      </c>
      <c r="AE544" s="84" t="n">
        <v>13</v>
      </c>
      <c r="AF544" s="84" t="n">
        <v>0.8</v>
      </c>
      <c r="AG544" s="84" t="n">
        <v>0.88</v>
      </c>
      <c r="AH544" s="84" t="n">
        <v>0</v>
      </c>
      <c r="AI544" s="84" t="n">
        <v>0</v>
      </c>
      <c r="AJ544" s="84">
        <f>SUMIFS(AH$8:AH$1039,$O$8:$O$1039,O544,$AB$8:$AB$1039,AB544,$R$8:$R$1039,R544,$AA$8:$AA$1039,"&lt;="&amp;AA544)</f>
        <v/>
      </c>
      <c r="AK544" s="84">
        <f>E59</f>
        <v/>
      </c>
      <c r="AL544" s="84">
        <f>E65</f>
        <v/>
      </c>
      <c r="AM544" s="84">
        <f>MAX(0,AJ544-AK544)</f>
        <v/>
      </c>
      <c r="AN544" s="84">
        <f>IF(AM544=0,AH544,IF(AM544&gt;=AH544,0,AH544-AM544))</f>
        <v/>
      </c>
      <c r="AO544" s="84">
        <f>IF(AM544&gt;=AH544,AI544,AI544*AM544/AH544)</f>
        <v/>
      </c>
      <c r="AP544">
        <f t="array" ref="AP544">INDEX($AU$8:$BB$25,6*(R544-1)+MATCH(AB544,$AS$8:$AS$13,0),MATCH(O544,$AU$7:$BB$7,0))</f>
        <v/>
      </c>
    </row>
    <row r="545" ht="14.25" customHeight="1">
      <c r="O545" s="43" t="inlineStr">
        <is>
          <t>Q1’27</t>
        </is>
      </c>
      <c r="P545" s="43" t="n">
        <v>1</v>
      </c>
      <c r="Q545" s="43" t="n">
        <v>8</v>
      </c>
      <c r="R545" s="43" t="n">
        <v>1</v>
      </c>
      <c r="S545" s="45" t="n">
        <v>3940.722281259798</v>
      </c>
      <c r="T545">
        <f>(S545+S546+S547)=R2</f>
        <v/>
      </c>
      <c r="X545" s="84">
        <f>MAX(S542-S545,0)</f>
        <v/>
      </c>
      <c r="Y545" s="83" t="n">
        <v>0</v>
      </c>
      <c r="AA545" s="84" t="n">
        <v>1</v>
      </c>
      <c r="AB545" s="84" t="inlineStr">
        <is>
          <t>A</t>
        </is>
      </c>
      <c r="AC545" s="84" t="inlineStr">
        <is>
          <t>A+</t>
        </is>
      </c>
      <c r="AD545" s="84" t="n">
        <v>18</v>
      </c>
      <c r="AE545" s="84" t="n">
        <v>16</v>
      </c>
      <c r="AF545" s="84" t="n">
        <v>0.78</v>
      </c>
      <c r="AG545" s="84" t="n">
        <v>0.84</v>
      </c>
      <c r="AH545" s="84" t="n">
        <v>0</v>
      </c>
      <c r="AI545" s="84" t="n">
        <v>0</v>
      </c>
      <c r="AJ545" s="84">
        <f>SUMIFS(AH$8:AH$1039,$O$8:$O$1039,O545,$AB$8:$AB$1039,AB545,$R$8:$R$1039,R545,$AA$8:$AA$1039,"&lt;="&amp;AA545)</f>
        <v/>
      </c>
      <c r="AK545" s="84">
        <f>C56</f>
        <v/>
      </c>
      <c r="AL545" s="84">
        <f>C62</f>
        <v/>
      </c>
      <c r="AM545" s="84">
        <f>MAX(0,AJ545-AK545)</f>
        <v/>
      </c>
      <c r="AN545" s="84">
        <f>IF(AM545=0,AH545,IF(AM545&gt;=AH545,0,AH545-AM545))</f>
        <v/>
      </c>
      <c r="AO545" s="84">
        <f>IF(AM545&gt;=AH545,AI545,AI545*AM545/AH545)</f>
        <v/>
      </c>
      <c r="AP545">
        <f t="array" ref="AP545">INDEX($AU$8:$BB$25,6*(R545-1)+MATCH(AB545,$AS$8:$AS$13,0),MATCH(O545,$AU$7:$BB$7,0))</f>
        <v/>
      </c>
    </row>
    <row r="546" ht="14.25" customHeight="1">
      <c r="O546" s="43" t="inlineStr">
        <is>
          <t>Q1’27</t>
        </is>
      </c>
      <c r="P546" s="43" t="n">
        <v>1</v>
      </c>
      <c r="Q546" s="43" t="n">
        <v>8</v>
      </c>
      <c r="R546" s="43" t="n">
        <v>2</v>
      </c>
      <c r="S546" s="45" t="n">
        <v>2059.277718740202</v>
      </c>
      <c r="T546">
        <f>(S545+S546+S547)=R2</f>
        <v/>
      </c>
      <c r="X546" s="84">
        <f>MAX(S543-S546,0)</f>
        <v/>
      </c>
      <c r="Y546" s="83" t="n">
        <v>0</v>
      </c>
      <c r="AA546" s="84" t="n">
        <v>1</v>
      </c>
      <c r="AB546" s="84" t="inlineStr">
        <is>
          <t>A</t>
        </is>
      </c>
      <c r="AC546" s="84" t="inlineStr">
        <is>
          <t>A+</t>
        </is>
      </c>
      <c r="AD546" s="84" t="n">
        <v>18</v>
      </c>
      <c r="AE546" s="84" t="n">
        <v>16</v>
      </c>
      <c r="AF546" s="84" t="n">
        <v>0.78</v>
      </c>
      <c r="AG546" s="84" t="n">
        <v>0.84</v>
      </c>
      <c r="AH546" s="84" t="n">
        <v>0</v>
      </c>
      <c r="AI546" s="84" t="n">
        <v>0</v>
      </c>
      <c r="AJ546" s="84">
        <f>SUMIFS(AH$8:AH$1039,$O$8:$O$1039,O546,$AB$8:$AB$1039,AB546,$R$8:$R$1039,R546,$AA$8:$AA$1039,"&lt;="&amp;AA546)</f>
        <v/>
      </c>
      <c r="AK546" s="84">
        <f>D56</f>
        <v/>
      </c>
      <c r="AL546" s="84">
        <f>D62</f>
        <v/>
      </c>
      <c r="AM546" s="84">
        <f>MAX(0,AJ546-AK546)</f>
        <v/>
      </c>
      <c r="AN546" s="84">
        <f>IF(AM546=0,AH546,IF(AM546&gt;=AH546,0,AH546-AM546))</f>
        <v/>
      </c>
      <c r="AO546" s="84">
        <f>IF(AM546&gt;=AH546,AI546,AI546*AM546/AH546)</f>
        <v/>
      </c>
      <c r="AP546">
        <f t="array" ref="AP546">INDEX($AU$8:$BB$25,6*(R546-1)+MATCH(AB546,$AS$8:$AS$13,0),MATCH(O546,$AU$7:$BB$7,0))</f>
        <v/>
      </c>
    </row>
    <row r="547" ht="14.25" customHeight="1">
      <c r="O547" s="43" t="inlineStr">
        <is>
          <t>Q1’27</t>
        </is>
      </c>
      <c r="P547" s="43" t="n">
        <v>1</v>
      </c>
      <c r="Q547" s="43" t="n">
        <v>8</v>
      </c>
      <c r="R547" s="43" t="n">
        <v>3</v>
      </c>
      <c r="S547" s="45" t="n">
        <v>0</v>
      </c>
      <c r="T547">
        <f>(S545+S546+S547)=R2</f>
        <v/>
      </c>
      <c r="X547" s="84">
        <f>MAX(S544-S547,0)</f>
        <v/>
      </c>
      <c r="Y547" s="83" t="n">
        <v>0</v>
      </c>
      <c r="AA547" s="84" t="n">
        <v>1</v>
      </c>
      <c r="AB547" s="84" t="inlineStr">
        <is>
          <t>A</t>
        </is>
      </c>
      <c r="AC547" s="84" t="inlineStr">
        <is>
          <t>A+</t>
        </is>
      </c>
      <c r="AD547" s="84" t="n">
        <v>18</v>
      </c>
      <c r="AE547" s="84" t="n">
        <v>16</v>
      </c>
      <c r="AF547" s="84" t="n">
        <v>0.78</v>
      </c>
      <c r="AG547" s="84" t="n">
        <v>0.84</v>
      </c>
      <c r="AH547" s="84" t="n">
        <v>0</v>
      </c>
      <c r="AI547" s="84" t="n">
        <v>0</v>
      </c>
      <c r="AJ547" s="84">
        <f>SUMIFS(AH$8:AH$1039,$O$8:$O$1039,O547,$AB$8:$AB$1039,AB547,$R$8:$R$1039,R547,$AA$8:$AA$1039,"&lt;="&amp;AA547)</f>
        <v/>
      </c>
      <c r="AK547" s="84">
        <f>E56</f>
        <v/>
      </c>
      <c r="AL547" s="84">
        <f>E62</f>
        <v/>
      </c>
      <c r="AM547" s="84">
        <f>MAX(0,AJ547-AK547)</f>
        <v/>
      </c>
      <c r="AN547" s="84">
        <f>IF(AM547=0,AH547,IF(AM547&gt;=AH547,0,AH547-AM547))</f>
        <v/>
      </c>
      <c r="AO547" s="84">
        <f>IF(AM547&gt;=AH547,AI547,AI547*AM547/AH547)</f>
        <v/>
      </c>
      <c r="AP547">
        <f t="array" ref="AP547">INDEX($AU$8:$BB$25,6*(R547-1)+MATCH(AB547,$AS$8:$AS$13,0),MATCH(O547,$AU$7:$BB$7,0))</f>
        <v/>
      </c>
    </row>
    <row r="548" ht="14.25" customHeight="1">
      <c r="O548" s="43" t="inlineStr">
        <is>
          <t>Q1’27</t>
        </is>
      </c>
      <c r="P548" s="43" t="n">
        <v>1</v>
      </c>
      <c r="Q548" s="43" t="n">
        <v>9</v>
      </c>
      <c r="R548" s="43" t="n">
        <v>1</v>
      </c>
      <c r="S548" s="45" t="n">
        <v>3940.722281259798</v>
      </c>
      <c r="T548">
        <f>(S548+S549+S550)=R2</f>
        <v/>
      </c>
      <c r="X548" s="84">
        <f>MAX(S545-S548,0)</f>
        <v/>
      </c>
      <c r="Y548" s="83" t="n">
        <v>0</v>
      </c>
      <c r="AA548" s="84" t="n">
        <v>2</v>
      </c>
      <c r="AB548" s="84" t="inlineStr">
        <is>
          <t>A</t>
        </is>
      </c>
      <c r="AC548" s="84" t="inlineStr">
        <is>
          <t>A+</t>
        </is>
      </c>
      <c r="AD548" s="84" t="n">
        <v>16</v>
      </c>
      <c r="AE548" s="84" t="n">
        <v>13</v>
      </c>
      <c r="AF548" s="84" t="n">
        <v>0.78</v>
      </c>
      <c r="AG548" s="84" t="n">
        <v>0.84</v>
      </c>
      <c r="AH548" s="84" t="n">
        <v>0</v>
      </c>
      <c r="AI548" s="84" t="n">
        <v>0</v>
      </c>
      <c r="AJ548" s="84">
        <f>SUMIFS(AH$8:AH$1039,$O$8:$O$1039,O548,$AB$8:$AB$1039,AB548,$R$8:$R$1039,R548,$AA$8:$AA$1039,"&lt;="&amp;AA548)</f>
        <v/>
      </c>
      <c r="AK548" s="84">
        <f>C56</f>
        <v/>
      </c>
      <c r="AL548" s="84">
        <f>C62</f>
        <v/>
      </c>
      <c r="AM548" s="84">
        <f>MAX(0,AJ548-AK548)</f>
        <v/>
      </c>
      <c r="AN548" s="84">
        <f>IF(AM548=0,AH548,IF(AM548&gt;=AH548,0,AH548-AM548))</f>
        <v/>
      </c>
      <c r="AO548" s="84">
        <f>IF(AM548&gt;=AH548,AI548,AI548*AM548/AH548)</f>
        <v/>
      </c>
      <c r="AP548">
        <f t="array" ref="AP548">INDEX($AU$8:$BB$25,6*(R548-1)+MATCH(AB548,$AS$8:$AS$13,0),MATCH(O548,$AU$7:$BB$7,0))</f>
        <v/>
      </c>
    </row>
    <row r="549" ht="14.25" customHeight="1">
      <c r="O549" s="43" t="inlineStr">
        <is>
          <t>Q1’27</t>
        </is>
      </c>
      <c r="P549" s="43" t="n">
        <v>1</v>
      </c>
      <c r="Q549" s="43" t="n">
        <v>9</v>
      </c>
      <c r="R549" s="43" t="n">
        <v>2</v>
      </c>
      <c r="S549" s="45" t="n">
        <v>2059.277718740202</v>
      </c>
      <c r="T549">
        <f>(S548+S549+S550)=R2</f>
        <v/>
      </c>
      <c r="X549" s="84">
        <f>MAX(S546-S549,0)</f>
        <v/>
      </c>
      <c r="Y549" s="83" t="n">
        <v>0</v>
      </c>
      <c r="AA549" s="84" t="n">
        <v>2</v>
      </c>
      <c r="AB549" s="84" t="inlineStr">
        <is>
          <t>A</t>
        </is>
      </c>
      <c r="AC549" s="84" t="inlineStr">
        <is>
          <t>A+</t>
        </is>
      </c>
      <c r="AD549" s="84" t="n">
        <v>16</v>
      </c>
      <c r="AE549" s="84" t="n">
        <v>13</v>
      </c>
      <c r="AF549" s="84" t="n">
        <v>0.78</v>
      </c>
      <c r="AG549" s="84" t="n">
        <v>0.84</v>
      </c>
      <c r="AH549" s="84" t="n">
        <v>0</v>
      </c>
      <c r="AI549" s="84" t="n">
        <v>0</v>
      </c>
      <c r="AJ549" s="84">
        <f>SUMIFS(AH$8:AH$1039,$O$8:$O$1039,O549,$AB$8:$AB$1039,AB549,$R$8:$R$1039,R549,$AA$8:$AA$1039,"&lt;="&amp;AA549)</f>
        <v/>
      </c>
      <c r="AK549" s="84">
        <f>D56</f>
        <v/>
      </c>
      <c r="AL549" s="84">
        <f>D62</f>
        <v/>
      </c>
      <c r="AM549" s="84">
        <f>MAX(0,AJ549-AK549)</f>
        <v/>
      </c>
      <c r="AN549" s="84">
        <f>IF(AM549=0,AH549,IF(AM549&gt;=AH549,0,AH549-AM549))</f>
        <v/>
      </c>
      <c r="AO549" s="84">
        <f>IF(AM549&gt;=AH549,AI549,AI549*AM549/AH549)</f>
        <v/>
      </c>
      <c r="AP549">
        <f t="array" ref="AP549">INDEX($AU$8:$BB$25,6*(R549-1)+MATCH(AB549,$AS$8:$AS$13,0),MATCH(O549,$AU$7:$BB$7,0))</f>
        <v/>
      </c>
    </row>
    <row r="550" ht="14.25" customHeight="1">
      <c r="O550" s="43" t="inlineStr">
        <is>
          <t>Q1’27</t>
        </is>
      </c>
      <c r="P550" s="43" t="n">
        <v>1</v>
      </c>
      <c r="Q550" s="43" t="n">
        <v>9</v>
      </c>
      <c r="R550" s="43" t="n">
        <v>3</v>
      </c>
      <c r="S550" s="45" t="n">
        <v>0</v>
      </c>
      <c r="T550">
        <f>(S548+S549+S550)=R2</f>
        <v/>
      </c>
      <c r="X550" s="84">
        <f>MAX(S547-S550,0)</f>
        <v/>
      </c>
      <c r="Y550" s="83" t="n">
        <v>0</v>
      </c>
      <c r="AA550" s="84" t="n">
        <v>2</v>
      </c>
      <c r="AB550" s="84" t="inlineStr">
        <is>
          <t>A</t>
        </is>
      </c>
      <c r="AC550" s="84" t="inlineStr">
        <is>
          <t>A+</t>
        </is>
      </c>
      <c r="AD550" s="84" t="n">
        <v>16</v>
      </c>
      <c r="AE550" s="84" t="n">
        <v>13</v>
      </c>
      <c r="AF550" s="84" t="n">
        <v>0.78</v>
      </c>
      <c r="AG550" s="84" t="n">
        <v>0.84</v>
      </c>
      <c r="AH550" s="84" t="n">
        <v>0</v>
      </c>
      <c r="AI550" s="84" t="n">
        <v>0</v>
      </c>
      <c r="AJ550" s="84">
        <f>SUMIFS(AH$8:AH$1039,$O$8:$O$1039,O550,$AB$8:$AB$1039,AB550,$R$8:$R$1039,R550,$AA$8:$AA$1039,"&lt;="&amp;AA550)</f>
        <v/>
      </c>
      <c r="AK550" s="84">
        <f>E56</f>
        <v/>
      </c>
      <c r="AL550" s="84">
        <f>E62</f>
        <v/>
      </c>
      <c r="AM550" s="84">
        <f>MAX(0,AJ550-AK550)</f>
        <v/>
      </c>
      <c r="AN550" s="84">
        <f>IF(AM550=0,AH550,IF(AM550&gt;=AH550,0,AH550-AM550))</f>
        <v/>
      </c>
      <c r="AO550" s="84">
        <f>IF(AM550&gt;=AH550,AI550,AI550*AM550/AH550)</f>
        <v/>
      </c>
      <c r="AP550">
        <f t="array" ref="AP550">INDEX($AU$8:$BB$25,6*(R550-1)+MATCH(AB550,$AS$8:$AS$13,0),MATCH(O550,$AU$7:$BB$7,0))</f>
        <v/>
      </c>
    </row>
    <row r="551" ht="14.25" customHeight="1">
      <c r="O551" s="43" t="inlineStr">
        <is>
          <t>Q1’27</t>
        </is>
      </c>
      <c r="P551" s="43" t="n">
        <v>1</v>
      </c>
      <c r="Q551" s="43" t="n">
        <v>10</v>
      </c>
      <c r="R551" s="43" t="n">
        <v>1</v>
      </c>
      <c r="S551" s="45" t="n">
        <v>3940.722281259798</v>
      </c>
      <c r="T551">
        <f>(S551+S552+S553)=R2</f>
        <v/>
      </c>
      <c r="X551" s="84">
        <f>MAX(S548-S551,0)</f>
        <v/>
      </c>
      <c r="Y551" s="83" t="n">
        <v>0</v>
      </c>
      <c r="AA551" s="84" t="n">
        <v>6</v>
      </c>
      <c r="AB551" s="84" t="inlineStr">
        <is>
          <t>D</t>
        </is>
      </c>
      <c r="AC551" s="84" t="inlineStr">
        <is>
          <t>D+</t>
        </is>
      </c>
      <c r="AD551" s="84" t="n">
        <v>14</v>
      </c>
      <c r="AE551" s="84" t="n">
        <v>11</v>
      </c>
      <c r="AF551" s="84" t="n">
        <v>0.8</v>
      </c>
      <c r="AG551" s="84" t="n">
        <v>0.88</v>
      </c>
      <c r="AH551" s="84" t="n">
        <v>0</v>
      </c>
      <c r="AI551" s="84" t="n">
        <v>0</v>
      </c>
      <c r="AJ551" s="84">
        <f>SUMIFS(AH$8:AH$1039,$O$8:$O$1039,O551,$AB$8:$AB$1039,AB551,$R$8:$R$1039,R551,$AA$8:$AA$1039,"&lt;="&amp;AA551)</f>
        <v/>
      </c>
      <c r="AK551" s="84">
        <f>C59</f>
        <v/>
      </c>
      <c r="AL551" s="84">
        <f>C65</f>
        <v/>
      </c>
      <c r="AM551" s="84">
        <f>MAX(0,AJ551-AK551)</f>
        <v/>
      </c>
      <c r="AN551" s="84">
        <f>IF(AM551=0,AH551,IF(AM551&gt;=AH551,0,AH551-AM551))</f>
        <v/>
      </c>
      <c r="AO551" s="84">
        <f>IF(AM551&gt;=AH551,AI551,AI551*AM551/AH551)</f>
        <v/>
      </c>
      <c r="AP551">
        <f t="array" ref="AP551">INDEX($AU$8:$BB$25,6*(R551-1)+MATCH(AB551,$AS$8:$AS$13,0),MATCH(O551,$AU$7:$BB$7,0))</f>
        <v/>
      </c>
    </row>
    <row r="552" ht="14.25" customHeight="1">
      <c r="O552" s="43" t="inlineStr">
        <is>
          <t>Q1’27</t>
        </is>
      </c>
      <c r="P552" s="43" t="n">
        <v>1</v>
      </c>
      <c r="Q552" s="43" t="n">
        <v>10</v>
      </c>
      <c r="R552" s="43" t="n">
        <v>2</v>
      </c>
      <c r="S552" s="45" t="n">
        <v>2059.277718740202</v>
      </c>
      <c r="T552">
        <f>(S551+S552+S553)=R2</f>
        <v/>
      </c>
      <c r="X552" s="84">
        <f>MAX(S549-S552,0)</f>
        <v/>
      </c>
      <c r="Y552" s="83" t="n">
        <v>0</v>
      </c>
      <c r="AA552" s="84" t="n">
        <v>6</v>
      </c>
      <c r="AB552" s="84" t="inlineStr">
        <is>
          <t>D</t>
        </is>
      </c>
      <c r="AC552" s="84" t="inlineStr">
        <is>
          <t>D+</t>
        </is>
      </c>
      <c r="AD552" s="84" t="n">
        <v>14</v>
      </c>
      <c r="AE552" s="84" t="n">
        <v>11</v>
      </c>
      <c r="AF552" s="84" t="n">
        <v>0.8</v>
      </c>
      <c r="AG552" s="84" t="n">
        <v>0.88</v>
      </c>
      <c r="AH552" s="84" t="n">
        <v>0</v>
      </c>
      <c r="AI552" s="84" t="n">
        <v>0</v>
      </c>
      <c r="AJ552" s="84">
        <f>SUMIFS(AH$8:AH$1039,$O$8:$O$1039,O552,$AB$8:$AB$1039,AB552,$R$8:$R$1039,R552,$AA$8:$AA$1039,"&lt;="&amp;AA552)</f>
        <v/>
      </c>
      <c r="AK552" s="84">
        <f>D59</f>
        <v/>
      </c>
      <c r="AL552" s="84">
        <f>D65</f>
        <v/>
      </c>
      <c r="AM552" s="84">
        <f>MAX(0,AJ552-AK552)</f>
        <v/>
      </c>
      <c r="AN552" s="84">
        <f>IF(AM552=0,AH552,IF(AM552&gt;=AH552,0,AH552-AM552))</f>
        <v/>
      </c>
      <c r="AO552" s="84">
        <f>IF(AM552&gt;=AH552,AI552,AI552*AM552/AH552)</f>
        <v/>
      </c>
      <c r="AP552">
        <f t="array" ref="AP552">INDEX($AU$8:$BB$25,6*(R552-1)+MATCH(AB552,$AS$8:$AS$13,0),MATCH(O552,$AU$7:$BB$7,0))</f>
        <v/>
      </c>
    </row>
    <row r="553" ht="14.25" customHeight="1">
      <c r="O553" s="43" t="inlineStr">
        <is>
          <t>Q1’27</t>
        </is>
      </c>
      <c r="P553" s="43" t="n">
        <v>1</v>
      </c>
      <c r="Q553" s="43" t="n">
        <v>10</v>
      </c>
      <c r="R553" s="43" t="n">
        <v>3</v>
      </c>
      <c r="S553" s="45" t="n">
        <v>0</v>
      </c>
      <c r="T553">
        <f>(S551+S552+S553)=R2</f>
        <v/>
      </c>
      <c r="X553" s="84">
        <f>MAX(S550-S553,0)</f>
        <v/>
      </c>
      <c r="Y553" s="83" t="n">
        <v>0</v>
      </c>
      <c r="AA553" s="84" t="n">
        <v>6</v>
      </c>
      <c r="AB553" s="84" t="inlineStr">
        <is>
          <t>D</t>
        </is>
      </c>
      <c r="AC553" s="84" t="inlineStr">
        <is>
          <t>D+</t>
        </is>
      </c>
      <c r="AD553" s="84" t="n">
        <v>14</v>
      </c>
      <c r="AE553" s="84" t="n">
        <v>11</v>
      </c>
      <c r="AF553" s="84" t="n">
        <v>0.8</v>
      </c>
      <c r="AG553" s="84" t="n">
        <v>0.88</v>
      </c>
      <c r="AH553" s="84" t="n">
        <v>0</v>
      </c>
      <c r="AI553" s="84" t="n">
        <v>0</v>
      </c>
      <c r="AJ553" s="84">
        <f>SUMIFS(AH$8:AH$1039,$O$8:$O$1039,O553,$AB$8:$AB$1039,AB553,$R$8:$R$1039,R553,$AA$8:$AA$1039,"&lt;="&amp;AA553)</f>
        <v/>
      </c>
      <c r="AK553" s="84">
        <f>E59</f>
        <v/>
      </c>
      <c r="AL553" s="84">
        <f>E65</f>
        <v/>
      </c>
      <c r="AM553" s="84">
        <f>MAX(0,AJ553-AK553)</f>
        <v/>
      </c>
      <c r="AN553" s="84">
        <f>IF(AM553=0,AH553,IF(AM553&gt;=AH553,0,AH553-AM553))</f>
        <v/>
      </c>
      <c r="AO553" s="84">
        <f>IF(AM553&gt;=AH553,AI553,AI553*AM553/AH553)</f>
        <v/>
      </c>
      <c r="AP553">
        <f t="array" ref="AP553">INDEX($AU$8:$BB$25,6*(R553-1)+MATCH(AB553,$AS$8:$AS$13,0),MATCH(O553,$AU$7:$BB$7,0))</f>
        <v/>
      </c>
    </row>
    <row r="554" ht="14.25" customHeight="1">
      <c r="O554" s="43" t="inlineStr">
        <is>
          <t>Q1’27</t>
        </is>
      </c>
      <c r="P554" s="43" t="n">
        <v>1</v>
      </c>
      <c r="Q554" s="43" t="n">
        <v>11</v>
      </c>
      <c r="R554" s="43" t="n">
        <v>1</v>
      </c>
      <c r="S554" s="45" t="n">
        <v>3940.722281259798</v>
      </c>
      <c r="T554">
        <f>(S554+S555+S556)=R2</f>
        <v/>
      </c>
      <c r="X554" s="84">
        <f>MAX(S551-S554,0)</f>
        <v/>
      </c>
      <c r="Y554" s="83" t="n">
        <v>0</v>
      </c>
      <c r="AA554" s="84" t="n">
        <v>3</v>
      </c>
      <c r="AB554" s="84" t="inlineStr">
        <is>
          <t>F</t>
        </is>
      </c>
      <c r="AC554" s="84" t="inlineStr">
        <is>
          <t>F+</t>
        </is>
      </c>
      <c r="AD554" s="84" t="n">
        <v>18</v>
      </c>
      <c r="AE554" s="84" t="n">
        <v>16</v>
      </c>
      <c r="AF554" s="84" t="n">
        <v>0.8</v>
      </c>
      <c r="AG554" s="84" t="n">
        <v>0.9</v>
      </c>
      <c r="AH554" s="84" t="n">
        <v>0</v>
      </c>
      <c r="AI554" s="84" t="n">
        <v>0</v>
      </c>
      <c r="AJ554" s="84">
        <f>SUMIFS(AH$8:AH$1039,$O$8:$O$1039,O554,$AB$8:$AB$1039,AB554,$R$8:$R$1039,R554,$AA$8:$AA$1039,"&lt;="&amp;AA554)</f>
        <v/>
      </c>
      <c r="AK554" s="84">
        <f>C61</f>
        <v/>
      </c>
      <c r="AL554" s="84">
        <f>C67</f>
        <v/>
      </c>
      <c r="AM554" s="84">
        <f>MAX(0,AJ554-AK554)</f>
        <v/>
      </c>
      <c r="AN554" s="84">
        <f>IF(AM554=0,AH554,IF(AM554&gt;=AH554,0,AH554-AM554))</f>
        <v/>
      </c>
      <c r="AO554" s="84">
        <f>IF(AM554&gt;=AH554,AI554,AI554*AM554/AH554)</f>
        <v/>
      </c>
      <c r="AP554">
        <f t="array" ref="AP554">INDEX($AU$8:$BB$25,6*(R554-1)+MATCH(AB554,$AS$8:$AS$13,0),MATCH(O554,$AU$7:$BB$7,0))</f>
        <v/>
      </c>
    </row>
    <row r="555" ht="14.25" customHeight="1">
      <c r="O555" s="43" t="inlineStr">
        <is>
          <t>Q1’27</t>
        </is>
      </c>
      <c r="P555" s="43" t="n">
        <v>1</v>
      </c>
      <c r="Q555" s="43" t="n">
        <v>11</v>
      </c>
      <c r="R555" s="43" t="n">
        <v>2</v>
      </c>
      <c r="S555" s="45" t="n">
        <v>2059.277718740202</v>
      </c>
      <c r="T555">
        <f>(S554+S555+S556)=R2</f>
        <v/>
      </c>
      <c r="X555" s="84">
        <f>MAX(S552-S555,0)</f>
        <v/>
      </c>
      <c r="Y555" s="83" t="n">
        <v>0</v>
      </c>
      <c r="AA555" s="84" t="n">
        <v>3</v>
      </c>
      <c r="AB555" s="84" t="inlineStr">
        <is>
          <t>F</t>
        </is>
      </c>
      <c r="AC555" s="84" t="inlineStr">
        <is>
          <t>F+</t>
        </is>
      </c>
      <c r="AD555" s="84" t="n">
        <v>18</v>
      </c>
      <c r="AE555" s="84" t="n">
        <v>16</v>
      </c>
      <c r="AF555" s="84" t="n">
        <v>0.8</v>
      </c>
      <c r="AG555" s="84" t="n">
        <v>0.9</v>
      </c>
      <c r="AH555" s="84" t="n">
        <v>0</v>
      </c>
      <c r="AI555" s="84" t="n">
        <v>0</v>
      </c>
      <c r="AJ555" s="84">
        <f>SUMIFS(AH$8:AH$1039,$O$8:$O$1039,O555,$AB$8:$AB$1039,AB555,$R$8:$R$1039,R555,$AA$8:$AA$1039,"&lt;="&amp;AA555)</f>
        <v/>
      </c>
      <c r="AK555" s="84">
        <f>D61</f>
        <v/>
      </c>
      <c r="AL555" s="84">
        <f>D67</f>
        <v/>
      </c>
      <c r="AM555" s="84">
        <f>MAX(0,AJ555-AK555)</f>
        <v/>
      </c>
      <c r="AN555" s="84">
        <f>IF(AM555=0,AH555,IF(AM555&gt;=AH555,0,AH555-AM555))</f>
        <v/>
      </c>
      <c r="AO555" s="84">
        <f>IF(AM555&gt;=AH555,AI555,AI555*AM555/AH555)</f>
        <v/>
      </c>
      <c r="AP555">
        <f t="array" ref="AP555">INDEX($AU$8:$BB$25,6*(R555-1)+MATCH(AB555,$AS$8:$AS$13,0),MATCH(O555,$AU$7:$BB$7,0))</f>
        <v/>
      </c>
    </row>
    <row r="556" ht="14.25" customHeight="1">
      <c r="O556" s="43" t="inlineStr">
        <is>
          <t>Q1’27</t>
        </is>
      </c>
      <c r="P556" s="43" t="n">
        <v>1</v>
      </c>
      <c r="Q556" s="43" t="n">
        <v>11</v>
      </c>
      <c r="R556" s="43" t="n">
        <v>3</v>
      </c>
      <c r="S556" s="45" t="n">
        <v>0</v>
      </c>
      <c r="T556">
        <f>(S554+S555+S556)=R2</f>
        <v/>
      </c>
      <c r="X556" s="84">
        <f>MAX(S553-S556,0)</f>
        <v/>
      </c>
      <c r="Y556" s="83" t="n">
        <v>0</v>
      </c>
      <c r="AA556" s="84" t="n">
        <v>3</v>
      </c>
      <c r="AB556" s="84" t="inlineStr">
        <is>
          <t>F</t>
        </is>
      </c>
      <c r="AC556" s="84" t="inlineStr">
        <is>
          <t>F+</t>
        </is>
      </c>
      <c r="AD556" s="84" t="n">
        <v>18</v>
      </c>
      <c r="AE556" s="84" t="n">
        <v>16</v>
      </c>
      <c r="AF556" s="84" t="n">
        <v>0.8</v>
      </c>
      <c r="AG556" s="84" t="n">
        <v>0.9</v>
      </c>
      <c r="AH556" s="84" t="n">
        <v>0</v>
      </c>
      <c r="AI556" s="84" t="n">
        <v>0</v>
      </c>
      <c r="AJ556" s="84">
        <f>SUMIFS(AH$8:AH$1039,$O$8:$O$1039,O556,$AB$8:$AB$1039,AB556,$R$8:$R$1039,R556,$AA$8:$AA$1039,"&lt;="&amp;AA556)</f>
        <v/>
      </c>
      <c r="AK556" s="84">
        <f>E61</f>
        <v/>
      </c>
      <c r="AL556" s="84">
        <f>E67</f>
        <v/>
      </c>
      <c r="AM556" s="84">
        <f>MAX(0,AJ556-AK556)</f>
        <v/>
      </c>
      <c r="AN556" s="84">
        <f>IF(AM556=0,AH556,IF(AM556&gt;=AH556,0,AH556-AM556))</f>
        <v/>
      </c>
      <c r="AO556" s="84">
        <f>IF(AM556&gt;=AH556,AI556,AI556*AM556/AH556)</f>
        <v/>
      </c>
      <c r="AP556">
        <f t="array" ref="AP556">INDEX($AU$8:$BB$25,6*(R556-1)+MATCH(AB556,$AS$8:$AS$13,0),MATCH(O556,$AU$7:$BB$7,0))</f>
        <v/>
      </c>
    </row>
    <row r="557" ht="14.25" customHeight="1">
      <c r="O557" s="43" t="inlineStr">
        <is>
          <t>Q1’27</t>
        </is>
      </c>
      <c r="P557" s="43" t="n">
        <v>2</v>
      </c>
      <c r="Q557" s="43" t="n">
        <v>1</v>
      </c>
      <c r="R557" s="43" t="n">
        <v>1</v>
      </c>
      <c r="S557" s="45" t="n">
        <v>3305.668844354697</v>
      </c>
      <c r="T557">
        <f>(S557+S558+S559)=R3</f>
        <v/>
      </c>
      <c r="X557" s="84" t="n">
        <v>0</v>
      </c>
      <c r="Y557" s="83" t="n">
        <v>0</v>
      </c>
      <c r="AA557" s="84" t="n">
        <v>9</v>
      </c>
      <c r="AB557" s="84" t="inlineStr">
        <is>
          <t>F</t>
        </is>
      </c>
      <c r="AC557" s="84" t="inlineStr">
        <is>
          <t>F+</t>
        </is>
      </c>
      <c r="AD557" s="84" t="n">
        <v>19</v>
      </c>
      <c r="AE557" s="84" t="n">
        <v>16</v>
      </c>
      <c r="AF557" s="84" t="n">
        <v>0.8</v>
      </c>
      <c r="AG557" s="84" t="n">
        <v>0.9</v>
      </c>
      <c r="AH557" s="84" t="n">
        <v>0</v>
      </c>
      <c r="AI557" s="84" t="n">
        <v>0</v>
      </c>
      <c r="AJ557" s="84">
        <f>SUMIFS(AH$8:AH$1039,$O$8:$O$1039,O557,$AB$8:$AB$1039,AB557,$R$8:$R$1039,R557,$AA$8:$AA$1039,"&lt;="&amp;AA557)</f>
        <v/>
      </c>
      <c r="AK557" s="84">
        <f>C61</f>
        <v/>
      </c>
      <c r="AL557" s="84">
        <f>C67</f>
        <v/>
      </c>
      <c r="AM557" s="84">
        <f>MAX(0,AJ557-AK557)</f>
        <v/>
      </c>
      <c r="AN557" s="84">
        <f>IF(AM557=0,AH557,IF(AM557&gt;=AH557,0,AH557-AM557))</f>
        <v/>
      </c>
      <c r="AO557" s="84">
        <f>IF(AM557&gt;=AH557,AI557,AI557*AM557/AH557)</f>
        <v/>
      </c>
      <c r="AP557">
        <f t="array" ref="AP557">INDEX($AU$8:$BB$25,6*(R557-1)+MATCH(AB557,$AS$8:$AS$13,0),MATCH(O557,$AU$7:$BB$7,0))</f>
        <v/>
      </c>
    </row>
    <row r="558" ht="14.25" customHeight="1">
      <c r="O558" s="43" t="inlineStr">
        <is>
          <t>Q1’27</t>
        </is>
      </c>
      <c r="P558" s="43" t="n">
        <v>2</v>
      </c>
      <c r="Q558" s="43" t="n">
        <v>1</v>
      </c>
      <c r="R558" s="43" t="n">
        <v>2</v>
      </c>
      <c r="S558" s="45" t="n">
        <v>2694.331155645303</v>
      </c>
      <c r="T558">
        <f>(S557+S558+S559)=R3</f>
        <v/>
      </c>
      <c r="X558" s="84" t="n">
        <v>0</v>
      </c>
      <c r="Y558" s="83" t="n">
        <v>0</v>
      </c>
      <c r="AA558" s="84" t="n">
        <v>9</v>
      </c>
      <c r="AB558" s="84" t="inlineStr">
        <is>
          <t>F</t>
        </is>
      </c>
      <c r="AC558" s="84" t="inlineStr">
        <is>
          <t>F+</t>
        </is>
      </c>
      <c r="AD558" s="84" t="n">
        <v>19</v>
      </c>
      <c r="AE558" s="84" t="n">
        <v>16</v>
      </c>
      <c r="AF558" s="84" t="n">
        <v>0.8</v>
      </c>
      <c r="AG558" s="84" t="n">
        <v>0.9</v>
      </c>
      <c r="AH558" s="84" t="n">
        <v>0</v>
      </c>
      <c r="AI558" s="84" t="n">
        <v>0</v>
      </c>
      <c r="AJ558" s="84">
        <f>SUMIFS(AH$8:AH$1039,$O$8:$O$1039,O558,$AB$8:$AB$1039,AB558,$R$8:$R$1039,R558,$AA$8:$AA$1039,"&lt;="&amp;AA558)</f>
        <v/>
      </c>
      <c r="AK558" s="84">
        <f>D61</f>
        <v/>
      </c>
      <c r="AL558" s="84">
        <f>D67</f>
        <v/>
      </c>
      <c r="AM558" s="84">
        <f>MAX(0,AJ558-AK558)</f>
        <v/>
      </c>
      <c r="AN558" s="84">
        <f>IF(AM558=0,AH558,IF(AM558&gt;=AH558,0,AH558-AM558))</f>
        <v/>
      </c>
      <c r="AO558" s="84">
        <f>IF(AM558&gt;=AH558,AI558,AI558*AM558/AH558)</f>
        <v/>
      </c>
      <c r="AP558">
        <f t="array" ref="AP558">INDEX($AU$8:$BB$25,6*(R558-1)+MATCH(AB558,$AS$8:$AS$13,0),MATCH(O558,$AU$7:$BB$7,0))</f>
        <v/>
      </c>
    </row>
    <row r="559" ht="14.25" customHeight="1">
      <c r="O559" s="43" t="inlineStr">
        <is>
          <t>Q1’27</t>
        </is>
      </c>
      <c r="P559" s="43" t="n">
        <v>2</v>
      </c>
      <c r="Q559" s="43" t="n">
        <v>1</v>
      </c>
      <c r="R559" s="43" t="n">
        <v>3</v>
      </c>
      <c r="S559" s="45" t="n">
        <v>0</v>
      </c>
      <c r="T559">
        <f>(S557+S558+S559)=R3</f>
        <v/>
      </c>
      <c r="X559" s="84" t="n">
        <v>0</v>
      </c>
      <c r="Y559" s="83" t="n">
        <v>0</v>
      </c>
      <c r="AA559" s="84" t="n">
        <v>9</v>
      </c>
      <c r="AB559" s="84" t="inlineStr">
        <is>
          <t>F</t>
        </is>
      </c>
      <c r="AC559" s="84" t="inlineStr">
        <is>
          <t>F+</t>
        </is>
      </c>
      <c r="AD559" s="84" t="n">
        <v>19</v>
      </c>
      <c r="AE559" s="84" t="n">
        <v>16</v>
      </c>
      <c r="AF559" s="84" t="n">
        <v>0.8</v>
      </c>
      <c r="AG559" s="84" t="n">
        <v>0.9</v>
      </c>
      <c r="AH559" s="84" t="n">
        <v>0</v>
      </c>
      <c r="AI559" s="84" t="n">
        <v>0</v>
      </c>
      <c r="AJ559" s="84">
        <f>SUMIFS(AH$8:AH$1039,$O$8:$O$1039,O559,$AB$8:$AB$1039,AB559,$R$8:$R$1039,R559,$AA$8:$AA$1039,"&lt;="&amp;AA559)</f>
        <v/>
      </c>
      <c r="AK559" s="84">
        <f>E61</f>
        <v/>
      </c>
      <c r="AL559" s="84">
        <f>E67</f>
        <v/>
      </c>
      <c r="AM559" s="84">
        <f>MAX(0,AJ559-AK559)</f>
        <v/>
      </c>
      <c r="AN559" s="84">
        <f>IF(AM559=0,AH559,IF(AM559&gt;=AH559,0,AH559-AM559))</f>
        <v/>
      </c>
      <c r="AO559" s="84">
        <f>IF(AM559&gt;=AH559,AI559,AI559*AM559/AH559)</f>
        <v/>
      </c>
      <c r="AP559">
        <f t="array" ref="AP559">INDEX($AU$8:$BB$25,6*(R559-1)+MATCH(AB559,$AS$8:$AS$13,0),MATCH(O559,$AU$7:$BB$7,0))</f>
        <v/>
      </c>
    </row>
    <row r="560" ht="14.25" customHeight="1">
      <c r="O560" s="43" t="inlineStr">
        <is>
          <t>Q1’27</t>
        </is>
      </c>
      <c r="P560" s="43" t="n">
        <v>2</v>
      </c>
      <c r="Q560" s="43" t="n">
        <v>2</v>
      </c>
      <c r="R560" s="43" t="n">
        <v>1</v>
      </c>
      <c r="S560" s="45" t="n">
        <v>3305.668844354697</v>
      </c>
      <c r="T560">
        <f>(S560+S561+S562)=R3</f>
        <v/>
      </c>
      <c r="X560" s="84">
        <f>MAX(S557-S560,0)</f>
        <v/>
      </c>
      <c r="Y560" s="83" t="n">
        <v>0</v>
      </c>
      <c r="AA560" s="84" t="n">
        <v>1</v>
      </c>
      <c r="AB560" s="84" t="inlineStr">
        <is>
          <t>B</t>
        </is>
      </c>
      <c r="AC560" s="84" t="inlineStr">
        <is>
          <t>B+</t>
        </is>
      </c>
      <c r="AD560" s="84" t="n">
        <v>20</v>
      </c>
      <c r="AE560" s="84" t="n">
        <v>18</v>
      </c>
      <c r="AF560" s="84" t="n">
        <v>0.76</v>
      </c>
      <c r="AG560" s="84" t="n">
        <v>0.8100000000000001</v>
      </c>
      <c r="AH560" s="84" t="n">
        <v>0</v>
      </c>
      <c r="AI560" s="84" t="n">
        <v>0</v>
      </c>
      <c r="AJ560" s="84">
        <f>SUMIFS(AH$8:AH$1039,$O$8:$O$1039,O560,$AB$8:$AB$1039,AB560,$R$8:$R$1039,R560,$AA$8:$AA$1039,"&lt;="&amp;AA560)</f>
        <v/>
      </c>
      <c r="AK560" s="84">
        <f>C57</f>
        <v/>
      </c>
      <c r="AL560" s="84">
        <f>C63</f>
        <v/>
      </c>
      <c r="AM560" s="84">
        <f>MAX(0,AJ560-AK560)</f>
        <v/>
      </c>
      <c r="AN560" s="84">
        <f>IF(AM560=0,AH560,IF(AM560&gt;=AH560,0,AH560-AM560))</f>
        <v/>
      </c>
      <c r="AO560" s="84">
        <f>IF(AM560&gt;=AH560,AI560,AI560*AM560/AH560)</f>
        <v/>
      </c>
      <c r="AP560">
        <f t="array" ref="AP560">INDEX($AU$8:$BB$25,6*(R560-1)+MATCH(AB560,$AS$8:$AS$13,0),MATCH(O560,$AU$7:$BB$7,0))</f>
        <v/>
      </c>
    </row>
    <row r="561" ht="14.25" customHeight="1">
      <c r="O561" s="43" t="inlineStr">
        <is>
          <t>Q1’27</t>
        </is>
      </c>
      <c r="P561" s="43" t="n">
        <v>2</v>
      </c>
      <c r="Q561" s="43" t="n">
        <v>2</v>
      </c>
      <c r="R561" s="43" t="n">
        <v>2</v>
      </c>
      <c r="S561" s="45" t="n">
        <v>2694.331155645303</v>
      </c>
      <c r="T561">
        <f>(S560+S561+S562)=R3</f>
        <v/>
      </c>
      <c r="X561" s="84">
        <f>MAX(S558-S561,0)</f>
        <v/>
      </c>
      <c r="Y561" s="83" t="n">
        <v>0</v>
      </c>
      <c r="AA561" s="84" t="n">
        <v>1</v>
      </c>
      <c r="AB561" s="84" t="inlineStr">
        <is>
          <t>B</t>
        </is>
      </c>
      <c r="AC561" s="84" t="inlineStr">
        <is>
          <t>B+</t>
        </is>
      </c>
      <c r="AD561" s="84" t="n">
        <v>20</v>
      </c>
      <c r="AE561" s="84" t="n">
        <v>18</v>
      </c>
      <c r="AF561" s="84" t="n">
        <v>0.76</v>
      </c>
      <c r="AG561" s="84" t="n">
        <v>0.8100000000000001</v>
      </c>
      <c r="AH561" s="84" t="n">
        <v>0</v>
      </c>
      <c r="AI561" s="84" t="n">
        <v>0</v>
      </c>
      <c r="AJ561" s="84">
        <f>SUMIFS(AH$8:AH$1039,$O$8:$O$1039,O561,$AB$8:$AB$1039,AB561,$R$8:$R$1039,R561,$AA$8:$AA$1039,"&lt;="&amp;AA561)</f>
        <v/>
      </c>
      <c r="AK561" s="84">
        <f>D57</f>
        <v/>
      </c>
      <c r="AL561" s="84">
        <f>D63</f>
        <v/>
      </c>
      <c r="AM561" s="84">
        <f>MAX(0,AJ561-AK561)</f>
        <v/>
      </c>
      <c r="AN561" s="84">
        <f>IF(AM561=0,AH561,IF(AM561&gt;=AH561,0,AH561-AM561))</f>
        <v/>
      </c>
      <c r="AO561" s="84">
        <f>IF(AM561&gt;=AH561,AI561,AI561*AM561/AH561)</f>
        <v/>
      </c>
      <c r="AP561">
        <f t="array" ref="AP561">INDEX($AU$8:$BB$25,6*(R561-1)+MATCH(AB561,$AS$8:$AS$13,0),MATCH(O561,$AU$7:$BB$7,0))</f>
        <v/>
      </c>
    </row>
    <row r="562" ht="14.25" customHeight="1">
      <c r="O562" s="43" t="inlineStr">
        <is>
          <t>Q1’27</t>
        </is>
      </c>
      <c r="P562" s="43" t="n">
        <v>2</v>
      </c>
      <c r="Q562" s="43" t="n">
        <v>2</v>
      </c>
      <c r="R562" s="43" t="n">
        <v>3</v>
      </c>
      <c r="S562" s="45" t="n">
        <v>0</v>
      </c>
      <c r="T562">
        <f>(S560+S561+S562)=R3</f>
        <v/>
      </c>
      <c r="X562" s="84">
        <f>MAX(S559-S562,0)</f>
        <v/>
      </c>
      <c r="Y562" s="83" t="n">
        <v>0</v>
      </c>
      <c r="AA562" s="84" t="n">
        <v>1</v>
      </c>
      <c r="AB562" s="84" t="inlineStr">
        <is>
          <t>B</t>
        </is>
      </c>
      <c r="AC562" s="84" t="inlineStr">
        <is>
          <t>B+</t>
        </is>
      </c>
      <c r="AD562" s="84" t="n">
        <v>20</v>
      </c>
      <c r="AE562" s="84" t="n">
        <v>18</v>
      </c>
      <c r="AF562" s="84" t="n">
        <v>0.76</v>
      </c>
      <c r="AG562" s="84" t="n">
        <v>0.8100000000000001</v>
      </c>
      <c r="AH562" s="84" t="n">
        <v>0</v>
      </c>
      <c r="AI562" s="84" t="n">
        <v>0</v>
      </c>
      <c r="AJ562" s="84">
        <f>SUMIFS(AH$8:AH$1039,$O$8:$O$1039,O562,$AB$8:$AB$1039,AB562,$R$8:$R$1039,R562,$AA$8:$AA$1039,"&lt;="&amp;AA562)</f>
        <v/>
      </c>
      <c r="AK562" s="84">
        <f>E57</f>
        <v/>
      </c>
      <c r="AL562" s="84">
        <f>E63</f>
        <v/>
      </c>
      <c r="AM562" s="84">
        <f>MAX(0,AJ562-AK562)</f>
        <v/>
      </c>
      <c r="AN562" s="84">
        <f>IF(AM562=0,AH562,IF(AM562&gt;=AH562,0,AH562-AM562))</f>
        <v/>
      </c>
      <c r="AO562" s="84">
        <f>IF(AM562&gt;=AH562,AI562,AI562*AM562/AH562)</f>
        <v/>
      </c>
      <c r="AP562">
        <f t="array" ref="AP562">INDEX($AU$8:$BB$25,6*(R562-1)+MATCH(AB562,$AS$8:$AS$13,0),MATCH(O562,$AU$7:$BB$7,0))</f>
        <v/>
      </c>
    </row>
    <row r="563" ht="14.25" customHeight="1">
      <c r="O563" s="43" t="inlineStr">
        <is>
          <t>Q1’27</t>
        </is>
      </c>
      <c r="P563" s="43" t="n">
        <v>2</v>
      </c>
      <c r="Q563" s="43" t="n">
        <v>3</v>
      </c>
      <c r="R563" s="43" t="n">
        <v>1</v>
      </c>
      <c r="S563" s="45" t="n">
        <v>3305.668844354697</v>
      </c>
      <c r="T563">
        <f>(S563+S564+S565)=R3</f>
        <v/>
      </c>
      <c r="X563" s="84">
        <f>MAX(S560-S563,0)</f>
        <v/>
      </c>
      <c r="Y563" s="83" t="n">
        <v>0</v>
      </c>
      <c r="AA563" s="84" t="n">
        <v>11</v>
      </c>
      <c r="AB563" s="84" t="inlineStr">
        <is>
          <t>E</t>
        </is>
      </c>
      <c r="AC563" s="84" t="inlineStr">
        <is>
          <t>E+</t>
        </is>
      </c>
      <c r="AD563" s="84" t="n">
        <v>10</v>
      </c>
      <c r="AE563" s="84" t="n">
        <v>7</v>
      </c>
      <c r="AF563" s="84" t="n">
        <v>0.76</v>
      </c>
      <c r="AG563" s="84" t="n">
        <v>0.84</v>
      </c>
      <c r="AH563" s="84" t="n">
        <v>0</v>
      </c>
      <c r="AI563" s="84" t="n">
        <v>0</v>
      </c>
      <c r="AJ563" s="84">
        <f>SUMIFS(AH$8:AH$1039,$O$8:$O$1039,O563,$AB$8:$AB$1039,AB563,$R$8:$R$1039,R563,$AA$8:$AA$1039,"&lt;="&amp;AA563)</f>
        <v/>
      </c>
      <c r="AK563" s="84">
        <f>C60</f>
        <v/>
      </c>
      <c r="AL563" s="84">
        <f>C66</f>
        <v/>
      </c>
      <c r="AM563" s="84">
        <f>MAX(0,AJ563-AK563)</f>
        <v/>
      </c>
      <c r="AN563" s="84">
        <f>IF(AM563=0,AH563,IF(AM563&gt;=AH563,0,AH563-AM563))</f>
        <v/>
      </c>
      <c r="AO563" s="84">
        <f>IF(AM563&gt;=AH563,AI563,AI563*AM563/AH563)</f>
        <v/>
      </c>
      <c r="AP563">
        <f t="array" ref="AP563">INDEX($AU$8:$BB$25,6*(R563-1)+MATCH(AB563,$AS$8:$AS$13,0),MATCH(O563,$AU$7:$BB$7,0))</f>
        <v/>
      </c>
    </row>
    <row r="564" ht="14.25" customHeight="1">
      <c r="O564" s="43" t="inlineStr">
        <is>
          <t>Q1’27</t>
        </is>
      </c>
      <c r="P564" s="43" t="n">
        <v>2</v>
      </c>
      <c r="Q564" s="43" t="n">
        <v>3</v>
      </c>
      <c r="R564" s="43" t="n">
        <v>2</v>
      </c>
      <c r="S564" s="45" t="n">
        <v>2694.331155645303</v>
      </c>
      <c r="T564">
        <f>(S563+S564+S565)=R3</f>
        <v/>
      </c>
      <c r="X564" s="84">
        <f>MAX(S561-S564,0)</f>
        <v/>
      </c>
      <c r="Y564" s="83" t="n">
        <v>0</v>
      </c>
      <c r="AA564" s="84" t="n">
        <v>11</v>
      </c>
      <c r="AB564" s="84" t="inlineStr">
        <is>
          <t>E</t>
        </is>
      </c>
      <c r="AC564" s="84" t="inlineStr">
        <is>
          <t>E+</t>
        </is>
      </c>
      <c r="AD564" s="84" t="n">
        <v>10</v>
      </c>
      <c r="AE564" s="84" t="n">
        <v>7</v>
      </c>
      <c r="AF564" s="84" t="n">
        <v>0.76</v>
      </c>
      <c r="AG564" s="84" t="n">
        <v>0.84</v>
      </c>
      <c r="AH564" s="84" t="n">
        <v>0</v>
      </c>
      <c r="AI564" s="84" t="n">
        <v>0</v>
      </c>
      <c r="AJ564" s="84">
        <f>SUMIFS(AH$8:AH$1039,$O$8:$O$1039,O564,$AB$8:$AB$1039,AB564,$R$8:$R$1039,R564,$AA$8:$AA$1039,"&lt;="&amp;AA564)</f>
        <v/>
      </c>
      <c r="AK564" s="84">
        <f>D60</f>
        <v/>
      </c>
      <c r="AL564" s="84">
        <f>D66</f>
        <v/>
      </c>
      <c r="AM564" s="84">
        <f>MAX(0,AJ564-AK564)</f>
        <v/>
      </c>
      <c r="AN564" s="84">
        <f>IF(AM564=0,AH564,IF(AM564&gt;=AH564,0,AH564-AM564))</f>
        <v/>
      </c>
      <c r="AO564" s="84">
        <f>IF(AM564&gt;=AH564,AI564,AI564*AM564/AH564)</f>
        <v/>
      </c>
      <c r="AP564">
        <f t="array" ref="AP564">INDEX($AU$8:$BB$25,6*(R564-1)+MATCH(AB564,$AS$8:$AS$13,0),MATCH(O564,$AU$7:$BB$7,0))</f>
        <v/>
      </c>
    </row>
    <row r="565" ht="14.25" customHeight="1">
      <c r="O565" s="43" t="inlineStr">
        <is>
          <t>Q1’27</t>
        </is>
      </c>
      <c r="P565" s="43" t="n">
        <v>2</v>
      </c>
      <c r="Q565" s="43" t="n">
        <v>3</v>
      </c>
      <c r="R565" s="43" t="n">
        <v>3</v>
      </c>
      <c r="S565" s="45" t="n">
        <v>0</v>
      </c>
      <c r="T565">
        <f>(S563+S564+S565)=R3</f>
        <v/>
      </c>
      <c r="X565" s="84">
        <f>MAX(S562-S565,0)</f>
        <v/>
      </c>
      <c r="Y565" s="83" t="n">
        <v>0</v>
      </c>
      <c r="AA565" s="84" t="n">
        <v>11</v>
      </c>
      <c r="AB565" s="84" t="inlineStr">
        <is>
          <t>E</t>
        </is>
      </c>
      <c r="AC565" s="84" t="inlineStr">
        <is>
          <t>E+</t>
        </is>
      </c>
      <c r="AD565" s="84" t="n">
        <v>10</v>
      </c>
      <c r="AE565" s="84" t="n">
        <v>7</v>
      </c>
      <c r="AF565" s="84" t="n">
        <v>0.76</v>
      </c>
      <c r="AG565" s="84" t="n">
        <v>0.84</v>
      </c>
      <c r="AH565" s="84" t="n">
        <v>0</v>
      </c>
      <c r="AI565" s="84" t="n">
        <v>0</v>
      </c>
      <c r="AJ565" s="84">
        <f>SUMIFS(AH$8:AH$1039,$O$8:$O$1039,O565,$AB$8:$AB$1039,AB565,$R$8:$R$1039,R565,$AA$8:$AA$1039,"&lt;="&amp;AA565)</f>
        <v/>
      </c>
      <c r="AK565" s="84">
        <f>E60</f>
        <v/>
      </c>
      <c r="AL565" s="84">
        <f>E66</f>
        <v/>
      </c>
      <c r="AM565" s="84">
        <f>MAX(0,AJ565-AK565)</f>
        <v/>
      </c>
      <c r="AN565" s="84">
        <f>IF(AM565=0,AH565,IF(AM565&gt;=AH565,0,AH565-AM565))</f>
        <v/>
      </c>
      <c r="AO565" s="84">
        <f>IF(AM565&gt;=AH565,AI565,AI565*AM565/AH565)</f>
        <v/>
      </c>
      <c r="AP565">
        <f t="array" ref="AP565">INDEX($AU$8:$BB$25,6*(R565-1)+MATCH(AB565,$AS$8:$AS$13,0),MATCH(O565,$AU$7:$BB$7,0))</f>
        <v/>
      </c>
    </row>
    <row r="566" ht="14.25" customHeight="1">
      <c r="O566" s="43" t="inlineStr">
        <is>
          <t>Q1’27</t>
        </is>
      </c>
      <c r="P566" s="43" t="n">
        <v>2</v>
      </c>
      <c r="Q566" s="43" t="n">
        <v>4</v>
      </c>
      <c r="R566" s="43" t="n">
        <v>1</v>
      </c>
      <c r="S566" s="45" t="n">
        <v>3305.668844354697</v>
      </c>
      <c r="T566">
        <f>(S566+S567+S568)=R3</f>
        <v/>
      </c>
      <c r="X566" s="84">
        <f>MAX(S563-S566,0)</f>
        <v/>
      </c>
      <c r="Y566" s="83" t="n">
        <v>0</v>
      </c>
      <c r="AA566" s="84" t="n">
        <v>2</v>
      </c>
      <c r="AB566" s="84" t="inlineStr">
        <is>
          <t>B</t>
        </is>
      </c>
      <c r="AC566" s="84" t="inlineStr">
        <is>
          <t>B+</t>
        </is>
      </c>
      <c r="AD566" s="84" t="n">
        <v>25</v>
      </c>
      <c r="AE566" s="84" t="n">
        <v>19</v>
      </c>
      <c r="AF566" s="84" t="n">
        <v>0.76</v>
      </c>
      <c r="AG566" s="84" t="n">
        <v>0.8100000000000001</v>
      </c>
      <c r="AH566" s="84" t="n">
        <v>0</v>
      </c>
      <c r="AI566" s="84" t="n">
        <v>0</v>
      </c>
      <c r="AJ566" s="84">
        <f>SUMIFS(AH$8:AH$1039,$O$8:$O$1039,O566,$AB$8:$AB$1039,AB566,$R$8:$R$1039,R566,$AA$8:$AA$1039,"&lt;="&amp;AA566)</f>
        <v/>
      </c>
      <c r="AK566" s="84">
        <f>C57</f>
        <v/>
      </c>
      <c r="AL566" s="84">
        <f>C63</f>
        <v/>
      </c>
      <c r="AM566" s="84">
        <f>MAX(0,AJ566-AK566)</f>
        <v/>
      </c>
      <c r="AN566" s="84">
        <f>IF(AM566=0,AH566,IF(AM566&gt;=AH566,0,AH566-AM566))</f>
        <v/>
      </c>
      <c r="AO566" s="84">
        <f>IF(AM566&gt;=AH566,AI566,AI566*AM566/AH566)</f>
        <v/>
      </c>
      <c r="AP566">
        <f t="array" ref="AP566">INDEX($AU$8:$BB$25,6*(R566-1)+MATCH(AB566,$AS$8:$AS$13,0),MATCH(O566,$AU$7:$BB$7,0))</f>
        <v/>
      </c>
    </row>
    <row r="567" ht="14.25" customHeight="1">
      <c r="O567" s="43" t="inlineStr">
        <is>
          <t>Q1’27</t>
        </is>
      </c>
      <c r="P567" s="43" t="n">
        <v>2</v>
      </c>
      <c r="Q567" s="43" t="n">
        <v>4</v>
      </c>
      <c r="R567" s="43" t="n">
        <v>2</v>
      </c>
      <c r="S567" s="45" t="n">
        <v>2694.331155645303</v>
      </c>
      <c r="T567">
        <f>(S566+S567+S568)=R3</f>
        <v/>
      </c>
      <c r="X567" s="84">
        <f>MAX(S564-S567,0)</f>
        <v/>
      </c>
      <c r="Y567" s="83" t="n">
        <v>0</v>
      </c>
      <c r="AA567" s="84" t="n">
        <v>2</v>
      </c>
      <c r="AB567" s="84" t="inlineStr">
        <is>
          <t>B</t>
        </is>
      </c>
      <c r="AC567" s="84" t="inlineStr">
        <is>
          <t>B+</t>
        </is>
      </c>
      <c r="AD567" s="84" t="n">
        <v>25</v>
      </c>
      <c r="AE567" s="84" t="n">
        <v>19</v>
      </c>
      <c r="AF567" s="84" t="n">
        <v>0.76</v>
      </c>
      <c r="AG567" s="84" t="n">
        <v>0.8100000000000001</v>
      </c>
      <c r="AH567" s="84" t="n">
        <v>0</v>
      </c>
      <c r="AI567" s="84" t="n">
        <v>0</v>
      </c>
      <c r="AJ567" s="84">
        <f>SUMIFS(AH$8:AH$1039,$O$8:$O$1039,O567,$AB$8:$AB$1039,AB567,$R$8:$R$1039,R567,$AA$8:$AA$1039,"&lt;="&amp;AA567)</f>
        <v/>
      </c>
      <c r="AK567" s="84">
        <f>D57</f>
        <v/>
      </c>
      <c r="AL567" s="84">
        <f>D63</f>
        <v/>
      </c>
      <c r="AM567" s="84">
        <f>MAX(0,AJ567-AK567)</f>
        <v/>
      </c>
      <c r="AN567" s="84">
        <f>IF(AM567=0,AH567,IF(AM567&gt;=AH567,0,AH567-AM567))</f>
        <v/>
      </c>
      <c r="AO567" s="84">
        <f>IF(AM567&gt;=AH567,AI567,AI567*AM567/AH567)</f>
        <v/>
      </c>
      <c r="AP567">
        <f t="array" ref="AP567">INDEX($AU$8:$BB$25,6*(R567-1)+MATCH(AB567,$AS$8:$AS$13,0),MATCH(O567,$AU$7:$BB$7,0))</f>
        <v/>
      </c>
    </row>
    <row r="568" ht="14.25" customHeight="1">
      <c r="O568" s="43" t="inlineStr">
        <is>
          <t>Q1’27</t>
        </is>
      </c>
      <c r="P568" s="43" t="n">
        <v>2</v>
      </c>
      <c r="Q568" s="43" t="n">
        <v>4</v>
      </c>
      <c r="R568" s="43" t="n">
        <v>3</v>
      </c>
      <c r="S568" s="45" t="n">
        <v>0</v>
      </c>
      <c r="T568">
        <f>(S566+S567+S568)=R3</f>
        <v/>
      </c>
      <c r="X568" s="84">
        <f>MAX(S565-S568,0)</f>
        <v/>
      </c>
      <c r="Y568" s="83" t="n">
        <v>0</v>
      </c>
      <c r="AA568" s="84" t="n">
        <v>2</v>
      </c>
      <c r="AB568" s="84" t="inlineStr">
        <is>
          <t>B</t>
        </is>
      </c>
      <c r="AC568" s="84" t="inlineStr">
        <is>
          <t>B+</t>
        </is>
      </c>
      <c r="AD568" s="84" t="n">
        <v>25</v>
      </c>
      <c r="AE568" s="84" t="n">
        <v>19</v>
      </c>
      <c r="AF568" s="84" t="n">
        <v>0.76</v>
      </c>
      <c r="AG568" s="84" t="n">
        <v>0.8100000000000001</v>
      </c>
      <c r="AH568" s="84" t="n">
        <v>0</v>
      </c>
      <c r="AI568" s="84" t="n">
        <v>0</v>
      </c>
      <c r="AJ568" s="84">
        <f>SUMIFS(AH$8:AH$1039,$O$8:$O$1039,O568,$AB$8:$AB$1039,AB568,$R$8:$R$1039,R568,$AA$8:$AA$1039,"&lt;="&amp;AA568)</f>
        <v/>
      </c>
      <c r="AK568" s="84">
        <f>E57</f>
        <v/>
      </c>
      <c r="AL568" s="84">
        <f>E63</f>
        <v/>
      </c>
      <c r="AM568" s="84">
        <f>MAX(0,AJ568-AK568)</f>
        <v/>
      </c>
      <c r="AN568" s="84">
        <f>IF(AM568=0,AH568,IF(AM568&gt;=AH568,0,AH568-AM568))</f>
        <v/>
      </c>
      <c r="AO568" s="84">
        <f>IF(AM568&gt;=AH568,AI568,AI568*AM568/AH568)</f>
        <v/>
      </c>
      <c r="AP568">
        <f t="array" ref="AP568">INDEX($AU$8:$BB$25,6*(R568-1)+MATCH(AB568,$AS$8:$AS$13,0),MATCH(O568,$AU$7:$BB$7,0))</f>
        <v/>
      </c>
    </row>
    <row r="569" ht="14.25" customHeight="1">
      <c r="O569" s="43" t="inlineStr">
        <is>
          <t>Q1’27</t>
        </is>
      </c>
      <c r="P569" s="43" t="n">
        <v>2</v>
      </c>
      <c r="Q569" s="43" t="n">
        <v>5</v>
      </c>
      <c r="R569" s="43" t="n">
        <v>1</v>
      </c>
      <c r="S569" s="45" t="n">
        <v>3305.668844354697</v>
      </c>
      <c r="T569">
        <f>(S569+S570+S571)=R3</f>
        <v/>
      </c>
      <c r="X569" s="84">
        <f>MAX(S566-S569,0)</f>
        <v/>
      </c>
      <c r="Y569" s="83" t="n">
        <v>0</v>
      </c>
      <c r="AA569" s="84" t="n">
        <v>3</v>
      </c>
      <c r="AB569" s="84" t="inlineStr">
        <is>
          <t>B</t>
        </is>
      </c>
      <c r="AC569" s="84" t="inlineStr">
        <is>
          <t>B+</t>
        </is>
      </c>
      <c r="AD569" s="84" t="n">
        <v>15</v>
      </c>
      <c r="AE569" s="84" t="n">
        <v>11</v>
      </c>
      <c r="AF569" s="84" t="n">
        <v>0.76</v>
      </c>
      <c r="AG569" s="84" t="n">
        <v>0.8100000000000001</v>
      </c>
      <c r="AH569" s="84" t="n">
        <v>0</v>
      </c>
      <c r="AI569" s="84" t="n">
        <v>0</v>
      </c>
      <c r="AJ569" s="84">
        <f>SUMIFS(AH$8:AH$1039,$O$8:$O$1039,O569,$AB$8:$AB$1039,AB569,$R$8:$R$1039,R569,$AA$8:$AA$1039,"&lt;="&amp;AA569)</f>
        <v/>
      </c>
      <c r="AK569" s="84">
        <f>C57</f>
        <v/>
      </c>
      <c r="AL569" s="84">
        <f>C63</f>
        <v/>
      </c>
      <c r="AM569" s="84">
        <f>MAX(0,AJ569-AK569)</f>
        <v/>
      </c>
      <c r="AN569" s="84">
        <f>IF(AM569=0,AH569,IF(AM569&gt;=AH569,0,AH569-AM569))</f>
        <v/>
      </c>
      <c r="AO569" s="84">
        <f>IF(AM569&gt;=AH569,AI569,AI569*AM569/AH569)</f>
        <v/>
      </c>
      <c r="AP569">
        <f t="array" ref="AP569">INDEX($AU$8:$BB$25,6*(R569-1)+MATCH(AB569,$AS$8:$AS$13,0),MATCH(O569,$AU$7:$BB$7,0))</f>
        <v/>
      </c>
    </row>
    <row r="570" ht="14.25" customHeight="1">
      <c r="O570" s="43" t="inlineStr">
        <is>
          <t>Q1’27</t>
        </is>
      </c>
      <c r="P570" s="43" t="n">
        <v>2</v>
      </c>
      <c r="Q570" s="43" t="n">
        <v>5</v>
      </c>
      <c r="R570" s="43" t="n">
        <v>2</v>
      </c>
      <c r="S570" s="45" t="n">
        <v>2694.331155645303</v>
      </c>
      <c r="T570">
        <f>(S569+S570+S571)=R3</f>
        <v/>
      </c>
      <c r="X570" s="84">
        <f>MAX(S567-S570,0)</f>
        <v/>
      </c>
      <c r="Y570" s="83" t="n">
        <v>0</v>
      </c>
      <c r="AA570" s="84" t="n">
        <v>3</v>
      </c>
      <c r="AB570" s="84" t="inlineStr">
        <is>
          <t>B</t>
        </is>
      </c>
      <c r="AC570" s="84" t="inlineStr">
        <is>
          <t>B+</t>
        </is>
      </c>
      <c r="AD570" s="84" t="n">
        <v>15</v>
      </c>
      <c r="AE570" s="84" t="n">
        <v>11</v>
      </c>
      <c r="AF570" s="84" t="n">
        <v>0.76</v>
      </c>
      <c r="AG570" s="84" t="n">
        <v>0.8100000000000001</v>
      </c>
      <c r="AH570" s="84" t="n">
        <v>0</v>
      </c>
      <c r="AI570" s="84" t="n">
        <v>0</v>
      </c>
      <c r="AJ570" s="84">
        <f>SUMIFS(AH$8:AH$1039,$O$8:$O$1039,O570,$AB$8:$AB$1039,AB570,$R$8:$R$1039,R570,$AA$8:$AA$1039,"&lt;="&amp;AA570)</f>
        <v/>
      </c>
      <c r="AK570" s="84">
        <f>D57</f>
        <v/>
      </c>
      <c r="AL570" s="84">
        <f>D63</f>
        <v/>
      </c>
      <c r="AM570" s="84">
        <f>MAX(0,AJ570-AK570)</f>
        <v/>
      </c>
      <c r="AN570" s="84">
        <f>IF(AM570=0,AH570,IF(AM570&gt;=AH570,0,AH570-AM570))</f>
        <v/>
      </c>
      <c r="AO570" s="84">
        <f>IF(AM570&gt;=AH570,AI570,AI570*AM570/AH570)</f>
        <v/>
      </c>
      <c r="AP570">
        <f t="array" ref="AP570">INDEX($AU$8:$BB$25,6*(R570-1)+MATCH(AB570,$AS$8:$AS$13,0),MATCH(O570,$AU$7:$BB$7,0))</f>
        <v/>
      </c>
    </row>
    <row r="571" ht="14.25" customHeight="1">
      <c r="O571" s="43" t="inlineStr">
        <is>
          <t>Q1’27</t>
        </is>
      </c>
      <c r="P571" s="43" t="n">
        <v>2</v>
      </c>
      <c r="Q571" s="43" t="n">
        <v>5</v>
      </c>
      <c r="R571" s="43" t="n">
        <v>3</v>
      </c>
      <c r="S571" s="45" t="n">
        <v>0</v>
      </c>
      <c r="T571">
        <f>(S569+S570+S571)=R3</f>
        <v/>
      </c>
      <c r="X571" s="84">
        <f>MAX(S568-S571,0)</f>
        <v/>
      </c>
      <c r="Y571" s="83" t="n">
        <v>0</v>
      </c>
      <c r="AA571" s="84" t="n">
        <v>3</v>
      </c>
      <c r="AB571" s="84" t="inlineStr">
        <is>
          <t>B</t>
        </is>
      </c>
      <c r="AC571" s="84" t="inlineStr">
        <is>
          <t>B+</t>
        </is>
      </c>
      <c r="AD571" s="84" t="n">
        <v>15</v>
      </c>
      <c r="AE571" s="84" t="n">
        <v>11</v>
      </c>
      <c r="AF571" s="84" t="n">
        <v>0.76</v>
      </c>
      <c r="AG571" s="84" t="n">
        <v>0.8100000000000001</v>
      </c>
      <c r="AH571" s="84" t="n">
        <v>0</v>
      </c>
      <c r="AI571" s="84" t="n">
        <v>0</v>
      </c>
      <c r="AJ571" s="84">
        <f>SUMIFS(AH$8:AH$1039,$O$8:$O$1039,O571,$AB$8:$AB$1039,AB571,$R$8:$R$1039,R571,$AA$8:$AA$1039,"&lt;="&amp;AA571)</f>
        <v/>
      </c>
      <c r="AK571" s="84">
        <f>E57</f>
        <v/>
      </c>
      <c r="AL571" s="84">
        <f>E63</f>
        <v/>
      </c>
      <c r="AM571" s="84">
        <f>MAX(0,AJ571-AK571)</f>
        <v/>
      </c>
      <c r="AN571" s="84">
        <f>IF(AM571=0,AH571,IF(AM571&gt;=AH571,0,AH571-AM571))</f>
        <v/>
      </c>
      <c r="AO571" s="84">
        <f>IF(AM571&gt;=AH571,AI571,AI571*AM571/AH571)</f>
        <v/>
      </c>
      <c r="AP571">
        <f t="array" ref="AP571">INDEX($AU$8:$BB$25,6*(R571-1)+MATCH(AB571,$AS$8:$AS$13,0),MATCH(O571,$AU$7:$BB$7,0))</f>
        <v/>
      </c>
    </row>
    <row r="572" ht="14.25" customHeight="1">
      <c r="O572" s="43" t="inlineStr">
        <is>
          <t>Q1’27</t>
        </is>
      </c>
      <c r="P572" s="43" t="n">
        <v>2</v>
      </c>
      <c r="Q572" s="43" t="n">
        <v>6</v>
      </c>
      <c r="R572" s="43" t="n">
        <v>1</v>
      </c>
      <c r="S572" s="45" t="n">
        <v>3769.810678024584</v>
      </c>
      <c r="T572">
        <f>(S572+S573+S574)=R3</f>
        <v/>
      </c>
      <c r="X572" s="84">
        <f>MAX(S569-S572,0)</f>
        <v/>
      </c>
      <c r="Y572" s="83" t="n">
        <v>0</v>
      </c>
      <c r="AA572" s="84" t="n">
        <v>5</v>
      </c>
      <c r="AB572" s="84" t="inlineStr">
        <is>
          <t>F</t>
        </is>
      </c>
      <c r="AC572" s="84" t="inlineStr">
        <is>
          <t>F+</t>
        </is>
      </c>
      <c r="AD572" s="84" t="n">
        <v>16</v>
      </c>
      <c r="AE572" s="84" t="n">
        <v>14</v>
      </c>
      <c r="AF572" s="84" t="n">
        <v>0.8</v>
      </c>
      <c r="AG572" s="84" t="n">
        <v>0.9</v>
      </c>
      <c r="AH572" s="84" t="n">
        <v>0</v>
      </c>
      <c r="AI572" s="84" t="n">
        <v>0</v>
      </c>
      <c r="AJ572" s="84">
        <f>SUMIFS(AH$8:AH$1039,$O$8:$O$1039,O572,$AB$8:$AB$1039,AB572,$R$8:$R$1039,R572,$AA$8:$AA$1039,"&lt;="&amp;AA572)</f>
        <v/>
      </c>
      <c r="AK572" s="84">
        <f>C61</f>
        <v/>
      </c>
      <c r="AL572" s="84">
        <f>C67</f>
        <v/>
      </c>
      <c r="AM572" s="84">
        <f>MAX(0,AJ572-AK572)</f>
        <v/>
      </c>
      <c r="AN572" s="84">
        <f>IF(AM572=0,AH572,IF(AM572&gt;=AH572,0,AH572-AM572))</f>
        <v/>
      </c>
      <c r="AO572" s="84">
        <f>IF(AM572&gt;=AH572,AI572,AI572*AM572/AH572)</f>
        <v/>
      </c>
      <c r="AP572">
        <f t="array" ref="AP572">INDEX($AU$8:$BB$25,6*(R572-1)+MATCH(AB572,$AS$8:$AS$13,0),MATCH(O572,$AU$7:$BB$7,0))</f>
        <v/>
      </c>
    </row>
    <row r="573" ht="14.25" customHeight="1">
      <c r="O573" s="43" t="inlineStr">
        <is>
          <t>Q1’27</t>
        </is>
      </c>
      <c r="P573" s="43" t="n">
        <v>2</v>
      </c>
      <c r="Q573" s="43" t="n">
        <v>6</v>
      </c>
      <c r="R573" s="43" t="n">
        <v>2</v>
      </c>
      <c r="S573" s="45" t="n">
        <v>2230.189321975416</v>
      </c>
      <c r="T573">
        <f>(S572+S573+S574)=R3</f>
        <v/>
      </c>
      <c r="X573" s="84">
        <f>MAX(S570-S573,0)</f>
        <v/>
      </c>
      <c r="Y573" s="83" t="n">
        <v>0</v>
      </c>
      <c r="AA573" s="84" t="n">
        <v>5</v>
      </c>
      <c r="AB573" s="84" t="inlineStr">
        <is>
          <t>F</t>
        </is>
      </c>
      <c r="AC573" s="84" t="inlineStr">
        <is>
          <t>F+</t>
        </is>
      </c>
      <c r="AD573" s="84" t="n">
        <v>16</v>
      </c>
      <c r="AE573" s="84" t="n">
        <v>14</v>
      </c>
      <c r="AF573" s="84" t="n">
        <v>0.8</v>
      </c>
      <c r="AG573" s="84" t="n">
        <v>0.9</v>
      </c>
      <c r="AH573" s="84" t="n">
        <v>0</v>
      </c>
      <c r="AI573" s="84" t="n">
        <v>0</v>
      </c>
      <c r="AJ573" s="84">
        <f>SUMIFS(AH$8:AH$1039,$O$8:$O$1039,O573,$AB$8:$AB$1039,AB573,$R$8:$R$1039,R573,$AA$8:$AA$1039,"&lt;="&amp;AA573)</f>
        <v/>
      </c>
      <c r="AK573" s="84">
        <f>D61</f>
        <v/>
      </c>
      <c r="AL573" s="84">
        <f>D67</f>
        <v/>
      </c>
      <c r="AM573" s="84">
        <f>MAX(0,AJ573-AK573)</f>
        <v/>
      </c>
      <c r="AN573" s="84">
        <f>IF(AM573=0,AH573,IF(AM573&gt;=AH573,0,AH573-AM573))</f>
        <v/>
      </c>
      <c r="AO573" s="84">
        <f>IF(AM573&gt;=AH573,AI573,AI573*AM573/AH573)</f>
        <v/>
      </c>
      <c r="AP573">
        <f t="array" ref="AP573">INDEX($AU$8:$BB$25,6*(R573-1)+MATCH(AB573,$AS$8:$AS$13,0),MATCH(O573,$AU$7:$BB$7,0))</f>
        <v/>
      </c>
    </row>
    <row r="574" ht="14.25" customHeight="1">
      <c r="O574" s="43" t="inlineStr">
        <is>
          <t>Q1’27</t>
        </is>
      </c>
      <c r="P574" s="43" t="n">
        <v>2</v>
      </c>
      <c r="Q574" s="43" t="n">
        <v>6</v>
      </c>
      <c r="R574" s="43" t="n">
        <v>3</v>
      </c>
      <c r="S574" s="45" t="n">
        <v>-0</v>
      </c>
      <c r="T574">
        <f>(S572+S573+S574)=R3</f>
        <v/>
      </c>
      <c r="X574" s="84">
        <f>MAX(S571-S574,0)</f>
        <v/>
      </c>
      <c r="Y574" s="83" t="n">
        <v>0</v>
      </c>
      <c r="AA574" s="84" t="n">
        <v>5</v>
      </c>
      <c r="AB574" s="84" t="inlineStr">
        <is>
          <t>F</t>
        </is>
      </c>
      <c r="AC574" s="84" t="inlineStr">
        <is>
          <t>F+</t>
        </is>
      </c>
      <c r="AD574" s="84" t="n">
        <v>16</v>
      </c>
      <c r="AE574" s="84" t="n">
        <v>14</v>
      </c>
      <c r="AF574" s="84" t="n">
        <v>0.8</v>
      </c>
      <c r="AG574" s="84" t="n">
        <v>0.9</v>
      </c>
      <c r="AH574" s="84" t="n">
        <v>0</v>
      </c>
      <c r="AI574" s="84" t="n">
        <v>0</v>
      </c>
      <c r="AJ574" s="84">
        <f>SUMIFS(AH$8:AH$1039,$O$8:$O$1039,O574,$AB$8:$AB$1039,AB574,$R$8:$R$1039,R574,$AA$8:$AA$1039,"&lt;="&amp;AA574)</f>
        <v/>
      </c>
      <c r="AK574" s="84">
        <f>E61</f>
        <v/>
      </c>
      <c r="AL574" s="84">
        <f>E67</f>
        <v/>
      </c>
      <c r="AM574" s="84">
        <f>MAX(0,AJ574-AK574)</f>
        <v/>
      </c>
      <c r="AN574" s="84">
        <f>IF(AM574=0,AH574,IF(AM574&gt;=AH574,0,AH574-AM574))</f>
        <v/>
      </c>
      <c r="AO574" s="84">
        <f>IF(AM574&gt;=AH574,AI574,AI574*AM574/AH574)</f>
        <v/>
      </c>
      <c r="AP574">
        <f t="array" ref="AP574">INDEX($AU$8:$BB$25,6*(R574-1)+MATCH(AB574,$AS$8:$AS$13,0),MATCH(O574,$AU$7:$BB$7,0))</f>
        <v/>
      </c>
    </row>
    <row r="575" ht="14.25" customHeight="1">
      <c r="O575" s="43" t="inlineStr">
        <is>
          <t>Q1’27</t>
        </is>
      </c>
      <c r="P575" s="43" t="n">
        <v>2</v>
      </c>
      <c r="Q575" s="43" t="n">
        <v>7</v>
      </c>
      <c r="R575" s="43" t="n">
        <v>1</v>
      </c>
      <c r="S575" s="45" t="n">
        <v>3769.810678024584</v>
      </c>
      <c r="T575">
        <f>(S575+S576+S577)=R3</f>
        <v/>
      </c>
      <c r="X575" s="84">
        <f>MAX(S572-S575,0)</f>
        <v/>
      </c>
      <c r="Y575" s="83" t="n">
        <v>0</v>
      </c>
      <c r="AA575" s="84" t="n">
        <v>4</v>
      </c>
      <c r="AB575" s="84" t="inlineStr">
        <is>
          <t>F</t>
        </is>
      </c>
      <c r="AC575" s="84" t="inlineStr">
        <is>
          <t>F+</t>
        </is>
      </c>
      <c r="AD575" s="84" t="n">
        <v>17</v>
      </c>
      <c r="AE575" s="84" t="n">
        <v>15</v>
      </c>
      <c r="AF575" s="84" t="n">
        <v>0.8</v>
      </c>
      <c r="AG575" s="84" t="n">
        <v>0.9</v>
      </c>
      <c r="AH575" s="84" t="n">
        <v>0</v>
      </c>
      <c r="AI575" s="84" t="n">
        <v>0</v>
      </c>
      <c r="AJ575" s="84">
        <f>SUMIFS(AH$8:AH$1039,$O$8:$O$1039,O575,$AB$8:$AB$1039,AB575,$R$8:$R$1039,R575,$AA$8:$AA$1039,"&lt;="&amp;AA575)</f>
        <v/>
      </c>
      <c r="AK575" s="84">
        <f>C61</f>
        <v/>
      </c>
      <c r="AL575" s="84">
        <f>C67</f>
        <v/>
      </c>
      <c r="AM575" s="84">
        <f>MAX(0,AJ575-AK575)</f>
        <v/>
      </c>
      <c r="AN575" s="84">
        <f>IF(AM575=0,AH575,IF(AM575&gt;=AH575,0,AH575-AM575))</f>
        <v/>
      </c>
      <c r="AO575" s="84">
        <f>IF(AM575&gt;=AH575,AI575,AI575*AM575/AH575)</f>
        <v/>
      </c>
      <c r="AP575">
        <f t="array" ref="AP575">INDEX($AU$8:$BB$25,6*(R575-1)+MATCH(AB575,$AS$8:$AS$13,0),MATCH(O575,$AU$7:$BB$7,0))</f>
        <v/>
      </c>
    </row>
    <row r="576" ht="14.25" customHeight="1">
      <c r="O576" s="43" t="inlineStr">
        <is>
          <t>Q1’27</t>
        </is>
      </c>
      <c r="P576" s="43" t="n">
        <v>2</v>
      </c>
      <c r="Q576" s="43" t="n">
        <v>7</v>
      </c>
      <c r="R576" s="43" t="n">
        <v>2</v>
      </c>
      <c r="S576" s="45" t="n">
        <v>2230.189321975416</v>
      </c>
      <c r="T576">
        <f>(S575+S576+S577)=R3</f>
        <v/>
      </c>
      <c r="X576" s="84">
        <f>MAX(S573-S576,0)</f>
        <v/>
      </c>
      <c r="Y576" s="83" t="n">
        <v>0</v>
      </c>
      <c r="AA576" s="84" t="n">
        <v>4</v>
      </c>
      <c r="AB576" s="84" t="inlineStr">
        <is>
          <t>F</t>
        </is>
      </c>
      <c r="AC576" s="84" t="inlineStr">
        <is>
          <t>F+</t>
        </is>
      </c>
      <c r="AD576" s="84" t="n">
        <v>17</v>
      </c>
      <c r="AE576" s="84" t="n">
        <v>15</v>
      </c>
      <c r="AF576" s="84" t="n">
        <v>0.8</v>
      </c>
      <c r="AG576" s="84" t="n">
        <v>0.9</v>
      </c>
      <c r="AH576" s="84" t="n">
        <v>0</v>
      </c>
      <c r="AI576" s="84" t="n">
        <v>0</v>
      </c>
      <c r="AJ576" s="84">
        <f>SUMIFS(AH$8:AH$1039,$O$8:$O$1039,O576,$AB$8:$AB$1039,AB576,$R$8:$R$1039,R576,$AA$8:$AA$1039,"&lt;="&amp;AA576)</f>
        <v/>
      </c>
      <c r="AK576" s="84">
        <f>D61</f>
        <v/>
      </c>
      <c r="AL576" s="84">
        <f>D67</f>
        <v/>
      </c>
      <c r="AM576" s="84">
        <f>MAX(0,AJ576-AK576)</f>
        <v/>
      </c>
      <c r="AN576" s="84">
        <f>IF(AM576=0,AH576,IF(AM576&gt;=AH576,0,AH576-AM576))</f>
        <v/>
      </c>
      <c r="AO576" s="84">
        <f>IF(AM576&gt;=AH576,AI576,AI576*AM576/AH576)</f>
        <v/>
      </c>
      <c r="AP576">
        <f t="array" ref="AP576">INDEX($AU$8:$BB$25,6*(R576-1)+MATCH(AB576,$AS$8:$AS$13,0),MATCH(O576,$AU$7:$BB$7,0))</f>
        <v/>
      </c>
    </row>
    <row r="577" ht="14.25" customHeight="1">
      <c r="O577" s="43" t="inlineStr">
        <is>
          <t>Q1’27</t>
        </is>
      </c>
      <c r="P577" s="43" t="n">
        <v>2</v>
      </c>
      <c r="Q577" s="43" t="n">
        <v>7</v>
      </c>
      <c r="R577" s="43" t="n">
        <v>3</v>
      </c>
      <c r="S577" s="45" t="n">
        <v>0</v>
      </c>
      <c r="T577">
        <f>(S575+S576+S577)=R3</f>
        <v/>
      </c>
      <c r="X577" s="84">
        <f>MAX(S574-S577,0)</f>
        <v/>
      </c>
      <c r="Y577" s="83" t="n">
        <v>0</v>
      </c>
      <c r="AA577" s="84" t="n">
        <v>4</v>
      </c>
      <c r="AB577" s="84" t="inlineStr">
        <is>
          <t>F</t>
        </is>
      </c>
      <c r="AC577" s="84" t="inlineStr">
        <is>
          <t>F+</t>
        </is>
      </c>
      <c r="AD577" s="84" t="n">
        <v>17</v>
      </c>
      <c r="AE577" s="84" t="n">
        <v>15</v>
      </c>
      <c r="AF577" s="84" t="n">
        <v>0.8</v>
      </c>
      <c r="AG577" s="84" t="n">
        <v>0.9</v>
      </c>
      <c r="AH577" s="84" t="n">
        <v>0</v>
      </c>
      <c r="AI577" s="84" t="n">
        <v>0</v>
      </c>
      <c r="AJ577" s="84">
        <f>SUMIFS(AH$8:AH$1039,$O$8:$O$1039,O577,$AB$8:$AB$1039,AB577,$R$8:$R$1039,R577,$AA$8:$AA$1039,"&lt;="&amp;AA577)</f>
        <v/>
      </c>
      <c r="AK577" s="84">
        <f>E61</f>
        <v/>
      </c>
      <c r="AL577" s="84">
        <f>E67</f>
        <v/>
      </c>
      <c r="AM577" s="84">
        <f>MAX(0,AJ577-AK577)</f>
        <v/>
      </c>
      <c r="AN577" s="84">
        <f>IF(AM577=0,AH577,IF(AM577&gt;=AH577,0,AH577-AM577))</f>
        <v/>
      </c>
      <c r="AO577" s="84">
        <f>IF(AM577&gt;=AH577,AI577,AI577*AM577/AH577)</f>
        <v/>
      </c>
      <c r="AP577">
        <f t="array" ref="AP577">INDEX($AU$8:$BB$25,6*(R577-1)+MATCH(AB577,$AS$8:$AS$13,0),MATCH(O577,$AU$7:$BB$7,0))</f>
        <v/>
      </c>
    </row>
    <row r="578" ht="14.25" customHeight="1">
      <c r="O578" s="43" t="inlineStr">
        <is>
          <t>Q1’27</t>
        </is>
      </c>
      <c r="P578" s="43" t="n">
        <v>2</v>
      </c>
      <c r="Q578" s="43" t="n">
        <v>8</v>
      </c>
      <c r="R578" s="43" t="n">
        <v>1</v>
      </c>
      <c r="S578" s="45" t="n">
        <v>3769.810678024584</v>
      </c>
      <c r="T578">
        <f>(S578+S579+S580)=R3</f>
        <v/>
      </c>
      <c r="X578" s="84">
        <f>MAX(S575-S578,0)</f>
        <v/>
      </c>
      <c r="Y578" s="83" t="n">
        <v>0</v>
      </c>
      <c r="AA578" s="84" t="n">
        <v>4</v>
      </c>
      <c r="AB578" s="84" t="inlineStr">
        <is>
          <t>B</t>
        </is>
      </c>
      <c r="AC578" s="84" t="inlineStr">
        <is>
          <t>B+</t>
        </is>
      </c>
      <c r="AD578" s="84" t="n">
        <v>22</v>
      </c>
      <c r="AE578" s="84" t="n">
        <v>16</v>
      </c>
      <c r="AF578" s="84" t="n">
        <v>0.76</v>
      </c>
      <c r="AG578" s="84" t="n">
        <v>0.8100000000000001</v>
      </c>
      <c r="AH578" s="84" t="n">
        <v>0</v>
      </c>
      <c r="AI578" s="84" t="n">
        <v>0</v>
      </c>
      <c r="AJ578" s="84">
        <f>SUMIFS(AH$8:AH$1039,$O$8:$O$1039,O578,$AB$8:$AB$1039,AB578,$R$8:$R$1039,R578,$AA$8:$AA$1039,"&lt;="&amp;AA578)</f>
        <v/>
      </c>
      <c r="AK578" s="84">
        <f>C57</f>
        <v/>
      </c>
      <c r="AL578" s="84">
        <f>C63</f>
        <v/>
      </c>
      <c r="AM578" s="84">
        <f>MAX(0,AJ578-AK578)</f>
        <v/>
      </c>
      <c r="AN578" s="84">
        <f>IF(AM578=0,AH578,IF(AM578&gt;=AH578,0,AH578-AM578))</f>
        <v/>
      </c>
      <c r="AO578" s="84">
        <f>IF(AM578&gt;=AH578,AI578,AI578*AM578/AH578)</f>
        <v/>
      </c>
      <c r="AP578">
        <f t="array" ref="AP578">INDEX($AU$8:$BB$25,6*(R578-1)+MATCH(AB578,$AS$8:$AS$13,0),MATCH(O578,$AU$7:$BB$7,0))</f>
        <v/>
      </c>
    </row>
    <row r="579" ht="14.25" customHeight="1">
      <c r="O579" s="43" t="inlineStr">
        <is>
          <t>Q1’27</t>
        </is>
      </c>
      <c r="P579" s="43" t="n">
        <v>2</v>
      </c>
      <c r="Q579" s="43" t="n">
        <v>8</v>
      </c>
      <c r="R579" s="43" t="n">
        <v>2</v>
      </c>
      <c r="S579" s="45" t="n">
        <v>2230.189321975416</v>
      </c>
      <c r="T579">
        <f>(S578+S579+S580)=R3</f>
        <v/>
      </c>
      <c r="X579" s="84">
        <f>MAX(S576-S579,0)</f>
        <v/>
      </c>
      <c r="Y579" s="83" t="n">
        <v>0</v>
      </c>
      <c r="AA579" s="84" t="n">
        <v>4</v>
      </c>
      <c r="AB579" s="84" t="inlineStr">
        <is>
          <t>B</t>
        </is>
      </c>
      <c r="AC579" s="84" t="inlineStr">
        <is>
          <t>B+</t>
        </is>
      </c>
      <c r="AD579" s="84" t="n">
        <v>22</v>
      </c>
      <c r="AE579" s="84" t="n">
        <v>16</v>
      </c>
      <c r="AF579" s="84" t="n">
        <v>0.76</v>
      </c>
      <c r="AG579" s="84" t="n">
        <v>0.8100000000000001</v>
      </c>
      <c r="AH579" s="84" t="n">
        <v>0</v>
      </c>
      <c r="AI579" s="84" t="n">
        <v>0</v>
      </c>
      <c r="AJ579" s="84">
        <f>SUMIFS(AH$8:AH$1039,$O$8:$O$1039,O579,$AB$8:$AB$1039,AB579,$R$8:$R$1039,R579,$AA$8:$AA$1039,"&lt;="&amp;AA579)</f>
        <v/>
      </c>
      <c r="AK579" s="84">
        <f>D57</f>
        <v/>
      </c>
      <c r="AL579" s="84">
        <f>D63</f>
        <v/>
      </c>
      <c r="AM579" s="84">
        <f>MAX(0,AJ579-AK579)</f>
        <v/>
      </c>
      <c r="AN579" s="84">
        <f>IF(AM579=0,AH579,IF(AM579&gt;=AH579,0,AH579-AM579))</f>
        <v/>
      </c>
      <c r="AO579" s="84">
        <f>IF(AM579&gt;=AH579,AI579,AI579*AM579/AH579)</f>
        <v/>
      </c>
      <c r="AP579">
        <f t="array" ref="AP579">INDEX($AU$8:$BB$25,6*(R579-1)+MATCH(AB579,$AS$8:$AS$13,0),MATCH(O579,$AU$7:$BB$7,0))</f>
        <v/>
      </c>
    </row>
    <row r="580" ht="14.25" customHeight="1">
      <c r="O580" s="43" t="inlineStr">
        <is>
          <t>Q1’27</t>
        </is>
      </c>
      <c r="P580" s="43" t="n">
        <v>2</v>
      </c>
      <c r="Q580" s="43" t="n">
        <v>8</v>
      </c>
      <c r="R580" s="43" t="n">
        <v>3</v>
      </c>
      <c r="S580" s="45" t="n">
        <v>0</v>
      </c>
      <c r="T580">
        <f>(S578+S579+S580)=R3</f>
        <v/>
      </c>
      <c r="X580" s="84">
        <f>MAX(S577-S580,0)</f>
        <v/>
      </c>
      <c r="Y580" s="83" t="n">
        <v>0</v>
      </c>
      <c r="AA580" s="84" t="n">
        <v>4</v>
      </c>
      <c r="AB580" s="84" t="inlineStr">
        <is>
          <t>B</t>
        </is>
      </c>
      <c r="AC580" s="84" t="inlineStr">
        <is>
          <t>B+</t>
        </is>
      </c>
      <c r="AD580" s="84" t="n">
        <v>22</v>
      </c>
      <c r="AE580" s="84" t="n">
        <v>16</v>
      </c>
      <c r="AF580" s="84" t="n">
        <v>0.76</v>
      </c>
      <c r="AG580" s="84" t="n">
        <v>0.8100000000000001</v>
      </c>
      <c r="AH580" s="84" t="n">
        <v>0</v>
      </c>
      <c r="AI580" s="84" t="n">
        <v>0</v>
      </c>
      <c r="AJ580" s="84">
        <f>SUMIFS(AH$8:AH$1039,$O$8:$O$1039,O580,$AB$8:$AB$1039,AB580,$R$8:$R$1039,R580,$AA$8:$AA$1039,"&lt;="&amp;AA580)</f>
        <v/>
      </c>
      <c r="AK580" s="84">
        <f>E57</f>
        <v/>
      </c>
      <c r="AL580" s="84">
        <f>E63</f>
        <v/>
      </c>
      <c r="AM580" s="84">
        <f>MAX(0,AJ580-AK580)</f>
        <v/>
      </c>
      <c r="AN580" s="84">
        <f>IF(AM580=0,AH580,IF(AM580&gt;=AH580,0,AH580-AM580))</f>
        <v/>
      </c>
      <c r="AO580" s="84">
        <f>IF(AM580&gt;=AH580,AI580,AI580*AM580/AH580)</f>
        <v/>
      </c>
      <c r="AP580">
        <f t="array" ref="AP580">INDEX($AU$8:$BB$25,6*(R580-1)+MATCH(AB580,$AS$8:$AS$13,0),MATCH(O580,$AU$7:$BB$7,0))</f>
        <v/>
      </c>
    </row>
    <row r="581" ht="14.25" customHeight="1">
      <c r="O581" s="43" t="inlineStr">
        <is>
          <t>Q1’27</t>
        </is>
      </c>
      <c r="P581" s="43" t="n">
        <v>2</v>
      </c>
      <c r="Q581" s="43" t="n">
        <v>9</v>
      </c>
      <c r="R581" s="43" t="n">
        <v>1</v>
      </c>
      <c r="S581" s="45" t="n">
        <v>3769.810678024584</v>
      </c>
      <c r="T581">
        <f>(S581+S582+S583)=R3</f>
        <v/>
      </c>
      <c r="X581" s="84">
        <f>MAX(S578-S581,0)</f>
        <v/>
      </c>
      <c r="Y581" s="83" t="n">
        <v>0</v>
      </c>
      <c r="AA581" s="84" t="n">
        <v>4</v>
      </c>
      <c r="AB581" s="84" t="inlineStr">
        <is>
          <t>E</t>
        </is>
      </c>
      <c r="AC581" s="84" t="inlineStr">
        <is>
          <t>E+</t>
        </is>
      </c>
      <c r="AD581" s="84" t="n">
        <v>7</v>
      </c>
      <c r="AE581" s="84" t="n">
        <v>6</v>
      </c>
      <c r="AF581" s="84" t="n">
        <v>0.76</v>
      </c>
      <c r="AG581" s="84" t="n">
        <v>0.84</v>
      </c>
      <c r="AH581" s="84" t="n">
        <v>0</v>
      </c>
      <c r="AI581" s="84" t="n">
        <v>0</v>
      </c>
      <c r="AJ581" s="84">
        <f>SUMIFS(AH$8:AH$1039,$O$8:$O$1039,O581,$AB$8:$AB$1039,AB581,$R$8:$R$1039,R581,$AA$8:$AA$1039,"&lt;="&amp;AA581)</f>
        <v/>
      </c>
      <c r="AK581" s="84">
        <f>C60</f>
        <v/>
      </c>
      <c r="AL581" s="84">
        <f>C66</f>
        <v/>
      </c>
      <c r="AM581" s="84">
        <f>MAX(0,AJ581-AK581)</f>
        <v/>
      </c>
      <c r="AN581" s="84">
        <f>IF(AM581=0,AH581,IF(AM581&gt;=AH581,0,AH581-AM581))</f>
        <v/>
      </c>
      <c r="AO581" s="84">
        <f>IF(AM581&gt;=AH581,AI581,AI581*AM581/AH581)</f>
        <v/>
      </c>
      <c r="AP581">
        <f t="array" ref="AP581">INDEX($AU$8:$BB$25,6*(R581-1)+MATCH(AB581,$AS$8:$AS$13,0),MATCH(O581,$AU$7:$BB$7,0))</f>
        <v/>
      </c>
    </row>
    <row r="582" ht="14.25" customHeight="1">
      <c r="O582" s="43" t="inlineStr">
        <is>
          <t>Q1’27</t>
        </is>
      </c>
      <c r="P582" s="43" t="n">
        <v>2</v>
      </c>
      <c r="Q582" s="43" t="n">
        <v>9</v>
      </c>
      <c r="R582" s="43" t="n">
        <v>2</v>
      </c>
      <c r="S582" s="45" t="n">
        <v>2110.774323409209</v>
      </c>
      <c r="T582">
        <f>(S581+S582+S583)=R3</f>
        <v/>
      </c>
      <c r="X582" s="84">
        <f>MAX(S579-S582,0)</f>
        <v/>
      </c>
      <c r="Y582" s="83" t="n">
        <v>0</v>
      </c>
      <c r="AA582" s="84" t="n">
        <v>4</v>
      </c>
      <c r="AB582" s="84" t="inlineStr">
        <is>
          <t>E</t>
        </is>
      </c>
      <c r="AC582" s="84" t="inlineStr">
        <is>
          <t>E+</t>
        </is>
      </c>
      <c r="AD582" s="84" t="n">
        <v>7</v>
      </c>
      <c r="AE582" s="84" t="n">
        <v>6</v>
      </c>
      <c r="AF582" s="84" t="n">
        <v>0.76</v>
      </c>
      <c r="AG582" s="84" t="n">
        <v>0.84</v>
      </c>
      <c r="AH582" s="84" t="n">
        <v>0</v>
      </c>
      <c r="AI582" s="84" t="n">
        <v>0</v>
      </c>
      <c r="AJ582" s="84">
        <f>SUMIFS(AH$8:AH$1039,$O$8:$O$1039,O582,$AB$8:$AB$1039,AB582,$R$8:$R$1039,R582,$AA$8:$AA$1039,"&lt;="&amp;AA582)</f>
        <v/>
      </c>
      <c r="AK582" s="84">
        <f>D60</f>
        <v/>
      </c>
      <c r="AL582" s="84">
        <f>D66</f>
        <v/>
      </c>
      <c r="AM582" s="84">
        <f>MAX(0,AJ582-AK582)</f>
        <v/>
      </c>
      <c r="AN582" s="84">
        <f>IF(AM582=0,AH582,IF(AM582&gt;=AH582,0,AH582-AM582))</f>
        <v/>
      </c>
      <c r="AO582" s="84">
        <f>IF(AM582&gt;=AH582,AI582,AI582*AM582/AH582)</f>
        <v/>
      </c>
      <c r="AP582">
        <f t="array" ref="AP582">INDEX($AU$8:$BB$25,6*(R582-1)+MATCH(AB582,$AS$8:$AS$13,0),MATCH(O582,$AU$7:$BB$7,0))</f>
        <v/>
      </c>
    </row>
    <row r="583" ht="14.25" customHeight="1">
      <c r="O583" s="43" t="inlineStr">
        <is>
          <t>Q1’27</t>
        </is>
      </c>
      <c r="P583" s="43" t="n">
        <v>2</v>
      </c>
      <c r="Q583" s="43" t="n">
        <v>9</v>
      </c>
      <c r="R583" s="43" t="n">
        <v>3</v>
      </c>
      <c r="S583" s="45" t="n">
        <v>119.414998566207</v>
      </c>
      <c r="T583">
        <f>(S581+S582+S583)=R3</f>
        <v/>
      </c>
      <c r="X583" s="84">
        <f>MAX(S580-S583,0)</f>
        <v/>
      </c>
      <c r="Y583" s="83" t="n">
        <v>0</v>
      </c>
      <c r="AA583" s="84" t="n">
        <v>4</v>
      </c>
      <c r="AB583" s="84" t="inlineStr">
        <is>
          <t>E</t>
        </is>
      </c>
      <c r="AC583" s="84" t="inlineStr">
        <is>
          <t>E+</t>
        </is>
      </c>
      <c r="AD583" s="84" t="n">
        <v>7</v>
      </c>
      <c r="AE583" s="84" t="n">
        <v>6</v>
      </c>
      <c r="AF583" s="84" t="n">
        <v>0.76</v>
      </c>
      <c r="AG583" s="84" t="n">
        <v>0.84</v>
      </c>
      <c r="AH583" s="84" t="n">
        <v>0</v>
      </c>
      <c r="AI583" s="84" t="n">
        <v>0</v>
      </c>
      <c r="AJ583" s="84">
        <f>SUMIFS(AH$8:AH$1039,$O$8:$O$1039,O583,$AB$8:$AB$1039,AB583,$R$8:$R$1039,R583,$AA$8:$AA$1039,"&lt;="&amp;AA583)</f>
        <v/>
      </c>
      <c r="AK583" s="84">
        <f>E60</f>
        <v/>
      </c>
      <c r="AL583" s="84">
        <f>E66</f>
        <v/>
      </c>
      <c r="AM583" s="84">
        <f>MAX(0,AJ583-AK583)</f>
        <v/>
      </c>
      <c r="AN583" s="84">
        <f>IF(AM583=0,AH583,IF(AM583&gt;=AH583,0,AH583-AM583))</f>
        <v/>
      </c>
      <c r="AO583" s="84">
        <f>IF(AM583&gt;=AH583,AI583,AI583*AM583/AH583)</f>
        <v/>
      </c>
      <c r="AP583">
        <f t="array" ref="AP583">INDEX($AU$8:$BB$25,6*(R583-1)+MATCH(AB583,$AS$8:$AS$13,0),MATCH(O583,$AU$7:$BB$7,0))</f>
        <v/>
      </c>
    </row>
    <row r="584" ht="14.25" customHeight="1">
      <c r="O584" s="43" t="inlineStr">
        <is>
          <t>Q1’27</t>
        </is>
      </c>
      <c r="P584" s="43" t="n">
        <v>2</v>
      </c>
      <c r="Q584" s="43" t="n">
        <v>10</v>
      </c>
      <c r="R584" s="43" t="n">
        <v>1</v>
      </c>
      <c r="S584" s="45" t="n">
        <v>3769.810678024584</v>
      </c>
      <c r="T584">
        <f>(S584+S585+S586)=R3</f>
        <v/>
      </c>
      <c r="X584" s="84">
        <f>MAX(S581-S584,0)</f>
        <v/>
      </c>
      <c r="Y584" s="83" t="n">
        <v>0</v>
      </c>
      <c r="AA584" s="84" t="n">
        <v>6</v>
      </c>
      <c r="AB584" s="84" t="inlineStr">
        <is>
          <t>E</t>
        </is>
      </c>
      <c r="AC584" s="84" t="inlineStr">
        <is>
          <t>E+</t>
        </is>
      </c>
      <c r="AD584" s="84" t="n">
        <v>9</v>
      </c>
      <c r="AE584" s="84" t="n">
        <v>7</v>
      </c>
      <c r="AF584" s="84" t="n">
        <v>0.76</v>
      </c>
      <c r="AG584" s="84" t="n">
        <v>0.84</v>
      </c>
      <c r="AH584" s="84" t="n">
        <v>0</v>
      </c>
      <c r="AI584" s="84" t="n">
        <v>0</v>
      </c>
      <c r="AJ584" s="84">
        <f>SUMIFS(AH$8:AH$1039,$O$8:$O$1039,O584,$AB$8:$AB$1039,AB584,$R$8:$R$1039,R584,$AA$8:$AA$1039,"&lt;="&amp;AA584)</f>
        <v/>
      </c>
      <c r="AK584" s="84">
        <f>C60</f>
        <v/>
      </c>
      <c r="AL584" s="84">
        <f>C66</f>
        <v/>
      </c>
      <c r="AM584" s="84">
        <f>MAX(0,AJ584-AK584)</f>
        <v/>
      </c>
      <c r="AN584" s="84">
        <f>IF(AM584=0,AH584,IF(AM584&gt;=AH584,0,AH584-AM584))</f>
        <v/>
      </c>
      <c r="AO584" s="84">
        <f>IF(AM584&gt;=AH584,AI584,AI584*AM584/AH584)</f>
        <v/>
      </c>
      <c r="AP584">
        <f t="array" ref="AP584">INDEX($AU$8:$BB$25,6*(R584-1)+MATCH(AB584,$AS$8:$AS$13,0),MATCH(O584,$AU$7:$BB$7,0))</f>
        <v/>
      </c>
    </row>
    <row r="585" ht="14.25" customHeight="1">
      <c r="O585" s="43" t="inlineStr">
        <is>
          <t>Q1’27</t>
        </is>
      </c>
      <c r="P585" s="43" t="n">
        <v>2</v>
      </c>
      <c r="Q585" s="43" t="n">
        <v>10</v>
      </c>
      <c r="R585" s="43" t="n">
        <v>2</v>
      </c>
      <c r="S585" s="45" t="n">
        <v>2110.774323409209</v>
      </c>
      <c r="T585">
        <f>(S584+S585+S586)=R3</f>
        <v/>
      </c>
      <c r="X585" s="84">
        <f>MAX(S582-S585,0)</f>
        <v/>
      </c>
      <c r="Y585" s="83" t="n">
        <v>0</v>
      </c>
      <c r="AA585" s="84" t="n">
        <v>6</v>
      </c>
      <c r="AB585" s="84" t="inlineStr">
        <is>
          <t>E</t>
        </is>
      </c>
      <c r="AC585" s="84" t="inlineStr">
        <is>
          <t>E+</t>
        </is>
      </c>
      <c r="AD585" s="84" t="n">
        <v>9</v>
      </c>
      <c r="AE585" s="84" t="n">
        <v>7</v>
      </c>
      <c r="AF585" s="84" t="n">
        <v>0.76</v>
      </c>
      <c r="AG585" s="84" t="n">
        <v>0.84</v>
      </c>
      <c r="AH585" s="84" t="n">
        <v>0</v>
      </c>
      <c r="AI585" s="84" t="n">
        <v>0</v>
      </c>
      <c r="AJ585" s="84">
        <f>SUMIFS(AH$8:AH$1039,$O$8:$O$1039,O585,$AB$8:$AB$1039,AB585,$R$8:$R$1039,R585,$AA$8:$AA$1039,"&lt;="&amp;AA585)</f>
        <v/>
      </c>
      <c r="AK585" s="84">
        <f>D60</f>
        <v/>
      </c>
      <c r="AL585" s="84">
        <f>D66</f>
        <v/>
      </c>
      <c r="AM585" s="84">
        <f>MAX(0,AJ585-AK585)</f>
        <v/>
      </c>
      <c r="AN585" s="84">
        <f>IF(AM585=0,AH585,IF(AM585&gt;=AH585,0,AH585-AM585))</f>
        <v/>
      </c>
      <c r="AO585" s="84">
        <f>IF(AM585&gt;=AH585,AI585,AI585*AM585/AH585)</f>
        <v/>
      </c>
      <c r="AP585">
        <f t="array" ref="AP585">INDEX($AU$8:$BB$25,6*(R585-1)+MATCH(AB585,$AS$8:$AS$13,0),MATCH(O585,$AU$7:$BB$7,0))</f>
        <v/>
      </c>
    </row>
    <row r="586" ht="14.25" customHeight="1">
      <c r="O586" s="43" t="inlineStr">
        <is>
          <t>Q1’27</t>
        </is>
      </c>
      <c r="P586" s="43" t="n">
        <v>2</v>
      </c>
      <c r="Q586" s="43" t="n">
        <v>10</v>
      </c>
      <c r="R586" s="43" t="n">
        <v>3</v>
      </c>
      <c r="S586" s="45" t="n">
        <v>119.414998566207</v>
      </c>
      <c r="T586">
        <f>(S584+S585+S586)=R3</f>
        <v/>
      </c>
      <c r="X586" s="84">
        <f>MAX(S583-S586,0)</f>
        <v/>
      </c>
      <c r="Y586" s="83" t="n">
        <v>0</v>
      </c>
      <c r="AA586" s="84" t="n">
        <v>6</v>
      </c>
      <c r="AB586" s="84" t="inlineStr">
        <is>
          <t>E</t>
        </is>
      </c>
      <c r="AC586" s="84" t="inlineStr">
        <is>
          <t>E+</t>
        </is>
      </c>
      <c r="AD586" s="84" t="n">
        <v>9</v>
      </c>
      <c r="AE586" s="84" t="n">
        <v>7</v>
      </c>
      <c r="AF586" s="84" t="n">
        <v>0.76</v>
      </c>
      <c r="AG586" s="84" t="n">
        <v>0.84</v>
      </c>
      <c r="AH586" s="84" t="n">
        <v>0</v>
      </c>
      <c r="AI586" s="84" t="n">
        <v>0</v>
      </c>
      <c r="AJ586" s="84">
        <f>SUMIFS(AH$8:AH$1039,$O$8:$O$1039,O586,$AB$8:$AB$1039,AB586,$R$8:$R$1039,R586,$AA$8:$AA$1039,"&lt;="&amp;AA586)</f>
        <v/>
      </c>
      <c r="AK586" s="84">
        <f>E60</f>
        <v/>
      </c>
      <c r="AL586" s="84">
        <f>E66</f>
        <v/>
      </c>
      <c r="AM586" s="84">
        <f>MAX(0,AJ586-AK586)</f>
        <v/>
      </c>
      <c r="AN586" s="84">
        <f>IF(AM586=0,AH586,IF(AM586&gt;=AH586,0,AH586-AM586))</f>
        <v/>
      </c>
      <c r="AO586" s="84">
        <f>IF(AM586&gt;=AH586,AI586,AI586*AM586/AH586)</f>
        <v/>
      </c>
      <c r="AP586">
        <f t="array" ref="AP586">INDEX($AU$8:$BB$25,6*(R586-1)+MATCH(AB586,$AS$8:$AS$13,0),MATCH(O586,$AU$7:$BB$7,0))</f>
        <v/>
      </c>
    </row>
    <row r="587" ht="14.25" customHeight="1">
      <c r="O587" s="43" t="inlineStr">
        <is>
          <t>Q1’27</t>
        </is>
      </c>
      <c r="P587" s="43" t="n">
        <v>2</v>
      </c>
      <c r="Q587" s="43" t="n">
        <v>11</v>
      </c>
      <c r="R587" s="43" t="n">
        <v>1</v>
      </c>
      <c r="S587" s="45" t="n">
        <v>3769.810678024584</v>
      </c>
      <c r="T587">
        <f>(S587+S588+S589)=R3</f>
        <v/>
      </c>
      <c r="X587" s="84">
        <f>MAX(S584-S587,0)</f>
        <v/>
      </c>
      <c r="Y587" s="83" t="n">
        <v>0</v>
      </c>
      <c r="AA587" s="84" t="n">
        <v>2</v>
      </c>
      <c r="AB587" s="84" t="inlineStr">
        <is>
          <t>E</t>
        </is>
      </c>
      <c r="AC587" s="84" t="inlineStr">
        <is>
          <t>E+</t>
        </is>
      </c>
      <c r="AD587" s="84" t="n">
        <v>20</v>
      </c>
      <c r="AE587" s="84" t="n">
        <v>19</v>
      </c>
      <c r="AF587" s="84" t="n">
        <v>0.76</v>
      </c>
      <c r="AG587" s="84" t="n">
        <v>0.84</v>
      </c>
      <c r="AH587" s="84" t="n">
        <v>0</v>
      </c>
      <c r="AI587" s="84" t="n">
        <v>0</v>
      </c>
      <c r="AJ587" s="84">
        <f>SUMIFS(AH$8:AH$1039,$O$8:$O$1039,O587,$AB$8:$AB$1039,AB587,$R$8:$R$1039,R587,$AA$8:$AA$1039,"&lt;="&amp;AA587)</f>
        <v/>
      </c>
      <c r="AK587" s="84">
        <f>C60</f>
        <v/>
      </c>
      <c r="AL587" s="84">
        <f>C66</f>
        <v/>
      </c>
      <c r="AM587" s="84">
        <f>MAX(0,AJ587-AK587)</f>
        <v/>
      </c>
      <c r="AN587" s="84">
        <f>IF(AM587=0,AH587,IF(AM587&gt;=AH587,0,AH587-AM587))</f>
        <v/>
      </c>
      <c r="AO587" s="84">
        <f>IF(AM587&gt;=AH587,AI587,AI587*AM587/AH587)</f>
        <v/>
      </c>
      <c r="AP587">
        <f t="array" ref="AP587">INDEX($AU$8:$BB$25,6*(R587-1)+MATCH(AB587,$AS$8:$AS$13,0),MATCH(O587,$AU$7:$BB$7,0))</f>
        <v/>
      </c>
    </row>
    <row r="588" ht="14.25" customHeight="1">
      <c r="O588" s="43" t="inlineStr">
        <is>
          <t>Q1’27</t>
        </is>
      </c>
      <c r="P588" s="43" t="n">
        <v>2</v>
      </c>
      <c r="Q588" s="43" t="n">
        <v>11</v>
      </c>
      <c r="R588" s="43" t="n">
        <v>2</v>
      </c>
      <c r="S588" s="45" t="n">
        <v>2110.774323409209</v>
      </c>
      <c r="T588">
        <f>(S587+S588+S589)=R3</f>
        <v/>
      </c>
      <c r="X588" s="84">
        <f>MAX(S585-S588,0)</f>
        <v/>
      </c>
      <c r="Y588" s="83" t="n">
        <v>0</v>
      </c>
      <c r="AA588" s="84" t="n">
        <v>2</v>
      </c>
      <c r="AB588" s="84" t="inlineStr">
        <is>
          <t>E</t>
        </is>
      </c>
      <c r="AC588" s="84" t="inlineStr">
        <is>
          <t>E+</t>
        </is>
      </c>
      <c r="AD588" s="84" t="n">
        <v>20</v>
      </c>
      <c r="AE588" s="84" t="n">
        <v>19</v>
      </c>
      <c r="AF588" s="84" t="n">
        <v>0.76</v>
      </c>
      <c r="AG588" s="84" t="n">
        <v>0.84</v>
      </c>
      <c r="AH588" s="84" t="n">
        <v>0</v>
      </c>
      <c r="AI588" s="84" t="n">
        <v>0</v>
      </c>
      <c r="AJ588" s="84">
        <f>SUMIFS(AH$8:AH$1039,$O$8:$O$1039,O588,$AB$8:$AB$1039,AB588,$R$8:$R$1039,R588,$AA$8:$AA$1039,"&lt;="&amp;AA588)</f>
        <v/>
      </c>
      <c r="AK588" s="84">
        <f>D60</f>
        <v/>
      </c>
      <c r="AL588" s="84">
        <f>D66</f>
        <v/>
      </c>
      <c r="AM588" s="84">
        <f>MAX(0,AJ588-AK588)</f>
        <v/>
      </c>
      <c r="AN588" s="84">
        <f>IF(AM588=0,AH588,IF(AM588&gt;=AH588,0,AH588-AM588))</f>
        <v/>
      </c>
      <c r="AO588" s="84">
        <f>IF(AM588&gt;=AH588,AI588,AI588*AM588/AH588)</f>
        <v/>
      </c>
      <c r="AP588">
        <f t="array" ref="AP588">INDEX($AU$8:$BB$25,6*(R588-1)+MATCH(AB588,$AS$8:$AS$13,0),MATCH(O588,$AU$7:$BB$7,0))</f>
        <v/>
      </c>
    </row>
    <row r="589" ht="14.25" customHeight="1">
      <c r="O589" s="43" t="inlineStr">
        <is>
          <t>Q1’27</t>
        </is>
      </c>
      <c r="P589" s="43" t="n">
        <v>2</v>
      </c>
      <c r="Q589" s="43" t="n">
        <v>11</v>
      </c>
      <c r="R589" s="43" t="n">
        <v>3</v>
      </c>
      <c r="S589" s="45" t="n">
        <v>119.414998566207</v>
      </c>
      <c r="T589">
        <f>(S587+S588+S589)=R3</f>
        <v/>
      </c>
      <c r="X589" s="84">
        <f>MAX(S586-S589,0)</f>
        <v/>
      </c>
      <c r="Y589" s="83" t="n">
        <v>0</v>
      </c>
      <c r="AA589" s="84" t="n">
        <v>2</v>
      </c>
      <c r="AB589" s="84" t="inlineStr">
        <is>
          <t>E</t>
        </is>
      </c>
      <c r="AC589" s="84" t="inlineStr">
        <is>
          <t>E+</t>
        </is>
      </c>
      <c r="AD589" s="84" t="n">
        <v>20</v>
      </c>
      <c r="AE589" s="84" t="n">
        <v>19</v>
      </c>
      <c r="AF589" s="84" t="n">
        <v>0.76</v>
      </c>
      <c r="AG589" s="84" t="n">
        <v>0.84</v>
      </c>
      <c r="AH589" s="84" t="n">
        <v>0</v>
      </c>
      <c r="AI589" s="84" t="n">
        <v>0</v>
      </c>
      <c r="AJ589" s="84">
        <f>SUMIFS(AH$8:AH$1039,$O$8:$O$1039,O589,$AB$8:$AB$1039,AB589,$R$8:$R$1039,R589,$AA$8:$AA$1039,"&lt;="&amp;AA589)</f>
        <v/>
      </c>
      <c r="AK589" s="84">
        <f>E60</f>
        <v/>
      </c>
      <c r="AL589" s="84">
        <f>E66</f>
        <v/>
      </c>
      <c r="AM589" s="84">
        <f>MAX(0,AJ589-AK589)</f>
        <v/>
      </c>
      <c r="AN589" s="84">
        <f>IF(AM589=0,AH589,IF(AM589&gt;=AH589,0,AH589-AM589))</f>
        <v/>
      </c>
      <c r="AO589" s="84">
        <f>IF(AM589&gt;=AH589,AI589,AI589*AM589/AH589)</f>
        <v/>
      </c>
      <c r="AP589">
        <f t="array" ref="AP589">INDEX($AU$8:$BB$25,6*(R589-1)+MATCH(AB589,$AS$8:$AS$13,0),MATCH(O589,$AU$7:$BB$7,0))</f>
        <v/>
      </c>
    </row>
    <row r="590" ht="14.25" customHeight="1">
      <c r="O590" s="43" t="inlineStr">
        <is>
          <t>Q1’27</t>
        </is>
      </c>
      <c r="P590" s="43" t="n">
        <v>2</v>
      </c>
      <c r="Q590" s="43" t="n">
        <v>12</v>
      </c>
      <c r="R590" s="43" t="n">
        <v>1</v>
      </c>
      <c r="S590" s="45" t="n">
        <v>3769.810678024584</v>
      </c>
      <c r="T590">
        <f>(S590+S591+S592)=R3</f>
        <v/>
      </c>
      <c r="X590" s="84">
        <f>MAX(S587-S590,0)</f>
        <v/>
      </c>
      <c r="Y590" s="83" t="n">
        <v>0</v>
      </c>
      <c r="AA590" s="84" t="n">
        <v>7</v>
      </c>
      <c r="AB590" s="84" t="inlineStr">
        <is>
          <t>F</t>
        </is>
      </c>
      <c r="AC590" s="84" t="inlineStr">
        <is>
          <t>F+</t>
        </is>
      </c>
      <c r="AD590" s="84" t="n">
        <v>21</v>
      </c>
      <c r="AE590" s="84" t="n">
        <v>18</v>
      </c>
      <c r="AF590" s="84" t="n">
        <v>0.8</v>
      </c>
      <c r="AG590" s="84" t="n">
        <v>0.9</v>
      </c>
      <c r="AH590" s="84" t="n">
        <v>0</v>
      </c>
      <c r="AI590" s="84" t="n">
        <v>0</v>
      </c>
      <c r="AJ590" s="84">
        <f>SUMIFS(AH$8:AH$1039,$O$8:$O$1039,O590,$AB$8:$AB$1039,AB590,$R$8:$R$1039,R590,$AA$8:$AA$1039,"&lt;="&amp;AA590)</f>
        <v/>
      </c>
      <c r="AK590" s="84">
        <f>C61</f>
        <v/>
      </c>
      <c r="AL590" s="84">
        <f>C67</f>
        <v/>
      </c>
      <c r="AM590" s="84">
        <f>MAX(0,AJ590-AK590)</f>
        <v/>
      </c>
      <c r="AN590" s="84">
        <f>IF(AM590=0,AH590,IF(AM590&gt;=AH590,0,AH590-AM590))</f>
        <v/>
      </c>
      <c r="AO590" s="84">
        <f>IF(AM590&gt;=AH590,AI590,AI590*AM590/AH590)</f>
        <v/>
      </c>
      <c r="AP590">
        <f t="array" ref="AP590">INDEX($AU$8:$BB$25,6*(R590-1)+MATCH(AB590,$AS$8:$AS$13,0),MATCH(O590,$AU$7:$BB$7,0))</f>
        <v/>
      </c>
    </row>
    <row r="591" ht="14.25" customHeight="1">
      <c r="O591" s="43" t="inlineStr">
        <is>
          <t>Q1’27</t>
        </is>
      </c>
      <c r="P591" s="43" t="n">
        <v>2</v>
      </c>
      <c r="Q591" s="43" t="n">
        <v>12</v>
      </c>
      <c r="R591" s="43" t="n">
        <v>2</v>
      </c>
      <c r="S591" s="45" t="n">
        <v>2110.774323409209</v>
      </c>
      <c r="T591">
        <f>(S590+S591+S592)=R3</f>
        <v/>
      </c>
      <c r="X591" s="84">
        <f>MAX(S588-S591,0)</f>
        <v/>
      </c>
      <c r="Y591" s="83" t="n">
        <v>0</v>
      </c>
      <c r="AA591" s="84" t="n">
        <v>7</v>
      </c>
      <c r="AB591" s="84" t="inlineStr">
        <is>
          <t>F</t>
        </is>
      </c>
      <c r="AC591" s="84" t="inlineStr">
        <is>
          <t>F+</t>
        </is>
      </c>
      <c r="AD591" s="84" t="n">
        <v>21</v>
      </c>
      <c r="AE591" s="84" t="n">
        <v>18</v>
      </c>
      <c r="AF591" s="84" t="n">
        <v>0.8</v>
      </c>
      <c r="AG591" s="84" t="n">
        <v>0.9</v>
      </c>
      <c r="AH591" s="84" t="n">
        <v>0</v>
      </c>
      <c r="AI591" s="84" t="n">
        <v>0</v>
      </c>
      <c r="AJ591" s="84">
        <f>SUMIFS(AH$8:AH$1039,$O$8:$O$1039,O591,$AB$8:$AB$1039,AB591,$R$8:$R$1039,R591,$AA$8:$AA$1039,"&lt;="&amp;AA591)</f>
        <v/>
      </c>
      <c r="AK591" s="84">
        <f>D61</f>
        <v/>
      </c>
      <c r="AL591" s="84">
        <f>D67</f>
        <v/>
      </c>
      <c r="AM591" s="84">
        <f>MAX(0,AJ591-AK591)</f>
        <v/>
      </c>
      <c r="AN591" s="84">
        <f>IF(AM591=0,AH591,IF(AM591&gt;=AH591,0,AH591-AM591))</f>
        <v/>
      </c>
      <c r="AO591" s="84">
        <f>IF(AM591&gt;=AH591,AI591,AI591*AM591/AH591)</f>
        <v/>
      </c>
      <c r="AP591">
        <f t="array" ref="AP591">INDEX($AU$8:$BB$25,6*(R591-1)+MATCH(AB591,$AS$8:$AS$13,0),MATCH(O591,$AU$7:$BB$7,0))</f>
        <v/>
      </c>
    </row>
    <row r="592" ht="14.25" customHeight="1">
      <c r="O592" s="43" t="inlineStr">
        <is>
          <t>Q1’27</t>
        </is>
      </c>
      <c r="P592" s="43" t="n">
        <v>2</v>
      </c>
      <c r="Q592" s="43" t="n">
        <v>12</v>
      </c>
      <c r="R592" s="43" t="n">
        <v>3</v>
      </c>
      <c r="S592" s="45" t="n">
        <v>119.414998566207</v>
      </c>
      <c r="T592">
        <f>(S590+S591+S592)=R3</f>
        <v/>
      </c>
      <c r="X592" s="84">
        <f>MAX(S589-S592,0)</f>
        <v/>
      </c>
      <c r="Y592" s="83" t="n">
        <v>0</v>
      </c>
      <c r="AA592" s="84" t="n">
        <v>7</v>
      </c>
      <c r="AB592" s="84" t="inlineStr">
        <is>
          <t>F</t>
        </is>
      </c>
      <c r="AC592" s="84" t="inlineStr">
        <is>
          <t>F+</t>
        </is>
      </c>
      <c r="AD592" s="84" t="n">
        <v>21</v>
      </c>
      <c r="AE592" s="84" t="n">
        <v>18</v>
      </c>
      <c r="AF592" s="84" t="n">
        <v>0.8</v>
      </c>
      <c r="AG592" s="84" t="n">
        <v>0.9</v>
      </c>
      <c r="AH592" s="84" t="n">
        <v>0</v>
      </c>
      <c r="AI592" s="84" t="n">
        <v>0</v>
      </c>
      <c r="AJ592" s="84">
        <f>SUMIFS(AH$8:AH$1039,$O$8:$O$1039,O592,$AB$8:$AB$1039,AB592,$R$8:$R$1039,R592,$AA$8:$AA$1039,"&lt;="&amp;AA592)</f>
        <v/>
      </c>
      <c r="AK592" s="84">
        <f>E61</f>
        <v/>
      </c>
      <c r="AL592" s="84">
        <f>E67</f>
        <v/>
      </c>
      <c r="AM592" s="84">
        <f>MAX(0,AJ592-AK592)</f>
        <v/>
      </c>
      <c r="AN592" s="84">
        <f>IF(AM592=0,AH592,IF(AM592&gt;=AH592,0,AH592-AM592))</f>
        <v/>
      </c>
      <c r="AO592" s="84">
        <f>IF(AM592&gt;=AH592,AI592,AI592*AM592/AH592)</f>
        <v/>
      </c>
      <c r="AP592">
        <f t="array" ref="AP592">INDEX($AU$8:$BB$25,6*(R592-1)+MATCH(AB592,$AS$8:$AS$13,0),MATCH(O592,$AU$7:$BB$7,0))</f>
        <v/>
      </c>
    </row>
    <row r="593" ht="14.25" customHeight="1">
      <c r="O593" s="43" t="inlineStr">
        <is>
          <t>Q1’27</t>
        </is>
      </c>
      <c r="P593" s="43" t="n">
        <v>2</v>
      </c>
      <c r="Q593" s="43" t="n">
        <v>13</v>
      </c>
      <c r="R593" s="43" t="n">
        <v>1</v>
      </c>
      <c r="S593" s="45" t="n">
        <v>3769.810678024584</v>
      </c>
      <c r="T593">
        <f>(S593+S594+S595)=R3</f>
        <v/>
      </c>
      <c r="X593" s="84">
        <f>MAX(S590-S593,0)</f>
        <v/>
      </c>
      <c r="Y593" s="83" t="n">
        <v>0</v>
      </c>
      <c r="AA593" s="84" t="n">
        <v>8</v>
      </c>
      <c r="AB593" s="84" t="inlineStr">
        <is>
          <t>E</t>
        </is>
      </c>
      <c r="AC593" s="84" t="inlineStr">
        <is>
          <t>E+</t>
        </is>
      </c>
      <c r="AD593" s="84" t="n">
        <v>12</v>
      </c>
      <c r="AE593" s="84" t="n">
        <v>9</v>
      </c>
      <c r="AF593" s="84" t="n">
        <v>0.76</v>
      </c>
      <c r="AG593" s="84" t="n">
        <v>0.84</v>
      </c>
      <c r="AH593" s="84" t="n">
        <v>0</v>
      </c>
      <c r="AI593" s="84" t="n">
        <v>0</v>
      </c>
      <c r="AJ593" s="84">
        <f>SUMIFS(AH$8:AH$1039,$O$8:$O$1039,O593,$AB$8:$AB$1039,AB593,$R$8:$R$1039,R593,$AA$8:$AA$1039,"&lt;="&amp;AA593)</f>
        <v/>
      </c>
      <c r="AK593" s="84">
        <f>C60</f>
        <v/>
      </c>
      <c r="AL593" s="84">
        <f>C66</f>
        <v/>
      </c>
      <c r="AM593" s="84">
        <f>MAX(0,AJ593-AK593)</f>
        <v/>
      </c>
      <c r="AN593" s="84">
        <f>IF(AM593=0,AH593,IF(AM593&gt;=AH593,0,AH593-AM593))</f>
        <v/>
      </c>
      <c r="AO593" s="84">
        <f>IF(AM593&gt;=AH593,AI593,AI593*AM593/AH593)</f>
        <v/>
      </c>
      <c r="AP593">
        <f t="array" ref="AP593">INDEX($AU$8:$BB$25,6*(R593-1)+MATCH(AB593,$AS$8:$AS$13,0),MATCH(O593,$AU$7:$BB$7,0))</f>
        <v/>
      </c>
    </row>
    <row r="594" ht="14.25" customHeight="1">
      <c r="O594" s="43" t="inlineStr">
        <is>
          <t>Q1’27</t>
        </is>
      </c>
      <c r="P594" s="43" t="n">
        <v>2</v>
      </c>
      <c r="Q594" s="43" t="n">
        <v>13</v>
      </c>
      <c r="R594" s="43" t="n">
        <v>2</v>
      </c>
      <c r="S594" s="45" t="n">
        <v>2110.774323409209</v>
      </c>
      <c r="T594">
        <f>(S593+S594+S595)=R3</f>
        <v/>
      </c>
      <c r="X594" s="84">
        <f>MAX(S591-S594,0)</f>
        <v/>
      </c>
      <c r="Y594" s="83" t="n">
        <v>0</v>
      </c>
      <c r="AA594" s="84" t="n">
        <v>8</v>
      </c>
      <c r="AB594" s="84" t="inlineStr">
        <is>
          <t>E</t>
        </is>
      </c>
      <c r="AC594" s="84" t="inlineStr">
        <is>
          <t>E+</t>
        </is>
      </c>
      <c r="AD594" s="84" t="n">
        <v>12</v>
      </c>
      <c r="AE594" s="84" t="n">
        <v>9</v>
      </c>
      <c r="AF594" s="84" t="n">
        <v>0.76</v>
      </c>
      <c r="AG594" s="84" t="n">
        <v>0.84</v>
      </c>
      <c r="AH594" s="84" t="n">
        <v>0</v>
      </c>
      <c r="AI594" s="84" t="n">
        <v>0</v>
      </c>
      <c r="AJ594" s="84">
        <f>SUMIFS(AH$8:AH$1039,$O$8:$O$1039,O594,$AB$8:$AB$1039,AB594,$R$8:$R$1039,R594,$AA$8:$AA$1039,"&lt;="&amp;AA594)</f>
        <v/>
      </c>
      <c r="AK594" s="84">
        <f>D60</f>
        <v/>
      </c>
      <c r="AL594" s="84">
        <f>D66</f>
        <v/>
      </c>
      <c r="AM594" s="84">
        <f>MAX(0,AJ594-AK594)</f>
        <v/>
      </c>
      <c r="AN594" s="84">
        <f>IF(AM594=0,AH594,IF(AM594&gt;=AH594,0,AH594-AM594))</f>
        <v/>
      </c>
      <c r="AO594" s="84">
        <f>IF(AM594&gt;=AH594,AI594,AI594*AM594/AH594)</f>
        <v/>
      </c>
      <c r="AP594">
        <f t="array" ref="AP594">INDEX($AU$8:$BB$25,6*(R594-1)+MATCH(AB594,$AS$8:$AS$13,0),MATCH(O594,$AU$7:$BB$7,0))</f>
        <v/>
      </c>
    </row>
    <row r="595" ht="14.25" customHeight="1">
      <c r="O595" s="43" t="inlineStr">
        <is>
          <t>Q1’27</t>
        </is>
      </c>
      <c r="P595" s="43" t="n">
        <v>2</v>
      </c>
      <c r="Q595" s="43" t="n">
        <v>13</v>
      </c>
      <c r="R595" s="43" t="n">
        <v>3</v>
      </c>
      <c r="S595" s="45" t="n">
        <v>119.414998566207</v>
      </c>
      <c r="T595">
        <f>(S593+S594+S595)=R3</f>
        <v/>
      </c>
      <c r="X595" s="84">
        <f>MAX(S592-S595,0)</f>
        <v/>
      </c>
      <c r="Y595" s="83" t="n">
        <v>0</v>
      </c>
      <c r="AA595" s="84" t="n">
        <v>8</v>
      </c>
      <c r="AB595" s="84" t="inlineStr">
        <is>
          <t>E</t>
        </is>
      </c>
      <c r="AC595" s="84" t="inlineStr">
        <is>
          <t>E+</t>
        </is>
      </c>
      <c r="AD595" s="84" t="n">
        <v>12</v>
      </c>
      <c r="AE595" s="84" t="n">
        <v>9</v>
      </c>
      <c r="AF595" s="84" t="n">
        <v>0.76</v>
      </c>
      <c r="AG595" s="84" t="n">
        <v>0.84</v>
      </c>
      <c r="AH595" s="84" t="n">
        <v>0</v>
      </c>
      <c r="AI595" s="84" t="n">
        <v>0</v>
      </c>
      <c r="AJ595" s="84">
        <f>SUMIFS(AH$8:AH$1039,$O$8:$O$1039,O595,$AB$8:$AB$1039,AB595,$R$8:$R$1039,R595,$AA$8:$AA$1039,"&lt;="&amp;AA595)</f>
        <v/>
      </c>
      <c r="AK595" s="84">
        <f>E60</f>
        <v/>
      </c>
      <c r="AL595" s="84">
        <f>E66</f>
        <v/>
      </c>
      <c r="AM595" s="84">
        <f>MAX(0,AJ595-AK595)</f>
        <v/>
      </c>
      <c r="AN595" s="84">
        <f>IF(AM595=0,AH595,IF(AM595&gt;=AH595,0,AH595-AM595))</f>
        <v/>
      </c>
      <c r="AO595" s="84">
        <f>IF(AM595&gt;=AH595,AI595,AI595*AM595/AH595)</f>
        <v/>
      </c>
      <c r="AP595">
        <f t="array" ref="AP595">INDEX($AU$8:$BB$25,6*(R595-1)+MATCH(AB595,$AS$8:$AS$13,0),MATCH(O595,$AU$7:$BB$7,0))</f>
        <v/>
      </c>
    </row>
    <row r="596" ht="14.25" customHeight="1">
      <c r="O596" s="43" t="inlineStr">
        <is>
          <t>Q1’27</t>
        </is>
      </c>
      <c r="P596" s="43" t="n">
        <v>2</v>
      </c>
      <c r="Q596" s="43" t="n">
        <v>14</v>
      </c>
      <c r="R596" s="43" t="n">
        <v>1</v>
      </c>
      <c r="S596" s="45" t="n">
        <v>3769.810678024584</v>
      </c>
      <c r="T596">
        <f>(S596+S597+S598)=R3</f>
        <v/>
      </c>
      <c r="X596" s="84">
        <f>MAX(S593-S596,0)</f>
        <v/>
      </c>
      <c r="Y596" s="83" t="n">
        <v>0</v>
      </c>
      <c r="AA596" s="84" t="n">
        <v>5</v>
      </c>
      <c r="AB596" s="84" t="inlineStr">
        <is>
          <t>E</t>
        </is>
      </c>
      <c r="AC596" s="84" t="inlineStr">
        <is>
          <t>E+</t>
        </is>
      </c>
      <c r="AD596" s="84" t="n">
        <v>15</v>
      </c>
      <c r="AE596" s="84" t="n">
        <v>12</v>
      </c>
      <c r="AF596" s="84" t="n">
        <v>0.76</v>
      </c>
      <c r="AG596" s="84" t="n">
        <v>0.84</v>
      </c>
      <c r="AH596" s="84" t="n">
        <v>0</v>
      </c>
      <c r="AI596" s="84" t="n">
        <v>0</v>
      </c>
      <c r="AJ596" s="84">
        <f>SUMIFS(AH$8:AH$1039,$O$8:$O$1039,O596,$AB$8:$AB$1039,AB596,$R$8:$R$1039,R596,$AA$8:$AA$1039,"&lt;="&amp;AA596)</f>
        <v/>
      </c>
      <c r="AK596" s="84">
        <f>C60</f>
        <v/>
      </c>
      <c r="AL596" s="84">
        <f>C66</f>
        <v/>
      </c>
      <c r="AM596" s="84">
        <f>MAX(0,AJ596-AK596)</f>
        <v/>
      </c>
      <c r="AN596" s="84">
        <f>IF(AM596=0,AH596,IF(AM596&gt;=AH596,0,AH596-AM596))</f>
        <v/>
      </c>
      <c r="AO596" s="84">
        <f>IF(AM596&gt;=AH596,AI596,AI596*AM596/AH596)</f>
        <v/>
      </c>
      <c r="AP596">
        <f t="array" ref="AP596">INDEX($AU$8:$BB$25,6*(R596-1)+MATCH(AB596,$AS$8:$AS$13,0),MATCH(O596,$AU$7:$BB$7,0))</f>
        <v/>
      </c>
    </row>
    <row r="597" ht="14.25" customHeight="1">
      <c r="O597" s="43" t="inlineStr">
        <is>
          <t>Q1’27</t>
        </is>
      </c>
      <c r="P597" s="43" t="n">
        <v>2</v>
      </c>
      <c r="Q597" s="43" t="n">
        <v>14</v>
      </c>
      <c r="R597" s="43" t="n">
        <v>2</v>
      </c>
      <c r="S597" s="45" t="n">
        <v>2110.774323409209</v>
      </c>
      <c r="T597">
        <f>(S596+S597+S598)=R3</f>
        <v/>
      </c>
      <c r="X597" s="84">
        <f>MAX(S594-S597,0)</f>
        <v/>
      </c>
      <c r="Y597" s="83" t="n">
        <v>0</v>
      </c>
      <c r="AA597" s="84" t="n">
        <v>5</v>
      </c>
      <c r="AB597" s="84" t="inlineStr">
        <is>
          <t>E</t>
        </is>
      </c>
      <c r="AC597" s="84" t="inlineStr">
        <is>
          <t>E+</t>
        </is>
      </c>
      <c r="AD597" s="84" t="n">
        <v>15</v>
      </c>
      <c r="AE597" s="84" t="n">
        <v>12</v>
      </c>
      <c r="AF597" s="84" t="n">
        <v>0.76</v>
      </c>
      <c r="AG597" s="84" t="n">
        <v>0.84</v>
      </c>
      <c r="AH597" s="84" t="n">
        <v>0</v>
      </c>
      <c r="AI597" s="84" t="n">
        <v>0</v>
      </c>
      <c r="AJ597" s="84">
        <f>SUMIFS(AH$8:AH$1039,$O$8:$O$1039,O597,$AB$8:$AB$1039,AB597,$R$8:$R$1039,R597,$AA$8:$AA$1039,"&lt;="&amp;AA597)</f>
        <v/>
      </c>
      <c r="AK597" s="84">
        <f>D60</f>
        <v/>
      </c>
      <c r="AL597" s="84">
        <f>D66</f>
        <v/>
      </c>
      <c r="AM597" s="84">
        <f>MAX(0,AJ597-AK597)</f>
        <v/>
      </c>
      <c r="AN597" s="84">
        <f>IF(AM597=0,AH597,IF(AM597&gt;=AH597,0,AH597-AM597))</f>
        <v/>
      </c>
      <c r="AO597" s="84">
        <f>IF(AM597&gt;=AH597,AI597,AI597*AM597/AH597)</f>
        <v/>
      </c>
      <c r="AP597">
        <f t="array" ref="AP597">INDEX($AU$8:$BB$25,6*(R597-1)+MATCH(AB597,$AS$8:$AS$13,0),MATCH(O597,$AU$7:$BB$7,0))</f>
        <v/>
      </c>
    </row>
    <row r="598" ht="14.25" customHeight="1">
      <c r="O598" s="43" t="inlineStr">
        <is>
          <t>Q1’27</t>
        </is>
      </c>
      <c r="P598" s="43" t="n">
        <v>2</v>
      </c>
      <c r="Q598" s="43" t="n">
        <v>14</v>
      </c>
      <c r="R598" s="43" t="n">
        <v>3</v>
      </c>
      <c r="S598" s="45" t="n">
        <v>119.414998566207</v>
      </c>
      <c r="T598">
        <f>(S596+S597+S598)=R3</f>
        <v/>
      </c>
      <c r="X598" s="84">
        <f>MAX(S595-S598,0)</f>
        <v/>
      </c>
      <c r="Y598" s="83" t="n">
        <v>0</v>
      </c>
      <c r="AA598" s="84" t="n">
        <v>5</v>
      </c>
      <c r="AB598" s="84" t="inlineStr">
        <is>
          <t>E</t>
        </is>
      </c>
      <c r="AC598" s="84" t="inlineStr">
        <is>
          <t>E+</t>
        </is>
      </c>
      <c r="AD598" s="84" t="n">
        <v>15</v>
      </c>
      <c r="AE598" s="84" t="n">
        <v>12</v>
      </c>
      <c r="AF598" s="84" t="n">
        <v>0.76</v>
      </c>
      <c r="AG598" s="84" t="n">
        <v>0.84</v>
      </c>
      <c r="AH598" s="84" t="n">
        <v>0</v>
      </c>
      <c r="AI598" s="84" t="n">
        <v>0</v>
      </c>
      <c r="AJ598" s="84">
        <f>SUMIFS(AH$8:AH$1039,$O$8:$O$1039,O598,$AB$8:$AB$1039,AB598,$R$8:$R$1039,R598,$AA$8:$AA$1039,"&lt;="&amp;AA598)</f>
        <v/>
      </c>
      <c r="AK598" s="84">
        <f>E60</f>
        <v/>
      </c>
      <c r="AL598" s="84">
        <f>E66</f>
        <v/>
      </c>
      <c r="AM598" s="84">
        <f>MAX(0,AJ598-AK598)</f>
        <v/>
      </c>
      <c r="AN598" s="84">
        <f>IF(AM598=0,AH598,IF(AM598&gt;=AH598,0,AH598-AM598))</f>
        <v/>
      </c>
      <c r="AO598" s="84">
        <f>IF(AM598&gt;=AH598,AI598,AI598*AM598/AH598)</f>
        <v/>
      </c>
      <c r="AP598">
        <f t="array" ref="AP598">INDEX($AU$8:$BB$25,6*(R598-1)+MATCH(AB598,$AS$8:$AS$13,0),MATCH(O598,$AU$7:$BB$7,0))</f>
        <v/>
      </c>
    </row>
    <row r="599" ht="14.25" customHeight="1">
      <c r="O599" s="43" t="inlineStr">
        <is>
          <t>Q1’27</t>
        </is>
      </c>
      <c r="P599" s="43" t="n">
        <v>2</v>
      </c>
      <c r="Q599" s="43" t="n">
        <v>15</v>
      </c>
      <c r="R599" s="43" t="n">
        <v>1</v>
      </c>
      <c r="S599" s="45" t="n">
        <v>3769.810678024584</v>
      </c>
      <c r="T599">
        <f>(S599+S600+S601)=R3</f>
        <v/>
      </c>
      <c r="X599" s="84">
        <f>MAX(S596-S599,0)</f>
        <v/>
      </c>
      <c r="Y599" s="83" t="n">
        <v>0</v>
      </c>
      <c r="AA599" s="84" t="n">
        <v>7</v>
      </c>
      <c r="AB599" s="84" t="inlineStr">
        <is>
          <t>E</t>
        </is>
      </c>
      <c r="AC599" s="84" t="inlineStr">
        <is>
          <t>E+</t>
        </is>
      </c>
      <c r="AD599" s="84" t="n">
        <v>13</v>
      </c>
      <c r="AE599" s="84" t="n">
        <v>10</v>
      </c>
      <c r="AF599" s="84" t="n">
        <v>0.76</v>
      </c>
      <c r="AG599" s="84" t="n">
        <v>0.84</v>
      </c>
      <c r="AH599" s="84" t="n">
        <v>0</v>
      </c>
      <c r="AI599" s="84" t="n">
        <v>0</v>
      </c>
      <c r="AJ599" s="84">
        <f>SUMIFS(AH$8:AH$1039,$O$8:$O$1039,O599,$AB$8:$AB$1039,AB599,$R$8:$R$1039,R599,$AA$8:$AA$1039,"&lt;="&amp;AA599)</f>
        <v/>
      </c>
      <c r="AK599" s="84">
        <f>C60</f>
        <v/>
      </c>
      <c r="AL599" s="84">
        <f>C66</f>
        <v/>
      </c>
      <c r="AM599" s="84">
        <f>MAX(0,AJ599-AK599)</f>
        <v/>
      </c>
      <c r="AN599" s="84">
        <f>IF(AM599=0,AH599,IF(AM599&gt;=AH599,0,AH599-AM599))</f>
        <v/>
      </c>
      <c r="AO599" s="84">
        <f>IF(AM599&gt;=AH599,AI599,AI599*AM599/AH599)</f>
        <v/>
      </c>
      <c r="AP599">
        <f t="array" ref="AP599">INDEX($AU$8:$BB$25,6*(R599-1)+MATCH(AB599,$AS$8:$AS$13,0),MATCH(O599,$AU$7:$BB$7,0))</f>
        <v/>
      </c>
    </row>
    <row r="600" ht="14.25" customHeight="1">
      <c r="O600" s="43" t="inlineStr">
        <is>
          <t>Q1’27</t>
        </is>
      </c>
      <c r="P600" s="43" t="n">
        <v>2</v>
      </c>
      <c r="Q600" s="43" t="n">
        <v>15</v>
      </c>
      <c r="R600" s="43" t="n">
        <v>2</v>
      </c>
      <c r="S600" s="45" t="n">
        <v>2110.774323409209</v>
      </c>
      <c r="T600">
        <f>(S599+S600+S601)=R3</f>
        <v/>
      </c>
      <c r="X600" s="84">
        <f>MAX(S597-S600,0)</f>
        <v/>
      </c>
      <c r="Y600" s="83" t="n">
        <v>0</v>
      </c>
      <c r="AA600" s="84" t="n">
        <v>7</v>
      </c>
      <c r="AB600" s="84" t="inlineStr">
        <is>
          <t>E</t>
        </is>
      </c>
      <c r="AC600" s="84" t="inlineStr">
        <is>
          <t>E+</t>
        </is>
      </c>
      <c r="AD600" s="84" t="n">
        <v>13</v>
      </c>
      <c r="AE600" s="84" t="n">
        <v>10</v>
      </c>
      <c r="AF600" s="84" t="n">
        <v>0.76</v>
      </c>
      <c r="AG600" s="84" t="n">
        <v>0.84</v>
      </c>
      <c r="AH600" s="84" t="n">
        <v>0</v>
      </c>
      <c r="AI600" s="84" t="n">
        <v>0</v>
      </c>
      <c r="AJ600" s="84">
        <f>SUMIFS(AH$8:AH$1039,$O$8:$O$1039,O600,$AB$8:$AB$1039,AB600,$R$8:$R$1039,R600,$AA$8:$AA$1039,"&lt;="&amp;AA600)</f>
        <v/>
      </c>
      <c r="AK600" s="84">
        <f>D60</f>
        <v/>
      </c>
      <c r="AL600" s="84">
        <f>D66</f>
        <v/>
      </c>
      <c r="AM600" s="84">
        <f>MAX(0,AJ600-AK600)</f>
        <v/>
      </c>
      <c r="AN600" s="84">
        <f>IF(AM600=0,AH600,IF(AM600&gt;=AH600,0,AH600-AM600))</f>
        <v/>
      </c>
      <c r="AO600" s="84">
        <f>IF(AM600&gt;=AH600,AI600,AI600*AM600/AH600)</f>
        <v/>
      </c>
      <c r="AP600">
        <f t="array" ref="AP600">INDEX($AU$8:$BB$25,6*(R600-1)+MATCH(AB600,$AS$8:$AS$13,0),MATCH(O600,$AU$7:$BB$7,0))</f>
        <v/>
      </c>
    </row>
    <row r="601" ht="14.25" customHeight="1">
      <c r="O601" s="43" t="inlineStr">
        <is>
          <t>Q1’27</t>
        </is>
      </c>
      <c r="P601" s="43" t="n">
        <v>2</v>
      </c>
      <c r="Q601" s="43" t="n">
        <v>15</v>
      </c>
      <c r="R601" s="43" t="n">
        <v>3</v>
      </c>
      <c r="S601" s="45" t="n">
        <v>119.414998566207</v>
      </c>
      <c r="T601">
        <f>(S599+S600+S601)=R3</f>
        <v/>
      </c>
      <c r="X601" s="84">
        <f>MAX(S598-S601,0)</f>
        <v/>
      </c>
      <c r="Y601" s="83" t="n">
        <v>0</v>
      </c>
      <c r="AA601" s="84" t="n">
        <v>7</v>
      </c>
      <c r="AB601" s="84" t="inlineStr">
        <is>
          <t>E</t>
        </is>
      </c>
      <c r="AC601" s="84" t="inlineStr">
        <is>
          <t>E+</t>
        </is>
      </c>
      <c r="AD601" s="84" t="n">
        <v>13</v>
      </c>
      <c r="AE601" s="84" t="n">
        <v>10</v>
      </c>
      <c r="AF601" s="84" t="n">
        <v>0.76</v>
      </c>
      <c r="AG601" s="84" t="n">
        <v>0.84</v>
      </c>
      <c r="AH601" s="84" t="n">
        <v>0</v>
      </c>
      <c r="AI601" s="84" t="n">
        <v>0</v>
      </c>
      <c r="AJ601" s="84">
        <f>SUMIFS(AH$8:AH$1039,$O$8:$O$1039,O601,$AB$8:$AB$1039,AB601,$R$8:$R$1039,R601,$AA$8:$AA$1039,"&lt;="&amp;AA601)</f>
        <v/>
      </c>
      <c r="AK601" s="84">
        <f>E60</f>
        <v/>
      </c>
      <c r="AL601" s="84">
        <f>E66</f>
        <v/>
      </c>
      <c r="AM601" s="84">
        <f>MAX(0,AJ601-AK601)</f>
        <v/>
      </c>
      <c r="AN601" s="84">
        <f>IF(AM601=0,AH601,IF(AM601&gt;=AH601,0,AH601-AM601))</f>
        <v/>
      </c>
      <c r="AO601" s="84">
        <f>IF(AM601&gt;=AH601,AI601,AI601*AM601/AH601)</f>
        <v/>
      </c>
      <c r="AP601">
        <f t="array" ref="AP601">INDEX($AU$8:$BB$25,6*(R601-1)+MATCH(AB601,$AS$8:$AS$13,0),MATCH(O601,$AU$7:$BB$7,0))</f>
        <v/>
      </c>
    </row>
    <row r="602" ht="14.25" customHeight="1">
      <c r="O602" s="43" t="inlineStr">
        <is>
          <t>Q1’27</t>
        </is>
      </c>
      <c r="P602" s="43" t="n">
        <v>3</v>
      </c>
      <c r="Q602" s="43" t="n">
        <v>1</v>
      </c>
      <c r="R602" s="43" t="n">
        <v>1</v>
      </c>
      <c r="S602" s="45" t="n">
        <v>2009.401456923979</v>
      </c>
      <c r="T602">
        <f>(S602+S603+S604)=R4</f>
        <v/>
      </c>
      <c r="X602" s="84" t="n">
        <v>0</v>
      </c>
      <c r="Y602" s="83" t="n">
        <v>0</v>
      </c>
      <c r="AA602" s="84" t="n">
        <v>1</v>
      </c>
      <c r="AB602" s="84" t="inlineStr">
        <is>
          <t>C</t>
        </is>
      </c>
      <c r="AC602" s="84" t="inlineStr">
        <is>
          <t>C+</t>
        </is>
      </c>
      <c r="AD602" s="84" t="n">
        <v>21</v>
      </c>
      <c r="AE602" s="84" t="n">
        <v>20</v>
      </c>
      <c r="AF602" s="84" t="n">
        <v>0.8</v>
      </c>
      <c r="AG602" s="84" t="n">
        <v>0.86</v>
      </c>
      <c r="AH602" s="84" t="n">
        <v>0</v>
      </c>
      <c r="AI602" s="84" t="n">
        <v>0</v>
      </c>
      <c r="AJ602" s="84">
        <f>SUMIFS(AH$8:AH$1039,$O$8:$O$1039,O602,$AB$8:$AB$1039,AB602,$R$8:$R$1039,R602,$AA$8:$AA$1039,"&lt;="&amp;AA602)</f>
        <v/>
      </c>
      <c r="AK602" s="84">
        <f>C58</f>
        <v/>
      </c>
      <c r="AL602" s="84">
        <f>C64</f>
        <v/>
      </c>
      <c r="AM602" s="84">
        <f>MAX(0,AJ602-AK602)</f>
        <v/>
      </c>
      <c r="AN602" s="84">
        <f>IF(AM602=0,AH602,IF(AM602&gt;=AH602,0,AH602-AM602))</f>
        <v/>
      </c>
      <c r="AO602" s="84">
        <f>IF(AM602&gt;=AH602,AI602,AI602*AM602/AH602)</f>
        <v/>
      </c>
      <c r="AP602">
        <f t="array" ref="AP602">INDEX($AU$8:$BB$25,6*(R602-1)+MATCH(AB602,$AS$8:$AS$13,0),MATCH(O602,$AU$7:$BB$7,0))</f>
        <v/>
      </c>
    </row>
    <row r="603" ht="14.25" customHeight="1">
      <c r="O603" s="43" t="inlineStr">
        <is>
          <t>Q1’27</t>
        </is>
      </c>
      <c r="P603" s="43" t="n">
        <v>3</v>
      </c>
      <c r="Q603" s="43" t="n">
        <v>1</v>
      </c>
      <c r="R603" s="43" t="n">
        <v>2</v>
      </c>
      <c r="S603" s="45" t="n">
        <v>3671.491764705881</v>
      </c>
      <c r="T603">
        <f>(S602+S603+S604)=R4</f>
        <v/>
      </c>
      <c r="X603" s="84" t="n">
        <v>0</v>
      </c>
      <c r="Y603" s="83" t="n">
        <v>0</v>
      </c>
      <c r="AA603" s="84" t="n">
        <v>1</v>
      </c>
      <c r="AB603" s="84" t="inlineStr">
        <is>
          <t>C</t>
        </is>
      </c>
      <c r="AC603" s="84" t="inlineStr">
        <is>
          <t>C+</t>
        </is>
      </c>
      <c r="AD603" s="84" t="n">
        <v>21</v>
      </c>
      <c r="AE603" s="84" t="n">
        <v>20</v>
      </c>
      <c r="AF603" s="84" t="n">
        <v>0.8</v>
      </c>
      <c r="AG603" s="84" t="n">
        <v>0.86</v>
      </c>
      <c r="AH603" s="84" t="n">
        <v>0</v>
      </c>
      <c r="AI603" s="84" t="n">
        <v>0</v>
      </c>
      <c r="AJ603" s="84">
        <f>SUMIFS(AH$8:AH$1039,$O$8:$O$1039,O603,$AB$8:$AB$1039,AB603,$R$8:$R$1039,R603,$AA$8:$AA$1039,"&lt;="&amp;AA603)</f>
        <v/>
      </c>
      <c r="AK603" s="84">
        <f>D58</f>
        <v/>
      </c>
      <c r="AL603" s="84">
        <f>D64</f>
        <v/>
      </c>
      <c r="AM603" s="84">
        <f>MAX(0,AJ603-AK603)</f>
        <v/>
      </c>
      <c r="AN603" s="84">
        <f>IF(AM603=0,AH603,IF(AM603&gt;=AH603,0,AH603-AM603))</f>
        <v/>
      </c>
      <c r="AO603" s="84">
        <f>IF(AM603&gt;=AH603,AI603,AI603*AM603/AH603)</f>
        <v/>
      </c>
      <c r="AP603">
        <f t="array" ref="AP603">INDEX($AU$8:$BB$25,6*(R603-1)+MATCH(AB603,$AS$8:$AS$13,0),MATCH(O603,$AU$7:$BB$7,0))</f>
        <v/>
      </c>
    </row>
    <row r="604" ht="14.25" customHeight="1">
      <c r="O604" s="43" t="inlineStr">
        <is>
          <t>Q1’27</t>
        </is>
      </c>
      <c r="P604" s="43" t="n">
        <v>3</v>
      </c>
      <c r="Q604" s="43" t="n">
        <v>1</v>
      </c>
      <c r="R604" s="43" t="n">
        <v>3</v>
      </c>
      <c r="S604" s="45" t="n">
        <v>3319.10677837014</v>
      </c>
      <c r="T604">
        <f>(S602+S603+S604)=R4</f>
        <v/>
      </c>
      <c r="X604" s="84" t="n">
        <v>0</v>
      </c>
      <c r="Y604" s="83" t="n">
        <v>0</v>
      </c>
      <c r="AA604" s="84" t="n">
        <v>1</v>
      </c>
      <c r="AB604" s="84" t="inlineStr">
        <is>
          <t>C</t>
        </is>
      </c>
      <c r="AC604" s="84" t="inlineStr">
        <is>
          <t>C+</t>
        </is>
      </c>
      <c r="AD604" s="84" t="n">
        <v>21</v>
      </c>
      <c r="AE604" s="84" t="n">
        <v>20</v>
      </c>
      <c r="AF604" s="84" t="n">
        <v>0.8</v>
      </c>
      <c r="AG604" s="84" t="n">
        <v>0.86</v>
      </c>
      <c r="AH604" s="84" t="n">
        <v>0</v>
      </c>
      <c r="AI604" s="84" t="n">
        <v>0</v>
      </c>
      <c r="AJ604" s="84">
        <f>SUMIFS(AH$8:AH$1039,$O$8:$O$1039,O604,$AB$8:$AB$1039,AB604,$R$8:$R$1039,R604,$AA$8:$AA$1039,"&lt;="&amp;AA604)</f>
        <v/>
      </c>
      <c r="AK604" s="84">
        <f>E58</f>
        <v/>
      </c>
      <c r="AL604" s="84">
        <f>E64</f>
        <v/>
      </c>
      <c r="AM604" s="84">
        <f>MAX(0,AJ604-AK604)</f>
        <v/>
      </c>
      <c r="AN604" s="84">
        <f>IF(AM604=0,AH604,IF(AM604&gt;=AH604,0,AH604-AM604))</f>
        <v/>
      </c>
      <c r="AO604" s="84">
        <f>IF(AM604&gt;=AH604,AI604,AI604*AM604/AH604)</f>
        <v/>
      </c>
      <c r="AP604">
        <f t="array" ref="AP604">INDEX($AU$8:$BB$25,6*(R604-1)+MATCH(AB604,$AS$8:$AS$13,0),MATCH(O604,$AU$7:$BB$7,0))</f>
        <v/>
      </c>
    </row>
    <row r="605" ht="14.25" customHeight="1">
      <c r="O605" s="43" t="inlineStr">
        <is>
          <t>Q1’27</t>
        </is>
      </c>
      <c r="P605" s="43" t="n">
        <v>3</v>
      </c>
      <c r="Q605" s="43" t="n">
        <v>2</v>
      </c>
      <c r="R605" s="43" t="n">
        <v>1</v>
      </c>
      <c r="S605" s="45" t="n">
        <v>2009.401456923979</v>
      </c>
      <c r="T605">
        <f>(S605+S606+S607)=R4</f>
        <v/>
      </c>
      <c r="X605" s="84">
        <f>MAX(S602-S605,0)</f>
        <v/>
      </c>
      <c r="Y605" s="83" t="n">
        <v>0</v>
      </c>
      <c r="AA605" s="84" t="n">
        <v>8</v>
      </c>
      <c r="AB605" s="84" t="inlineStr">
        <is>
          <t>D</t>
        </is>
      </c>
      <c r="AC605" s="84" t="inlineStr">
        <is>
          <t>D+</t>
        </is>
      </c>
      <c r="AD605" s="84" t="n">
        <v>9</v>
      </c>
      <c r="AE605" s="84" t="n">
        <v>7</v>
      </c>
      <c r="AF605" s="84" t="n">
        <v>0.8</v>
      </c>
      <c r="AG605" s="84" t="n">
        <v>0.88</v>
      </c>
      <c r="AH605" s="84" t="n">
        <v>0</v>
      </c>
      <c r="AI605" s="84" t="n">
        <v>0</v>
      </c>
      <c r="AJ605" s="84">
        <f>SUMIFS(AH$8:AH$1039,$O$8:$O$1039,O605,$AB$8:$AB$1039,AB605,$R$8:$R$1039,R605,$AA$8:$AA$1039,"&lt;="&amp;AA605)</f>
        <v/>
      </c>
      <c r="AK605" s="84">
        <f>C59</f>
        <v/>
      </c>
      <c r="AL605" s="84">
        <f>C65</f>
        <v/>
      </c>
      <c r="AM605" s="84">
        <f>MAX(0,AJ605-AK605)</f>
        <v/>
      </c>
      <c r="AN605" s="84">
        <f>IF(AM605=0,AH605,IF(AM605&gt;=AH605,0,AH605-AM605))</f>
        <v/>
      </c>
      <c r="AO605" s="84">
        <f>IF(AM605&gt;=AH605,AI605,AI605*AM605/AH605)</f>
        <v/>
      </c>
      <c r="AP605">
        <f t="array" ref="AP605">INDEX($AU$8:$BB$25,6*(R605-1)+MATCH(AB605,$AS$8:$AS$13,0),MATCH(O605,$AU$7:$BB$7,0))</f>
        <v/>
      </c>
    </row>
    <row r="606" ht="14.25" customHeight="1">
      <c r="O606" s="43" t="inlineStr">
        <is>
          <t>Q1’27</t>
        </is>
      </c>
      <c r="P606" s="43" t="n">
        <v>3</v>
      </c>
      <c r="Q606" s="43" t="n">
        <v>2</v>
      </c>
      <c r="R606" s="43" t="n">
        <v>2</v>
      </c>
      <c r="S606" s="45" t="n">
        <v>3671.491764705881</v>
      </c>
      <c r="T606">
        <f>(S605+S606+S607)=R4</f>
        <v/>
      </c>
      <c r="X606" s="84">
        <f>MAX(S603-S606,0)</f>
        <v/>
      </c>
      <c r="Y606" s="83" t="n">
        <v>0</v>
      </c>
      <c r="AA606" s="84" t="n">
        <v>8</v>
      </c>
      <c r="AB606" s="84" t="inlineStr">
        <is>
          <t>D</t>
        </is>
      </c>
      <c r="AC606" s="84" t="inlineStr">
        <is>
          <t>D+</t>
        </is>
      </c>
      <c r="AD606" s="84" t="n">
        <v>9</v>
      </c>
      <c r="AE606" s="84" t="n">
        <v>7</v>
      </c>
      <c r="AF606" s="84" t="n">
        <v>0.8</v>
      </c>
      <c r="AG606" s="84" t="n">
        <v>0.88</v>
      </c>
      <c r="AH606" s="84" t="n">
        <v>0</v>
      </c>
      <c r="AI606" s="84" t="n">
        <v>0</v>
      </c>
      <c r="AJ606" s="84">
        <f>SUMIFS(AH$8:AH$1039,$O$8:$O$1039,O606,$AB$8:$AB$1039,AB606,$R$8:$R$1039,R606,$AA$8:$AA$1039,"&lt;="&amp;AA606)</f>
        <v/>
      </c>
      <c r="AK606" s="84">
        <f>D59</f>
        <v/>
      </c>
      <c r="AL606" s="84">
        <f>D65</f>
        <v/>
      </c>
      <c r="AM606" s="84">
        <f>MAX(0,AJ606-AK606)</f>
        <v/>
      </c>
      <c r="AN606" s="84">
        <f>IF(AM606=0,AH606,IF(AM606&gt;=AH606,0,AH606-AM606))</f>
        <v/>
      </c>
      <c r="AO606" s="84">
        <f>IF(AM606&gt;=AH606,AI606,AI606*AM606/AH606)</f>
        <v/>
      </c>
      <c r="AP606">
        <f t="array" ref="AP606">INDEX($AU$8:$BB$25,6*(R606-1)+MATCH(AB606,$AS$8:$AS$13,0),MATCH(O606,$AU$7:$BB$7,0))</f>
        <v/>
      </c>
    </row>
    <row r="607" ht="14.25" customHeight="1">
      <c r="O607" s="43" t="inlineStr">
        <is>
          <t>Q1’27</t>
        </is>
      </c>
      <c r="P607" s="43" t="n">
        <v>3</v>
      </c>
      <c r="Q607" s="43" t="n">
        <v>2</v>
      </c>
      <c r="R607" s="43" t="n">
        <v>3</v>
      </c>
      <c r="S607" s="45" t="n">
        <v>3319.10677837014</v>
      </c>
      <c r="T607">
        <f>(S605+S606+S607)=R4</f>
        <v/>
      </c>
      <c r="X607" s="84">
        <f>MAX(S604-S607,0)</f>
        <v/>
      </c>
      <c r="Y607" s="83" t="n">
        <v>0</v>
      </c>
      <c r="AA607" s="84" t="n">
        <v>8</v>
      </c>
      <c r="AB607" s="84" t="inlineStr">
        <is>
          <t>D</t>
        </is>
      </c>
      <c r="AC607" s="84" t="inlineStr">
        <is>
          <t>D+</t>
        </is>
      </c>
      <c r="AD607" s="84" t="n">
        <v>9</v>
      </c>
      <c r="AE607" s="84" t="n">
        <v>7</v>
      </c>
      <c r="AF607" s="84" t="n">
        <v>0.8</v>
      </c>
      <c r="AG607" s="84" t="n">
        <v>0.88</v>
      </c>
      <c r="AH607" s="84" t="n">
        <v>0</v>
      </c>
      <c r="AI607" s="84" t="n">
        <v>0</v>
      </c>
      <c r="AJ607" s="84">
        <f>SUMIFS(AH$8:AH$1039,$O$8:$O$1039,O607,$AB$8:$AB$1039,AB607,$R$8:$R$1039,R607,$AA$8:$AA$1039,"&lt;="&amp;AA607)</f>
        <v/>
      </c>
      <c r="AK607" s="84">
        <f>E59</f>
        <v/>
      </c>
      <c r="AL607" s="84">
        <f>E65</f>
        <v/>
      </c>
      <c r="AM607" s="84">
        <f>MAX(0,AJ607-AK607)</f>
        <v/>
      </c>
      <c r="AN607" s="84">
        <f>IF(AM607=0,AH607,IF(AM607&gt;=AH607,0,AH607-AM607))</f>
        <v/>
      </c>
      <c r="AO607" s="84">
        <f>IF(AM607&gt;=AH607,AI607,AI607*AM607/AH607)</f>
        <v/>
      </c>
      <c r="AP607">
        <f t="array" ref="AP607">INDEX($AU$8:$BB$25,6*(R607-1)+MATCH(AB607,$AS$8:$AS$13,0),MATCH(O607,$AU$7:$BB$7,0))</f>
        <v/>
      </c>
    </row>
    <row r="608" ht="14.25" customHeight="1">
      <c r="O608" s="43" t="inlineStr">
        <is>
          <t>Q1’27</t>
        </is>
      </c>
      <c r="P608" s="43" t="n">
        <v>3</v>
      </c>
      <c r="Q608" s="43" t="n">
        <v>3</v>
      </c>
      <c r="R608" s="43" t="n">
        <v>1</v>
      </c>
      <c r="S608" s="45" t="n">
        <v>2009.401456923979</v>
      </c>
      <c r="T608">
        <f>(S608+S609+S610)=R4</f>
        <v/>
      </c>
      <c r="X608" s="84">
        <f>MAX(S605-S608,0)</f>
        <v/>
      </c>
      <c r="Y608" s="83" t="n">
        <v>0</v>
      </c>
      <c r="AA608" s="84" t="n">
        <v>1</v>
      </c>
      <c r="AB608" s="84" t="inlineStr">
        <is>
          <t>E</t>
        </is>
      </c>
      <c r="AC608" s="84" t="inlineStr">
        <is>
          <t>E+</t>
        </is>
      </c>
      <c r="AD608" s="84" t="n">
        <v>24</v>
      </c>
      <c r="AE608" s="84" t="n">
        <v>23</v>
      </c>
      <c r="AF608" s="84" t="n">
        <v>0.76</v>
      </c>
      <c r="AG608" s="84" t="n">
        <v>0.84</v>
      </c>
      <c r="AH608" s="84" t="n">
        <v>0</v>
      </c>
      <c r="AI608" s="84" t="n">
        <v>0</v>
      </c>
      <c r="AJ608" s="84">
        <f>SUMIFS(AH$8:AH$1039,$O$8:$O$1039,O608,$AB$8:$AB$1039,AB608,$R$8:$R$1039,R608,$AA$8:$AA$1039,"&lt;="&amp;AA608)</f>
        <v/>
      </c>
      <c r="AK608" s="84">
        <f>C60</f>
        <v/>
      </c>
      <c r="AL608" s="84">
        <f>C66</f>
        <v/>
      </c>
      <c r="AM608" s="84">
        <f>MAX(0,AJ608-AK608)</f>
        <v/>
      </c>
      <c r="AN608" s="84">
        <f>IF(AM608=0,AH608,IF(AM608&gt;=AH608,0,AH608-AM608))</f>
        <v/>
      </c>
      <c r="AO608" s="84">
        <f>IF(AM608&gt;=AH608,AI608,AI608*AM608/AH608)</f>
        <v/>
      </c>
      <c r="AP608">
        <f t="array" ref="AP608">INDEX($AU$8:$BB$25,6*(R608-1)+MATCH(AB608,$AS$8:$AS$13,0),MATCH(O608,$AU$7:$BB$7,0))</f>
        <v/>
      </c>
    </row>
    <row r="609" ht="14.25" customHeight="1">
      <c r="O609" s="43" t="inlineStr">
        <is>
          <t>Q1’27</t>
        </is>
      </c>
      <c r="P609" s="43" t="n">
        <v>3</v>
      </c>
      <c r="Q609" s="43" t="n">
        <v>3</v>
      </c>
      <c r="R609" s="43" t="n">
        <v>2</v>
      </c>
      <c r="S609" s="45" t="n">
        <v>3671.491764705881</v>
      </c>
      <c r="T609">
        <f>(S608+S609+S610)=R4</f>
        <v/>
      </c>
      <c r="X609" s="84">
        <f>MAX(S606-S609,0)</f>
        <v/>
      </c>
      <c r="Y609" s="83" t="n">
        <v>0</v>
      </c>
      <c r="AA609" s="84" t="n">
        <v>1</v>
      </c>
      <c r="AB609" s="84" t="inlineStr">
        <is>
          <t>E</t>
        </is>
      </c>
      <c r="AC609" s="84" t="inlineStr">
        <is>
          <t>E+</t>
        </is>
      </c>
      <c r="AD609" s="84" t="n">
        <v>24</v>
      </c>
      <c r="AE609" s="84" t="n">
        <v>23</v>
      </c>
      <c r="AF609" s="84" t="n">
        <v>0.76</v>
      </c>
      <c r="AG609" s="84" t="n">
        <v>0.84</v>
      </c>
      <c r="AH609" s="84" t="n">
        <v>0</v>
      </c>
      <c r="AI609" s="84" t="n">
        <v>0</v>
      </c>
      <c r="AJ609" s="84">
        <f>SUMIFS(AH$8:AH$1039,$O$8:$O$1039,O609,$AB$8:$AB$1039,AB609,$R$8:$R$1039,R609,$AA$8:$AA$1039,"&lt;="&amp;AA609)</f>
        <v/>
      </c>
      <c r="AK609" s="84">
        <f>D60</f>
        <v/>
      </c>
      <c r="AL609" s="84">
        <f>D66</f>
        <v/>
      </c>
      <c r="AM609" s="84">
        <f>MAX(0,AJ609-AK609)</f>
        <v/>
      </c>
      <c r="AN609" s="84">
        <f>IF(AM609=0,AH609,IF(AM609&gt;=AH609,0,AH609-AM609))</f>
        <v/>
      </c>
      <c r="AO609" s="84">
        <f>IF(AM609&gt;=AH609,AI609,AI609*AM609/AH609)</f>
        <v/>
      </c>
      <c r="AP609">
        <f t="array" ref="AP609">INDEX($AU$8:$BB$25,6*(R609-1)+MATCH(AB609,$AS$8:$AS$13,0),MATCH(O609,$AU$7:$BB$7,0))</f>
        <v/>
      </c>
    </row>
    <row r="610" ht="14.25" customHeight="1">
      <c r="O610" s="43" t="inlineStr">
        <is>
          <t>Q1’27</t>
        </is>
      </c>
      <c r="P610" s="43" t="n">
        <v>3</v>
      </c>
      <c r="Q610" s="43" t="n">
        <v>3</v>
      </c>
      <c r="R610" s="43" t="n">
        <v>3</v>
      </c>
      <c r="S610" s="45" t="n">
        <v>3319.10677837014</v>
      </c>
      <c r="T610">
        <f>(S608+S609+S610)=R4</f>
        <v/>
      </c>
      <c r="X610" s="84">
        <f>MAX(S607-S610,0)</f>
        <v/>
      </c>
      <c r="Y610" s="83" t="n">
        <v>0</v>
      </c>
      <c r="AA610" s="84" t="n">
        <v>1</v>
      </c>
      <c r="AB610" s="84" t="inlineStr">
        <is>
          <t>E</t>
        </is>
      </c>
      <c r="AC610" s="84" t="inlineStr">
        <is>
          <t>E+</t>
        </is>
      </c>
      <c r="AD610" s="84" t="n">
        <v>24</v>
      </c>
      <c r="AE610" s="84" t="n">
        <v>23</v>
      </c>
      <c r="AF610" s="84" t="n">
        <v>0.76</v>
      </c>
      <c r="AG610" s="84" t="n">
        <v>0.84</v>
      </c>
      <c r="AH610" s="84" t="n">
        <v>0</v>
      </c>
      <c r="AI610" s="84" t="n">
        <v>0</v>
      </c>
      <c r="AJ610" s="84">
        <f>SUMIFS(AH$8:AH$1039,$O$8:$O$1039,O610,$AB$8:$AB$1039,AB610,$R$8:$R$1039,R610,$AA$8:$AA$1039,"&lt;="&amp;AA610)</f>
        <v/>
      </c>
      <c r="AK610" s="84">
        <f>E60</f>
        <v/>
      </c>
      <c r="AL610" s="84">
        <f>E66</f>
        <v/>
      </c>
      <c r="AM610" s="84">
        <f>MAX(0,AJ610-AK610)</f>
        <v/>
      </c>
      <c r="AN610" s="84">
        <f>IF(AM610=0,AH610,IF(AM610&gt;=AH610,0,AH610-AM610))</f>
        <v/>
      </c>
      <c r="AO610" s="84">
        <f>IF(AM610&gt;=AH610,AI610,AI610*AM610/AH610)</f>
        <v/>
      </c>
      <c r="AP610">
        <f t="array" ref="AP610">INDEX($AU$8:$BB$25,6*(R610-1)+MATCH(AB610,$AS$8:$AS$13,0),MATCH(O610,$AU$7:$BB$7,0))</f>
        <v/>
      </c>
    </row>
    <row r="611" ht="14.25" customHeight="1">
      <c r="O611" s="43" t="inlineStr">
        <is>
          <t>Q1’27</t>
        </is>
      </c>
      <c r="P611" s="43" t="n">
        <v>3</v>
      </c>
      <c r="Q611" s="43" t="n">
        <v>4</v>
      </c>
      <c r="R611" s="43" t="n">
        <v>1</v>
      </c>
      <c r="S611" s="45" t="n">
        <v>2009.401456923979</v>
      </c>
      <c r="T611">
        <f>(S611+S612+S613)=R4</f>
        <v/>
      </c>
      <c r="X611" s="84">
        <f>MAX(S608-S611,0)</f>
        <v/>
      </c>
      <c r="Y611" s="83" t="n">
        <v>0</v>
      </c>
      <c r="AA611" s="84" t="n">
        <v>9</v>
      </c>
      <c r="AB611" s="84" t="inlineStr">
        <is>
          <t>E</t>
        </is>
      </c>
      <c r="AC611" s="84" t="inlineStr">
        <is>
          <t>E+</t>
        </is>
      </c>
      <c r="AD611" s="84" t="n">
        <v>15</v>
      </c>
      <c r="AE611" s="84" t="n">
        <v>11</v>
      </c>
      <c r="AF611" s="84" t="n">
        <v>0.76</v>
      </c>
      <c r="AG611" s="84" t="n">
        <v>0.84</v>
      </c>
      <c r="AH611" s="84" t="n">
        <v>0</v>
      </c>
      <c r="AI611" s="84" t="n">
        <v>0</v>
      </c>
      <c r="AJ611" s="84">
        <f>SUMIFS(AH$8:AH$1039,$O$8:$O$1039,O611,$AB$8:$AB$1039,AB611,$R$8:$R$1039,R611,$AA$8:$AA$1039,"&lt;="&amp;AA611)</f>
        <v/>
      </c>
      <c r="AK611" s="84">
        <f>C60</f>
        <v/>
      </c>
      <c r="AL611" s="84">
        <f>C66</f>
        <v/>
      </c>
      <c r="AM611" s="84">
        <f>MAX(0,AJ611-AK611)</f>
        <v/>
      </c>
      <c r="AN611" s="84">
        <f>IF(AM611=0,AH611,IF(AM611&gt;=AH611,0,AH611-AM611))</f>
        <v/>
      </c>
      <c r="AO611" s="84">
        <f>IF(AM611&gt;=AH611,AI611,AI611*AM611/AH611)</f>
        <v/>
      </c>
      <c r="AP611">
        <f t="array" ref="AP611">INDEX($AU$8:$BB$25,6*(R611-1)+MATCH(AB611,$AS$8:$AS$13,0),MATCH(O611,$AU$7:$BB$7,0))</f>
        <v/>
      </c>
    </row>
    <row r="612" ht="14.25" customHeight="1">
      <c r="O612" s="43" t="inlineStr">
        <is>
          <t>Q1’27</t>
        </is>
      </c>
      <c r="P612" s="43" t="n">
        <v>3</v>
      </c>
      <c r="Q612" s="43" t="n">
        <v>4</v>
      </c>
      <c r="R612" s="43" t="n">
        <v>2</v>
      </c>
      <c r="S612" s="45" t="n">
        <v>3671.491764705881</v>
      </c>
      <c r="T612">
        <f>(S611+S612+S613)=R4</f>
        <v/>
      </c>
      <c r="X612" s="84">
        <f>MAX(S609-S612,0)</f>
        <v/>
      </c>
      <c r="Y612" s="83" t="n">
        <v>0</v>
      </c>
      <c r="AA612" s="84" t="n">
        <v>9</v>
      </c>
      <c r="AB612" s="84" t="inlineStr">
        <is>
          <t>E</t>
        </is>
      </c>
      <c r="AC612" s="84" t="inlineStr">
        <is>
          <t>E+</t>
        </is>
      </c>
      <c r="AD612" s="84" t="n">
        <v>15</v>
      </c>
      <c r="AE612" s="84" t="n">
        <v>11</v>
      </c>
      <c r="AF612" s="84" t="n">
        <v>0.76</v>
      </c>
      <c r="AG612" s="84" t="n">
        <v>0.84</v>
      </c>
      <c r="AH612" s="84" t="n">
        <v>0</v>
      </c>
      <c r="AI612" s="84" t="n">
        <v>0</v>
      </c>
      <c r="AJ612" s="84">
        <f>SUMIFS(AH$8:AH$1039,$O$8:$O$1039,O612,$AB$8:$AB$1039,AB612,$R$8:$R$1039,R612,$AA$8:$AA$1039,"&lt;="&amp;AA612)</f>
        <v/>
      </c>
      <c r="AK612" s="84">
        <f>D60</f>
        <v/>
      </c>
      <c r="AL612" s="84">
        <f>D66</f>
        <v/>
      </c>
      <c r="AM612" s="84">
        <f>MAX(0,AJ612-AK612)</f>
        <v/>
      </c>
      <c r="AN612" s="84">
        <f>IF(AM612=0,AH612,IF(AM612&gt;=AH612,0,AH612-AM612))</f>
        <v/>
      </c>
      <c r="AO612" s="84">
        <f>IF(AM612&gt;=AH612,AI612,AI612*AM612/AH612)</f>
        <v/>
      </c>
      <c r="AP612">
        <f t="array" ref="AP612">INDEX($AU$8:$BB$25,6*(R612-1)+MATCH(AB612,$AS$8:$AS$13,0),MATCH(O612,$AU$7:$BB$7,0))</f>
        <v/>
      </c>
    </row>
    <row r="613" ht="14.25" customHeight="1">
      <c r="O613" s="43" t="inlineStr">
        <is>
          <t>Q1’27</t>
        </is>
      </c>
      <c r="P613" s="43" t="n">
        <v>3</v>
      </c>
      <c r="Q613" s="43" t="n">
        <v>4</v>
      </c>
      <c r="R613" s="43" t="n">
        <v>3</v>
      </c>
      <c r="S613" s="45" t="n">
        <v>3319.10677837014</v>
      </c>
      <c r="T613">
        <f>(S611+S612+S613)=R4</f>
        <v/>
      </c>
      <c r="X613" s="84">
        <f>MAX(S610-S613,0)</f>
        <v/>
      </c>
      <c r="Y613" s="83" t="n">
        <v>0</v>
      </c>
      <c r="AA613" s="84" t="n">
        <v>9</v>
      </c>
      <c r="AB613" s="84" t="inlineStr">
        <is>
          <t>E</t>
        </is>
      </c>
      <c r="AC613" s="84" t="inlineStr">
        <is>
          <t>E+</t>
        </is>
      </c>
      <c r="AD613" s="84" t="n">
        <v>15</v>
      </c>
      <c r="AE613" s="84" t="n">
        <v>11</v>
      </c>
      <c r="AF613" s="84" t="n">
        <v>0.76</v>
      </c>
      <c r="AG613" s="84" t="n">
        <v>0.84</v>
      </c>
      <c r="AH613" s="84" t="n">
        <v>0</v>
      </c>
      <c r="AI613" s="84" t="n">
        <v>0</v>
      </c>
      <c r="AJ613" s="84">
        <f>SUMIFS(AH$8:AH$1039,$O$8:$O$1039,O613,$AB$8:$AB$1039,AB613,$R$8:$R$1039,R613,$AA$8:$AA$1039,"&lt;="&amp;AA613)</f>
        <v/>
      </c>
      <c r="AK613" s="84">
        <f>E60</f>
        <v/>
      </c>
      <c r="AL613" s="84">
        <f>E66</f>
        <v/>
      </c>
      <c r="AM613" s="84">
        <f>MAX(0,AJ613-AK613)</f>
        <v/>
      </c>
      <c r="AN613" s="84">
        <f>IF(AM613=0,AH613,IF(AM613&gt;=AH613,0,AH613-AM613))</f>
        <v/>
      </c>
      <c r="AO613" s="84">
        <f>IF(AM613&gt;=AH613,AI613,AI613*AM613/AH613)</f>
        <v/>
      </c>
      <c r="AP613">
        <f t="array" ref="AP613">INDEX($AU$8:$BB$25,6*(R613-1)+MATCH(AB613,$AS$8:$AS$13,0),MATCH(O613,$AU$7:$BB$7,0))</f>
        <v/>
      </c>
    </row>
    <row r="614" ht="14.25" customHeight="1">
      <c r="O614" s="43" t="inlineStr">
        <is>
          <t>Q1’27</t>
        </is>
      </c>
      <c r="P614" s="43" t="n">
        <v>3</v>
      </c>
      <c r="Q614" s="43" t="n">
        <v>5</v>
      </c>
      <c r="R614" s="43" t="n">
        <v>1</v>
      </c>
      <c r="S614" s="45" t="n">
        <v>2009.401456923979</v>
      </c>
      <c r="T614">
        <f>(S614+S615+S616)=R4</f>
        <v/>
      </c>
      <c r="X614" s="84">
        <f>MAX(S611-S614,0)</f>
        <v/>
      </c>
      <c r="Y614" s="83" t="n">
        <v>0</v>
      </c>
      <c r="AA614" s="84" t="n">
        <v>6</v>
      </c>
      <c r="AB614" s="84" t="inlineStr">
        <is>
          <t>F</t>
        </is>
      </c>
      <c r="AC614" s="84" t="inlineStr">
        <is>
          <t>F+</t>
        </is>
      </c>
      <c r="AD614" s="84" t="n">
        <v>16</v>
      </c>
      <c r="AE614" s="84" t="n">
        <v>14</v>
      </c>
      <c r="AF614" s="84" t="n">
        <v>0.8</v>
      </c>
      <c r="AG614" s="84" t="n">
        <v>0.9</v>
      </c>
      <c r="AH614" s="84" t="n">
        <v>0</v>
      </c>
      <c r="AI614" s="84" t="n">
        <v>0</v>
      </c>
      <c r="AJ614" s="84">
        <f>SUMIFS(AH$8:AH$1039,$O$8:$O$1039,O614,$AB$8:$AB$1039,AB614,$R$8:$R$1039,R614,$AA$8:$AA$1039,"&lt;="&amp;AA614)</f>
        <v/>
      </c>
      <c r="AK614" s="84">
        <f>C61</f>
        <v/>
      </c>
      <c r="AL614" s="84">
        <f>C67</f>
        <v/>
      </c>
      <c r="AM614" s="84">
        <f>MAX(0,AJ614-AK614)</f>
        <v/>
      </c>
      <c r="AN614" s="84">
        <f>IF(AM614=0,AH614,IF(AM614&gt;=AH614,0,AH614-AM614))</f>
        <v/>
      </c>
      <c r="AO614" s="84">
        <f>IF(AM614&gt;=AH614,AI614,AI614*AM614/AH614)</f>
        <v/>
      </c>
      <c r="AP614">
        <f t="array" ref="AP614">INDEX($AU$8:$BB$25,6*(R614-1)+MATCH(AB614,$AS$8:$AS$13,0),MATCH(O614,$AU$7:$BB$7,0))</f>
        <v/>
      </c>
    </row>
    <row r="615" ht="14.25" customHeight="1">
      <c r="O615" s="43" t="inlineStr">
        <is>
          <t>Q1’27</t>
        </is>
      </c>
      <c r="P615" s="43" t="n">
        <v>3</v>
      </c>
      <c r="Q615" s="43" t="n">
        <v>5</v>
      </c>
      <c r="R615" s="43" t="n">
        <v>2</v>
      </c>
      <c r="S615" s="45" t="n">
        <v>3671.491764705881</v>
      </c>
      <c r="T615">
        <f>(S614+S615+S616)=R4</f>
        <v/>
      </c>
      <c r="X615" s="84">
        <f>MAX(S612-S615,0)</f>
        <v/>
      </c>
      <c r="Y615" s="83" t="n">
        <v>0</v>
      </c>
      <c r="AA615" s="84" t="n">
        <v>6</v>
      </c>
      <c r="AB615" s="84" t="inlineStr">
        <is>
          <t>F</t>
        </is>
      </c>
      <c r="AC615" s="84" t="inlineStr">
        <is>
          <t>F+</t>
        </is>
      </c>
      <c r="AD615" s="84" t="n">
        <v>16</v>
      </c>
      <c r="AE615" s="84" t="n">
        <v>14</v>
      </c>
      <c r="AF615" s="84" t="n">
        <v>0.8</v>
      </c>
      <c r="AG615" s="84" t="n">
        <v>0.9</v>
      </c>
      <c r="AH615" s="84" t="n">
        <v>0</v>
      </c>
      <c r="AI615" s="84" t="n">
        <v>0</v>
      </c>
      <c r="AJ615" s="84">
        <f>SUMIFS(AH$8:AH$1039,$O$8:$O$1039,O615,$AB$8:$AB$1039,AB615,$R$8:$R$1039,R615,$AA$8:$AA$1039,"&lt;="&amp;AA615)</f>
        <v/>
      </c>
      <c r="AK615" s="84">
        <f>D61</f>
        <v/>
      </c>
      <c r="AL615" s="84">
        <f>D67</f>
        <v/>
      </c>
      <c r="AM615" s="84">
        <f>MAX(0,AJ615-AK615)</f>
        <v/>
      </c>
      <c r="AN615" s="84">
        <f>IF(AM615=0,AH615,IF(AM615&gt;=AH615,0,AH615-AM615))</f>
        <v/>
      </c>
      <c r="AO615" s="84">
        <f>IF(AM615&gt;=AH615,AI615,AI615*AM615/AH615)</f>
        <v/>
      </c>
      <c r="AP615">
        <f t="array" ref="AP615">INDEX($AU$8:$BB$25,6*(R615-1)+MATCH(AB615,$AS$8:$AS$13,0),MATCH(O615,$AU$7:$BB$7,0))</f>
        <v/>
      </c>
    </row>
    <row r="616" ht="14.25" customHeight="1">
      <c r="O616" s="43" t="inlineStr">
        <is>
          <t>Q1’27</t>
        </is>
      </c>
      <c r="P616" s="43" t="n">
        <v>3</v>
      </c>
      <c r="Q616" s="43" t="n">
        <v>5</v>
      </c>
      <c r="R616" s="43" t="n">
        <v>3</v>
      </c>
      <c r="S616" s="45" t="n">
        <v>3319.10677837014</v>
      </c>
      <c r="T616">
        <f>(S614+S615+S616)=R4</f>
        <v/>
      </c>
      <c r="X616" s="84">
        <f>MAX(S613-S616,0)</f>
        <v/>
      </c>
      <c r="Y616" s="83" t="n">
        <v>0</v>
      </c>
      <c r="AA616" s="84" t="n">
        <v>6</v>
      </c>
      <c r="AB616" s="84" t="inlineStr">
        <is>
          <t>F</t>
        </is>
      </c>
      <c r="AC616" s="84" t="inlineStr">
        <is>
          <t>F+</t>
        </is>
      </c>
      <c r="AD616" s="84" t="n">
        <v>16</v>
      </c>
      <c r="AE616" s="84" t="n">
        <v>14</v>
      </c>
      <c r="AF616" s="84" t="n">
        <v>0.8</v>
      </c>
      <c r="AG616" s="84" t="n">
        <v>0.9</v>
      </c>
      <c r="AH616" s="84" t="n">
        <v>0</v>
      </c>
      <c r="AI616" s="84" t="n">
        <v>0</v>
      </c>
      <c r="AJ616" s="84">
        <f>SUMIFS(AH$8:AH$1039,$O$8:$O$1039,O616,$AB$8:$AB$1039,AB616,$R$8:$R$1039,R616,$AA$8:$AA$1039,"&lt;="&amp;AA616)</f>
        <v/>
      </c>
      <c r="AK616" s="84">
        <f>E61</f>
        <v/>
      </c>
      <c r="AL616" s="84">
        <f>E67</f>
        <v/>
      </c>
      <c r="AM616" s="84">
        <f>MAX(0,AJ616-AK616)</f>
        <v/>
      </c>
      <c r="AN616" s="84">
        <f>IF(AM616=0,AH616,IF(AM616&gt;=AH616,0,AH616-AM616))</f>
        <v/>
      </c>
      <c r="AO616" s="84">
        <f>IF(AM616&gt;=AH616,AI616,AI616*AM616/AH616)</f>
        <v/>
      </c>
      <c r="AP616">
        <f t="array" ref="AP616">INDEX($AU$8:$BB$25,6*(R616-1)+MATCH(AB616,$AS$8:$AS$13,0),MATCH(O616,$AU$7:$BB$7,0))</f>
        <v/>
      </c>
    </row>
    <row r="617" ht="14.25" customHeight="1">
      <c r="O617" s="43" t="inlineStr">
        <is>
          <t>Q1’27</t>
        </is>
      </c>
      <c r="P617" s="43" t="n">
        <v>3</v>
      </c>
      <c r="Q617" s="43" t="n">
        <v>6</v>
      </c>
      <c r="R617" s="43" t="n">
        <v>1</v>
      </c>
      <c r="S617" s="45" t="n">
        <v>2009.401456923979</v>
      </c>
      <c r="T617">
        <f>(S617+S618+S619)=R4</f>
        <v/>
      </c>
      <c r="X617" s="84">
        <f>MAX(S614-S617,0)</f>
        <v/>
      </c>
      <c r="Y617" s="83" t="n">
        <v>0</v>
      </c>
      <c r="AA617" s="84" t="n">
        <v>1</v>
      </c>
      <c r="AB617" s="84" t="inlineStr">
        <is>
          <t>D</t>
        </is>
      </c>
      <c r="AC617" s="84" t="inlineStr">
        <is>
          <t>D+</t>
        </is>
      </c>
      <c r="AD617" s="84" t="n">
        <v>12</v>
      </c>
      <c r="AE617" s="84" t="n">
        <v>11</v>
      </c>
      <c r="AF617" s="84" t="n">
        <v>0.8</v>
      </c>
      <c r="AG617" s="84" t="n">
        <v>0.88</v>
      </c>
      <c r="AH617" s="84" t="n">
        <v>0</v>
      </c>
      <c r="AI617" s="84" t="n">
        <v>0</v>
      </c>
      <c r="AJ617" s="84">
        <f>SUMIFS(AH$8:AH$1039,$O$8:$O$1039,O617,$AB$8:$AB$1039,AB617,$R$8:$R$1039,R617,$AA$8:$AA$1039,"&lt;="&amp;AA617)</f>
        <v/>
      </c>
      <c r="AK617" s="84">
        <f>C59</f>
        <v/>
      </c>
      <c r="AL617" s="84">
        <f>C65</f>
        <v/>
      </c>
      <c r="AM617" s="84">
        <f>MAX(0,AJ617-AK617)</f>
        <v/>
      </c>
      <c r="AN617" s="84">
        <f>IF(AM617=0,AH617,IF(AM617&gt;=AH617,0,AH617-AM617))</f>
        <v/>
      </c>
      <c r="AO617" s="84">
        <f>IF(AM617&gt;=AH617,AI617,AI617*AM617/AH617)</f>
        <v/>
      </c>
      <c r="AP617">
        <f t="array" ref="AP617">INDEX($AU$8:$BB$25,6*(R617-1)+MATCH(AB617,$AS$8:$AS$13,0),MATCH(O617,$AU$7:$BB$7,0))</f>
        <v/>
      </c>
    </row>
    <row r="618" ht="14.25" customHeight="1">
      <c r="O618" s="43" t="inlineStr">
        <is>
          <t>Q1’27</t>
        </is>
      </c>
      <c r="P618" s="43" t="n">
        <v>3</v>
      </c>
      <c r="Q618" s="43" t="n">
        <v>6</v>
      </c>
      <c r="R618" s="43" t="n">
        <v>2</v>
      </c>
      <c r="S618" s="45" t="n">
        <v>3671.491764705881</v>
      </c>
      <c r="T618">
        <f>(S617+S618+S619)=R4</f>
        <v/>
      </c>
      <c r="X618" s="84">
        <f>MAX(S615-S618,0)</f>
        <v/>
      </c>
      <c r="Y618" s="83" t="n">
        <v>0</v>
      </c>
      <c r="AA618" s="84" t="n">
        <v>1</v>
      </c>
      <c r="AB618" s="84" t="inlineStr">
        <is>
          <t>D</t>
        </is>
      </c>
      <c r="AC618" s="84" t="inlineStr">
        <is>
          <t>D+</t>
        </is>
      </c>
      <c r="AD618" s="84" t="n">
        <v>12</v>
      </c>
      <c r="AE618" s="84" t="n">
        <v>11</v>
      </c>
      <c r="AF618" s="84" t="n">
        <v>0.8</v>
      </c>
      <c r="AG618" s="84" t="n">
        <v>0.88</v>
      </c>
      <c r="AH618" s="84" t="n">
        <v>0</v>
      </c>
      <c r="AI618" s="84" t="n">
        <v>0</v>
      </c>
      <c r="AJ618" s="84">
        <f>SUMIFS(AH$8:AH$1039,$O$8:$O$1039,O618,$AB$8:$AB$1039,AB618,$R$8:$R$1039,R618,$AA$8:$AA$1039,"&lt;="&amp;AA618)</f>
        <v/>
      </c>
      <c r="AK618" s="84">
        <f>D59</f>
        <v/>
      </c>
      <c r="AL618" s="84">
        <f>D65</f>
        <v/>
      </c>
      <c r="AM618" s="84">
        <f>MAX(0,AJ618-AK618)</f>
        <v/>
      </c>
      <c r="AN618" s="84">
        <f>IF(AM618=0,AH618,IF(AM618&gt;=AH618,0,AH618-AM618))</f>
        <v/>
      </c>
      <c r="AO618" s="84">
        <f>IF(AM618&gt;=AH618,AI618,AI618*AM618/AH618)</f>
        <v/>
      </c>
      <c r="AP618">
        <f t="array" ref="AP618">INDEX($AU$8:$BB$25,6*(R618-1)+MATCH(AB618,$AS$8:$AS$13,0),MATCH(O618,$AU$7:$BB$7,0))</f>
        <v/>
      </c>
    </row>
    <row r="619" ht="14.25" customHeight="1">
      <c r="O619" s="43" t="inlineStr">
        <is>
          <t>Q1’27</t>
        </is>
      </c>
      <c r="P619" s="43" t="n">
        <v>3</v>
      </c>
      <c r="Q619" s="43" t="n">
        <v>6</v>
      </c>
      <c r="R619" s="43" t="n">
        <v>3</v>
      </c>
      <c r="S619" s="45" t="n">
        <v>3319.10677837014</v>
      </c>
      <c r="T619">
        <f>(S617+S618+S619)=R4</f>
        <v/>
      </c>
      <c r="X619" s="84">
        <f>MAX(S616-S619,0)</f>
        <v/>
      </c>
      <c r="Y619" s="83" t="n">
        <v>0</v>
      </c>
      <c r="AA619" s="84" t="n">
        <v>1</v>
      </c>
      <c r="AB619" s="84" t="inlineStr">
        <is>
          <t>D</t>
        </is>
      </c>
      <c r="AC619" s="84" t="inlineStr">
        <is>
          <t>D+</t>
        </is>
      </c>
      <c r="AD619" s="84" t="n">
        <v>12</v>
      </c>
      <c r="AE619" s="84" t="n">
        <v>11</v>
      </c>
      <c r="AF619" s="84" t="n">
        <v>0.8</v>
      </c>
      <c r="AG619" s="84" t="n">
        <v>0.88</v>
      </c>
      <c r="AH619" s="84" t="n">
        <v>0</v>
      </c>
      <c r="AI619" s="84" t="n">
        <v>0</v>
      </c>
      <c r="AJ619" s="84">
        <f>SUMIFS(AH$8:AH$1039,$O$8:$O$1039,O619,$AB$8:$AB$1039,AB619,$R$8:$R$1039,R619,$AA$8:$AA$1039,"&lt;="&amp;AA619)</f>
        <v/>
      </c>
      <c r="AK619" s="84">
        <f>E59</f>
        <v/>
      </c>
      <c r="AL619" s="84">
        <f>E65</f>
        <v/>
      </c>
      <c r="AM619" s="84">
        <f>MAX(0,AJ619-AK619)</f>
        <v/>
      </c>
      <c r="AN619" s="84">
        <f>IF(AM619=0,AH619,IF(AM619&gt;=AH619,0,AH619-AM619))</f>
        <v/>
      </c>
      <c r="AO619" s="84">
        <f>IF(AM619&gt;=AH619,AI619,AI619*AM619/AH619)</f>
        <v/>
      </c>
      <c r="AP619">
        <f t="array" ref="AP619">INDEX($AU$8:$BB$25,6*(R619-1)+MATCH(AB619,$AS$8:$AS$13,0),MATCH(O619,$AU$7:$BB$7,0))</f>
        <v/>
      </c>
    </row>
    <row r="620" ht="14.25" customHeight="1">
      <c r="O620" s="43" t="inlineStr">
        <is>
          <t>Q1’27</t>
        </is>
      </c>
      <c r="P620" s="43" t="n">
        <v>3</v>
      </c>
      <c r="Q620" s="43" t="n">
        <v>7</v>
      </c>
      <c r="R620" s="43" t="n">
        <v>1</v>
      </c>
      <c r="S620" s="45" t="n">
        <v>2009.401456923979</v>
      </c>
      <c r="T620">
        <f>(S620+S621+S622)=R4</f>
        <v/>
      </c>
      <c r="X620" s="84">
        <f>MAX(S617-S620,0)</f>
        <v/>
      </c>
      <c r="Y620" s="83" t="n">
        <v>0</v>
      </c>
      <c r="AA620" s="84" t="n">
        <v>3</v>
      </c>
      <c r="AB620" s="84" t="inlineStr">
        <is>
          <t>C</t>
        </is>
      </c>
      <c r="AC620" s="84" t="inlineStr">
        <is>
          <t>C+</t>
        </is>
      </c>
      <c r="AD620" s="84" t="n">
        <v>24</v>
      </c>
      <c r="AE620" s="84" t="n">
        <v>21</v>
      </c>
      <c r="AF620" s="84" t="n">
        <v>0.8</v>
      </c>
      <c r="AG620" s="84" t="n">
        <v>0.86</v>
      </c>
      <c r="AH620" s="84" t="n">
        <v>0</v>
      </c>
      <c r="AI620" s="84" t="n">
        <v>0</v>
      </c>
      <c r="AJ620" s="84">
        <f>SUMIFS(AH$8:AH$1039,$O$8:$O$1039,O620,$AB$8:$AB$1039,AB620,$R$8:$R$1039,R620,$AA$8:$AA$1039,"&lt;="&amp;AA620)</f>
        <v/>
      </c>
      <c r="AK620" s="84">
        <f>C58</f>
        <v/>
      </c>
      <c r="AL620" s="84">
        <f>C64</f>
        <v/>
      </c>
      <c r="AM620" s="84">
        <f>MAX(0,AJ620-AK620)</f>
        <v/>
      </c>
      <c r="AN620" s="84">
        <f>IF(AM620=0,AH620,IF(AM620&gt;=AH620,0,AH620-AM620))</f>
        <v/>
      </c>
      <c r="AO620" s="84">
        <f>IF(AM620&gt;=AH620,AI620,AI620*AM620/AH620)</f>
        <v/>
      </c>
      <c r="AP620">
        <f t="array" ref="AP620">INDEX($AU$8:$BB$25,6*(R620-1)+MATCH(AB620,$AS$8:$AS$13,0),MATCH(O620,$AU$7:$BB$7,0))</f>
        <v/>
      </c>
    </row>
    <row r="621" ht="14.25" customHeight="1">
      <c r="O621" s="43" t="inlineStr">
        <is>
          <t>Q1’27</t>
        </is>
      </c>
      <c r="P621" s="43" t="n">
        <v>3</v>
      </c>
      <c r="Q621" s="43" t="n">
        <v>7</v>
      </c>
      <c r="R621" s="43" t="n">
        <v>2</v>
      </c>
      <c r="S621" s="45" t="n">
        <v>3671.491764705881</v>
      </c>
      <c r="T621">
        <f>(S620+S621+S622)=R4</f>
        <v/>
      </c>
      <c r="X621" s="84">
        <f>MAX(S618-S621,0)</f>
        <v/>
      </c>
      <c r="Y621" s="83" t="n">
        <v>0</v>
      </c>
      <c r="AA621" s="84" t="n">
        <v>3</v>
      </c>
      <c r="AB621" s="84" t="inlineStr">
        <is>
          <t>C</t>
        </is>
      </c>
      <c r="AC621" s="84" t="inlineStr">
        <is>
          <t>C+</t>
        </is>
      </c>
      <c r="AD621" s="84" t="n">
        <v>24</v>
      </c>
      <c r="AE621" s="84" t="n">
        <v>21</v>
      </c>
      <c r="AF621" s="84" t="n">
        <v>0.8</v>
      </c>
      <c r="AG621" s="84" t="n">
        <v>0.86</v>
      </c>
      <c r="AH621" s="84" t="n">
        <v>0</v>
      </c>
      <c r="AI621" s="84" t="n">
        <v>0</v>
      </c>
      <c r="AJ621" s="84">
        <f>SUMIFS(AH$8:AH$1039,$O$8:$O$1039,O621,$AB$8:$AB$1039,AB621,$R$8:$R$1039,R621,$AA$8:$AA$1039,"&lt;="&amp;AA621)</f>
        <v/>
      </c>
      <c r="AK621" s="84">
        <f>D58</f>
        <v/>
      </c>
      <c r="AL621" s="84">
        <f>D64</f>
        <v/>
      </c>
      <c r="AM621" s="84">
        <f>MAX(0,AJ621-AK621)</f>
        <v/>
      </c>
      <c r="AN621" s="84">
        <f>IF(AM621=0,AH621,IF(AM621&gt;=AH621,0,AH621-AM621))</f>
        <v/>
      </c>
      <c r="AO621" s="84">
        <f>IF(AM621&gt;=AH621,AI621,AI621*AM621/AH621)</f>
        <v/>
      </c>
      <c r="AP621">
        <f t="array" ref="AP621">INDEX($AU$8:$BB$25,6*(R621-1)+MATCH(AB621,$AS$8:$AS$13,0),MATCH(O621,$AU$7:$BB$7,0))</f>
        <v/>
      </c>
    </row>
    <row r="622" ht="14.25" customHeight="1">
      <c r="O622" s="43" t="inlineStr">
        <is>
          <t>Q1’27</t>
        </is>
      </c>
      <c r="P622" s="43" t="n">
        <v>3</v>
      </c>
      <c r="Q622" s="43" t="n">
        <v>7</v>
      </c>
      <c r="R622" s="43" t="n">
        <v>3</v>
      </c>
      <c r="S622" s="45" t="n">
        <v>3319.10677837014</v>
      </c>
      <c r="T622">
        <f>(S620+S621+S622)=R4</f>
        <v/>
      </c>
      <c r="X622" s="84">
        <f>MAX(S619-S622,0)</f>
        <v/>
      </c>
      <c r="Y622" s="83" t="n">
        <v>0</v>
      </c>
      <c r="AA622" s="84" t="n">
        <v>3</v>
      </c>
      <c r="AB622" s="84" t="inlineStr">
        <is>
          <t>C</t>
        </is>
      </c>
      <c r="AC622" s="84" t="inlineStr">
        <is>
          <t>C+</t>
        </is>
      </c>
      <c r="AD622" s="84" t="n">
        <v>24</v>
      </c>
      <c r="AE622" s="84" t="n">
        <v>21</v>
      </c>
      <c r="AF622" s="84" t="n">
        <v>0.8</v>
      </c>
      <c r="AG622" s="84" t="n">
        <v>0.86</v>
      </c>
      <c r="AH622" s="84" t="n">
        <v>0</v>
      </c>
      <c r="AI622" s="84" t="n">
        <v>0</v>
      </c>
      <c r="AJ622" s="84">
        <f>SUMIFS(AH$8:AH$1039,$O$8:$O$1039,O622,$AB$8:$AB$1039,AB622,$R$8:$R$1039,R622,$AA$8:$AA$1039,"&lt;="&amp;AA622)</f>
        <v/>
      </c>
      <c r="AK622" s="84">
        <f>E58</f>
        <v/>
      </c>
      <c r="AL622" s="84">
        <f>E64</f>
        <v/>
      </c>
      <c r="AM622" s="84">
        <f>MAX(0,AJ622-AK622)</f>
        <v/>
      </c>
      <c r="AN622" s="84">
        <f>IF(AM622=0,AH622,IF(AM622&gt;=AH622,0,AH622-AM622))</f>
        <v/>
      </c>
      <c r="AO622" s="84">
        <f>IF(AM622&gt;=AH622,AI622,AI622*AM622/AH622)</f>
        <v/>
      </c>
      <c r="AP622">
        <f t="array" ref="AP622">INDEX($AU$8:$BB$25,6*(R622-1)+MATCH(AB622,$AS$8:$AS$13,0),MATCH(O622,$AU$7:$BB$7,0))</f>
        <v/>
      </c>
    </row>
    <row r="623" ht="14.25" customHeight="1">
      <c r="O623" s="43" t="inlineStr">
        <is>
          <t>Q1’27</t>
        </is>
      </c>
      <c r="P623" s="43" t="n">
        <v>3</v>
      </c>
      <c r="Q623" s="43" t="n">
        <v>8</v>
      </c>
      <c r="R623" s="43" t="n">
        <v>1</v>
      </c>
      <c r="S623" s="45" t="n">
        <v>2009.401456923979</v>
      </c>
      <c r="T623">
        <f>(S623+S624+S625)=R4</f>
        <v/>
      </c>
      <c r="X623" s="84">
        <f>MAX(S620-S623,0)</f>
        <v/>
      </c>
      <c r="Y623" s="83" t="n">
        <v>0</v>
      </c>
      <c r="AA623" s="84" t="n">
        <v>5</v>
      </c>
      <c r="AB623" s="84" t="inlineStr">
        <is>
          <t>C</t>
        </is>
      </c>
      <c r="AC623" s="84" t="inlineStr">
        <is>
          <t>C+</t>
        </is>
      </c>
      <c r="AD623" s="84" t="n">
        <v>19</v>
      </c>
      <c r="AE623" s="84" t="n">
        <v>13</v>
      </c>
      <c r="AF623" s="84" t="n">
        <v>0.8</v>
      </c>
      <c r="AG623" s="84" t="n">
        <v>0.86</v>
      </c>
      <c r="AH623" s="84" t="n">
        <v>0</v>
      </c>
      <c r="AI623" s="84" t="n">
        <v>0</v>
      </c>
      <c r="AJ623" s="84">
        <f>SUMIFS(AH$8:AH$1039,$O$8:$O$1039,O623,$AB$8:$AB$1039,AB623,$R$8:$R$1039,R623,$AA$8:$AA$1039,"&lt;="&amp;AA623)</f>
        <v/>
      </c>
      <c r="AK623" s="84">
        <f>C58</f>
        <v/>
      </c>
      <c r="AL623" s="84">
        <f>C64</f>
        <v/>
      </c>
      <c r="AM623" s="84">
        <f>MAX(0,AJ623-AK623)</f>
        <v/>
      </c>
      <c r="AN623" s="84">
        <f>IF(AM623=0,AH623,IF(AM623&gt;=AH623,0,AH623-AM623))</f>
        <v/>
      </c>
      <c r="AO623" s="84">
        <f>IF(AM623&gt;=AH623,AI623,AI623*AM623/AH623)</f>
        <v/>
      </c>
      <c r="AP623">
        <f t="array" ref="AP623">INDEX($AU$8:$BB$25,6*(R623-1)+MATCH(AB623,$AS$8:$AS$13,0),MATCH(O623,$AU$7:$BB$7,0))</f>
        <v/>
      </c>
    </row>
    <row r="624" ht="14.25" customHeight="1">
      <c r="O624" s="43" t="inlineStr">
        <is>
          <t>Q1’27</t>
        </is>
      </c>
      <c r="P624" s="43" t="n">
        <v>3</v>
      </c>
      <c r="Q624" s="43" t="n">
        <v>8</v>
      </c>
      <c r="R624" s="43" t="n">
        <v>2</v>
      </c>
      <c r="S624" s="45" t="n">
        <v>3671.491764705881</v>
      </c>
      <c r="T624">
        <f>(S623+S624+S625)=R4</f>
        <v/>
      </c>
      <c r="X624" s="84">
        <f>MAX(S621-S624,0)</f>
        <v/>
      </c>
      <c r="Y624" s="83" t="n">
        <v>0</v>
      </c>
      <c r="AA624" s="84" t="n">
        <v>5</v>
      </c>
      <c r="AB624" s="84" t="inlineStr">
        <is>
          <t>C</t>
        </is>
      </c>
      <c r="AC624" s="84" t="inlineStr">
        <is>
          <t>C+</t>
        </is>
      </c>
      <c r="AD624" s="84" t="n">
        <v>19</v>
      </c>
      <c r="AE624" s="84" t="n">
        <v>13</v>
      </c>
      <c r="AF624" s="84" t="n">
        <v>0.8</v>
      </c>
      <c r="AG624" s="84" t="n">
        <v>0.86</v>
      </c>
      <c r="AH624" s="84" t="n">
        <v>0</v>
      </c>
      <c r="AI624" s="84" t="n">
        <v>0</v>
      </c>
      <c r="AJ624" s="84">
        <f>SUMIFS(AH$8:AH$1039,$O$8:$O$1039,O624,$AB$8:$AB$1039,AB624,$R$8:$R$1039,R624,$AA$8:$AA$1039,"&lt;="&amp;AA624)</f>
        <v/>
      </c>
      <c r="AK624" s="84">
        <f>D58</f>
        <v/>
      </c>
      <c r="AL624" s="84">
        <f>D64</f>
        <v/>
      </c>
      <c r="AM624" s="84">
        <f>MAX(0,AJ624-AK624)</f>
        <v/>
      </c>
      <c r="AN624" s="84">
        <f>IF(AM624=0,AH624,IF(AM624&gt;=AH624,0,AH624-AM624))</f>
        <v/>
      </c>
      <c r="AO624" s="84">
        <f>IF(AM624&gt;=AH624,AI624,AI624*AM624/AH624)</f>
        <v/>
      </c>
      <c r="AP624">
        <f t="array" ref="AP624">INDEX($AU$8:$BB$25,6*(R624-1)+MATCH(AB624,$AS$8:$AS$13,0),MATCH(O624,$AU$7:$BB$7,0))</f>
        <v/>
      </c>
    </row>
    <row r="625" ht="14.25" customHeight="1">
      <c r="O625" s="43" t="inlineStr">
        <is>
          <t>Q1’27</t>
        </is>
      </c>
      <c r="P625" s="43" t="n">
        <v>3</v>
      </c>
      <c r="Q625" s="43" t="n">
        <v>8</v>
      </c>
      <c r="R625" s="43" t="n">
        <v>3</v>
      </c>
      <c r="S625" s="45" t="n">
        <v>3319.10677837014</v>
      </c>
      <c r="T625">
        <f>(S623+S624+S625)=R4</f>
        <v/>
      </c>
      <c r="X625" s="84">
        <f>MAX(S622-S625,0)</f>
        <v/>
      </c>
      <c r="Y625" s="83" t="n">
        <v>0</v>
      </c>
      <c r="AA625" s="84" t="n">
        <v>5</v>
      </c>
      <c r="AB625" s="84" t="inlineStr">
        <is>
          <t>C</t>
        </is>
      </c>
      <c r="AC625" s="84" t="inlineStr">
        <is>
          <t>C+</t>
        </is>
      </c>
      <c r="AD625" s="84" t="n">
        <v>19</v>
      </c>
      <c r="AE625" s="84" t="n">
        <v>13</v>
      </c>
      <c r="AF625" s="84" t="n">
        <v>0.8</v>
      </c>
      <c r="AG625" s="84" t="n">
        <v>0.86</v>
      </c>
      <c r="AH625" s="84" t="n">
        <v>0</v>
      </c>
      <c r="AI625" s="84" t="n">
        <v>0</v>
      </c>
      <c r="AJ625" s="84">
        <f>SUMIFS(AH$8:AH$1039,$O$8:$O$1039,O625,$AB$8:$AB$1039,AB625,$R$8:$R$1039,R625,$AA$8:$AA$1039,"&lt;="&amp;AA625)</f>
        <v/>
      </c>
      <c r="AK625" s="84">
        <f>E58</f>
        <v/>
      </c>
      <c r="AL625" s="84">
        <f>E64</f>
        <v/>
      </c>
      <c r="AM625" s="84">
        <f>MAX(0,AJ625-AK625)</f>
        <v/>
      </c>
      <c r="AN625" s="84">
        <f>IF(AM625=0,AH625,IF(AM625&gt;=AH625,0,AH625-AM625))</f>
        <v/>
      </c>
      <c r="AO625" s="84">
        <f>IF(AM625&gt;=AH625,AI625,AI625*AM625/AH625)</f>
        <v/>
      </c>
      <c r="AP625">
        <f t="array" ref="AP625">INDEX($AU$8:$BB$25,6*(R625-1)+MATCH(AB625,$AS$8:$AS$13,0),MATCH(O625,$AU$7:$BB$7,0))</f>
        <v/>
      </c>
    </row>
    <row r="626" ht="14.25" customHeight="1">
      <c r="O626" s="43" t="inlineStr">
        <is>
          <t>Q1’27</t>
        </is>
      </c>
      <c r="P626" s="43" t="n">
        <v>3</v>
      </c>
      <c r="Q626" s="43" t="n">
        <v>9</v>
      </c>
      <c r="R626" s="43" t="n">
        <v>1</v>
      </c>
      <c r="S626" s="45" t="n">
        <v>2009.401456923979</v>
      </c>
      <c r="T626">
        <f>(S626+S627+S628)=R4</f>
        <v/>
      </c>
      <c r="X626" s="84">
        <f>MAX(S623-S626,0)</f>
        <v/>
      </c>
      <c r="Y626" s="83" t="n">
        <v>0</v>
      </c>
      <c r="AA626" s="84" t="n">
        <v>3</v>
      </c>
      <c r="AB626" s="84" t="inlineStr">
        <is>
          <t>D</t>
        </is>
      </c>
      <c r="AC626" s="84" t="inlineStr">
        <is>
          <t>D+</t>
        </is>
      </c>
      <c r="AD626" s="84" t="n">
        <v>15</v>
      </c>
      <c r="AE626" s="84" t="n">
        <v>13</v>
      </c>
      <c r="AF626" s="84" t="n">
        <v>0.8</v>
      </c>
      <c r="AG626" s="84" t="n">
        <v>0.88</v>
      </c>
      <c r="AH626" s="84" t="n">
        <v>0</v>
      </c>
      <c r="AI626" s="84" t="n">
        <v>0</v>
      </c>
      <c r="AJ626" s="84">
        <f>SUMIFS(AH$8:AH$1039,$O$8:$O$1039,O626,$AB$8:$AB$1039,AB626,$R$8:$R$1039,R626,$AA$8:$AA$1039,"&lt;="&amp;AA626)</f>
        <v/>
      </c>
      <c r="AK626" s="84">
        <f>C59</f>
        <v/>
      </c>
      <c r="AL626" s="84">
        <f>C65</f>
        <v/>
      </c>
      <c r="AM626" s="84">
        <f>MAX(0,AJ626-AK626)</f>
        <v/>
      </c>
      <c r="AN626" s="84">
        <f>IF(AM626=0,AH626,IF(AM626&gt;=AH626,0,AH626-AM626))</f>
        <v/>
      </c>
      <c r="AO626" s="84">
        <f>IF(AM626&gt;=AH626,AI626,AI626*AM626/AH626)</f>
        <v/>
      </c>
      <c r="AP626">
        <f t="array" ref="AP626">INDEX($AU$8:$BB$25,6*(R626-1)+MATCH(AB626,$AS$8:$AS$13,0),MATCH(O626,$AU$7:$BB$7,0))</f>
        <v/>
      </c>
    </row>
    <row r="627" ht="14.25" customHeight="1">
      <c r="O627" s="43" t="inlineStr">
        <is>
          <t>Q1’27</t>
        </is>
      </c>
      <c r="P627" s="43" t="n">
        <v>3</v>
      </c>
      <c r="Q627" s="43" t="n">
        <v>9</v>
      </c>
      <c r="R627" s="43" t="n">
        <v>2</v>
      </c>
      <c r="S627" s="45" t="n">
        <v>3671.491764705881</v>
      </c>
      <c r="T627">
        <f>(S626+S627+S628)=R4</f>
        <v/>
      </c>
      <c r="X627" s="84">
        <f>MAX(S624-S627,0)</f>
        <v/>
      </c>
      <c r="Y627" s="83" t="n">
        <v>0</v>
      </c>
      <c r="AA627" s="84" t="n">
        <v>3</v>
      </c>
      <c r="AB627" s="84" t="inlineStr">
        <is>
          <t>D</t>
        </is>
      </c>
      <c r="AC627" s="84" t="inlineStr">
        <is>
          <t>D+</t>
        </is>
      </c>
      <c r="AD627" s="84" t="n">
        <v>15</v>
      </c>
      <c r="AE627" s="84" t="n">
        <v>13</v>
      </c>
      <c r="AF627" s="84" t="n">
        <v>0.8</v>
      </c>
      <c r="AG627" s="84" t="n">
        <v>0.88</v>
      </c>
      <c r="AH627" s="84" t="n">
        <v>0</v>
      </c>
      <c r="AI627" s="84" t="n">
        <v>0</v>
      </c>
      <c r="AJ627" s="84">
        <f>SUMIFS(AH$8:AH$1039,$O$8:$O$1039,O627,$AB$8:$AB$1039,AB627,$R$8:$R$1039,R627,$AA$8:$AA$1039,"&lt;="&amp;AA627)</f>
        <v/>
      </c>
      <c r="AK627" s="84">
        <f>D59</f>
        <v/>
      </c>
      <c r="AL627" s="84">
        <f>D65</f>
        <v/>
      </c>
      <c r="AM627" s="84">
        <f>MAX(0,AJ627-AK627)</f>
        <v/>
      </c>
      <c r="AN627" s="84">
        <f>IF(AM627=0,AH627,IF(AM627&gt;=AH627,0,AH627-AM627))</f>
        <v/>
      </c>
      <c r="AO627" s="84">
        <f>IF(AM627&gt;=AH627,AI627,AI627*AM627/AH627)</f>
        <v/>
      </c>
      <c r="AP627">
        <f t="array" ref="AP627">INDEX($AU$8:$BB$25,6*(R627-1)+MATCH(AB627,$AS$8:$AS$13,0),MATCH(O627,$AU$7:$BB$7,0))</f>
        <v/>
      </c>
    </row>
    <row r="628" ht="14.25" customHeight="1">
      <c r="O628" s="43" t="inlineStr">
        <is>
          <t>Q1’27</t>
        </is>
      </c>
      <c r="P628" s="43" t="n">
        <v>3</v>
      </c>
      <c r="Q628" s="43" t="n">
        <v>9</v>
      </c>
      <c r="R628" s="43" t="n">
        <v>3</v>
      </c>
      <c r="S628" s="45" t="n">
        <v>3319.10677837014</v>
      </c>
      <c r="T628">
        <f>(S626+S627+S628)=R4</f>
        <v/>
      </c>
      <c r="X628" s="84">
        <f>MAX(S625-S628,0)</f>
        <v/>
      </c>
      <c r="Y628" s="83" t="n">
        <v>0</v>
      </c>
      <c r="AA628" s="84" t="n">
        <v>3</v>
      </c>
      <c r="AB628" s="84" t="inlineStr">
        <is>
          <t>D</t>
        </is>
      </c>
      <c r="AC628" s="84" t="inlineStr">
        <is>
          <t>D+</t>
        </is>
      </c>
      <c r="AD628" s="84" t="n">
        <v>15</v>
      </c>
      <c r="AE628" s="84" t="n">
        <v>13</v>
      </c>
      <c r="AF628" s="84" t="n">
        <v>0.8</v>
      </c>
      <c r="AG628" s="84" t="n">
        <v>0.88</v>
      </c>
      <c r="AH628" s="84" t="n">
        <v>0</v>
      </c>
      <c r="AI628" s="84" t="n">
        <v>0</v>
      </c>
      <c r="AJ628" s="84">
        <f>SUMIFS(AH$8:AH$1039,$O$8:$O$1039,O628,$AB$8:$AB$1039,AB628,$R$8:$R$1039,R628,$AA$8:$AA$1039,"&lt;="&amp;AA628)</f>
        <v/>
      </c>
      <c r="AK628" s="84">
        <f>E59</f>
        <v/>
      </c>
      <c r="AL628" s="84">
        <f>E65</f>
        <v/>
      </c>
      <c r="AM628" s="84">
        <f>MAX(0,AJ628-AK628)</f>
        <v/>
      </c>
      <c r="AN628" s="84">
        <f>IF(AM628=0,AH628,IF(AM628&gt;=AH628,0,AH628-AM628))</f>
        <v/>
      </c>
      <c r="AO628" s="84">
        <f>IF(AM628&gt;=AH628,AI628,AI628*AM628/AH628)</f>
        <v/>
      </c>
      <c r="AP628">
        <f t="array" ref="AP628">INDEX($AU$8:$BB$25,6*(R628-1)+MATCH(AB628,$AS$8:$AS$13,0),MATCH(O628,$AU$7:$BB$7,0))</f>
        <v/>
      </c>
    </row>
    <row r="629" ht="14.25" customHeight="1">
      <c r="O629" s="43" t="inlineStr">
        <is>
          <t>Q1’27</t>
        </is>
      </c>
      <c r="P629" s="43" t="n">
        <v>3</v>
      </c>
      <c r="Q629" s="43" t="n">
        <v>10</v>
      </c>
      <c r="R629" s="43" t="n">
        <v>1</v>
      </c>
      <c r="S629" s="45" t="n">
        <v>2009.401456923979</v>
      </c>
      <c r="T629">
        <f>(S629+S630+S631)=R4</f>
        <v/>
      </c>
      <c r="X629" s="84">
        <f>MAX(S626-S629,0)</f>
        <v/>
      </c>
      <c r="Y629" s="83" t="n">
        <v>0</v>
      </c>
      <c r="AA629" s="84" t="n">
        <v>5</v>
      </c>
      <c r="AB629" s="84" t="inlineStr">
        <is>
          <t>D</t>
        </is>
      </c>
      <c r="AC629" s="84" t="inlineStr">
        <is>
          <t>D+</t>
        </is>
      </c>
      <c r="AD629" s="84" t="n">
        <v>24</v>
      </c>
      <c r="AE629" s="84" t="n">
        <v>20</v>
      </c>
      <c r="AF629" s="84" t="n">
        <v>0.8</v>
      </c>
      <c r="AG629" s="84" t="n">
        <v>0.88</v>
      </c>
      <c r="AH629" s="84" t="n">
        <v>0</v>
      </c>
      <c r="AI629" s="84" t="n">
        <v>0</v>
      </c>
      <c r="AJ629" s="84">
        <f>SUMIFS(AH$8:AH$1039,$O$8:$O$1039,O629,$AB$8:$AB$1039,AB629,$R$8:$R$1039,R629,$AA$8:$AA$1039,"&lt;="&amp;AA629)</f>
        <v/>
      </c>
      <c r="AK629" s="84">
        <f>C59</f>
        <v/>
      </c>
      <c r="AL629" s="84">
        <f>C65</f>
        <v/>
      </c>
      <c r="AM629" s="84">
        <f>MAX(0,AJ629-AK629)</f>
        <v/>
      </c>
      <c r="AN629" s="84">
        <f>IF(AM629=0,AH629,IF(AM629&gt;=AH629,0,AH629-AM629))</f>
        <v/>
      </c>
      <c r="AO629" s="84">
        <f>IF(AM629&gt;=AH629,AI629,AI629*AM629/AH629)</f>
        <v/>
      </c>
      <c r="AP629">
        <f t="array" ref="AP629">INDEX($AU$8:$BB$25,6*(R629-1)+MATCH(AB629,$AS$8:$AS$13,0),MATCH(O629,$AU$7:$BB$7,0))</f>
        <v/>
      </c>
    </row>
    <row r="630" ht="14.25" customHeight="1">
      <c r="O630" s="43" t="inlineStr">
        <is>
          <t>Q1’27</t>
        </is>
      </c>
      <c r="P630" s="43" t="n">
        <v>3</v>
      </c>
      <c r="Q630" s="43" t="n">
        <v>10</v>
      </c>
      <c r="R630" s="43" t="n">
        <v>2</v>
      </c>
      <c r="S630" s="45" t="n">
        <v>3671.491764705881</v>
      </c>
      <c r="T630">
        <f>(S629+S630+S631)=R4</f>
        <v/>
      </c>
      <c r="X630" s="84">
        <f>MAX(S627-S630,0)</f>
        <v/>
      </c>
      <c r="Y630" s="83" t="n">
        <v>0</v>
      </c>
      <c r="AA630" s="84" t="n">
        <v>5</v>
      </c>
      <c r="AB630" s="84" t="inlineStr">
        <is>
          <t>D</t>
        </is>
      </c>
      <c r="AC630" s="84" t="inlineStr">
        <is>
          <t>D+</t>
        </is>
      </c>
      <c r="AD630" s="84" t="n">
        <v>24</v>
      </c>
      <c r="AE630" s="84" t="n">
        <v>20</v>
      </c>
      <c r="AF630" s="84" t="n">
        <v>0.8</v>
      </c>
      <c r="AG630" s="84" t="n">
        <v>0.88</v>
      </c>
      <c r="AH630" s="84" t="n">
        <v>0</v>
      </c>
      <c r="AI630" s="84" t="n">
        <v>0</v>
      </c>
      <c r="AJ630" s="84">
        <f>SUMIFS(AH$8:AH$1039,$O$8:$O$1039,O630,$AB$8:$AB$1039,AB630,$R$8:$R$1039,R630,$AA$8:$AA$1039,"&lt;="&amp;AA630)</f>
        <v/>
      </c>
      <c r="AK630" s="84">
        <f>D59</f>
        <v/>
      </c>
      <c r="AL630" s="84">
        <f>D65</f>
        <v/>
      </c>
      <c r="AM630" s="84">
        <f>MAX(0,AJ630-AK630)</f>
        <v/>
      </c>
      <c r="AN630" s="84">
        <f>IF(AM630=0,AH630,IF(AM630&gt;=AH630,0,AH630-AM630))</f>
        <v/>
      </c>
      <c r="AO630" s="84">
        <f>IF(AM630&gt;=AH630,AI630,AI630*AM630/AH630)</f>
        <v/>
      </c>
      <c r="AP630">
        <f t="array" ref="AP630">INDEX($AU$8:$BB$25,6*(R630-1)+MATCH(AB630,$AS$8:$AS$13,0),MATCH(O630,$AU$7:$BB$7,0))</f>
        <v/>
      </c>
    </row>
    <row r="631" ht="14.25" customHeight="1">
      <c r="O631" s="43" t="inlineStr">
        <is>
          <t>Q1’27</t>
        </is>
      </c>
      <c r="P631" s="43" t="n">
        <v>3</v>
      </c>
      <c r="Q631" s="43" t="n">
        <v>10</v>
      </c>
      <c r="R631" s="43" t="n">
        <v>3</v>
      </c>
      <c r="S631" s="45" t="n">
        <v>3319.10677837014</v>
      </c>
      <c r="T631">
        <f>(S629+S630+S631)=R4</f>
        <v/>
      </c>
      <c r="X631" s="84">
        <f>MAX(S628-S631,0)</f>
        <v/>
      </c>
      <c r="Y631" s="83" t="n">
        <v>0</v>
      </c>
      <c r="AA631" s="84" t="n">
        <v>5</v>
      </c>
      <c r="AB631" s="84" t="inlineStr">
        <is>
          <t>D</t>
        </is>
      </c>
      <c r="AC631" s="84" t="inlineStr">
        <is>
          <t>D+</t>
        </is>
      </c>
      <c r="AD631" s="84" t="n">
        <v>24</v>
      </c>
      <c r="AE631" s="84" t="n">
        <v>20</v>
      </c>
      <c r="AF631" s="84" t="n">
        <v>0.8</v>
      </c>
      <c r="AG631" s="84" t="n">
        <v>0.88</v>
      </c>
      <c r="AH631" s="84" t="n">
        <v>0</v>
      </c>
      <c r="AI631" s="84" t="n">
        <v>0</v>
      </c>
      <c r="AJ631" s="84">
        <f>SUMIFS(AH$8:AH$1039,$O$8:$O$1039,O631,$AB$8:$AB$1039,AB631,$R$8:$R$1039,R631,$AA$8:$AA$1039,"&lt;="&amp;AA631)</f>
        <v/>
      </c>
      <c r="AK631" s="84">
        <f>E59</f>
        <v/>
      </c>
      <c r="AL631" s="84">
        <f>E65</f>
        <v/>
      </c>
      <c r="AM631" s="84">
        <f>MAX(0,AJ631-AK631)</f>
        <v/>
      </c>
      <c r="AN631" s="84">
        <f>IF(AM631=0,AH631,IF(AM631&gt;=AH631,0,AH631-AM631))</f>
        <v/>
      </c>
      <c r="AO631" s="84">
        <f>IF(AM631&gt;=AH631,AI631,AI631*AM631/AH631)</f>
        <v/>
      </c>
      <c r="AP631">
        <f t="array" ref="AP631">INDEX($AU$8:$BB$25,6*(R631-1)+MATCH(AB631,$AS$8:$AS$13,0),MATCH(O631,$AU$7:$BB$7,0))</f>
        <v/>
      </c>
    </row>
    <row r="632" ht="14.25" customHeight="1">
      <c r="O632" s="43" t="inlineStr">
        <is>
          <t>Q1’27</t>
        </is>
      </c>
      <c r="P632" s="43" t="n">
        <v>3</v>
      </c>
      <c r="Q632" s="43" t="n">
        <v>11</v>
      </c>
      <c r="R632" s="43" t="n">
        <v>1</v>
      </c>
      <c r="S632" s="45" t="n">
        <v>2009.401456923979</v>
      </c>
      <c r="T632">
        <f>(S632+S633+S634)=R4</f>
        <v/>
      </c>
      <c r="X632" s="84">
        <f>MAX(S629-S632,0)</f>
        <v/>
      </c>
      <c r="Y632" s="83" t="n">
        <v>0</v>
      </c>
      <c r="AA632" s="84" t="n">
        <v>3</v>
      </c>
      <c r="AB632" s="84" t="inlineStr">
        <is>
          <t>E</t>
        </is>
      </c>
      <c r="AC632" s="84" t="inlineStr">
        <is>
          <t>E+</t>
        </is>
      </c>
      <c r="AD632" s="84" t="n">
        <v>17</v>
      </c>
      <c r="AE632" s="84" t="n">
        <v>15</v>
      </c>
      <c r="AF632" s="84" t="n">
        <v>0.76</v>
      </c>
      <c r="AG632" s="84" t="n">
        <v>0.84</v>
      </c>
      <c r="AH632" s="84" t="n">
        <v>0</v>
      </c>
      <c r="AI632" s="84" t="n">
        <v>0</v>
      </c>
      <c r="AJ632" s="84">
        <f>SUMIFS(AH$8:AH$1039,$O$8:$O$1039,O632,$AB$8:$AB$1039,AB632,$R$8:$R$1039,R632,$AA$8:$AA$1039,"&lt;="&amp;AA632)</f>
        <v/>
      </c>
      <c r="AK632" s="84">
        <f>C60</f>
        <v/>
      </c>
      <c r="AL632" s="84">
        <f>C66</f>
        <v/>
      </c>
      <c r="AM632" s="84">
        <f>MAX(0,AJ632-AK632)</f>
        <v/>
      </c>
      <c r="AN632" s="84">
        <f>IF(AM632=0,AH632,IF(AM632&gt;=AH632,0,AH632-AM632))</f>
        <v/>
      </c>
      <c r="AO632" s="84">
        <f>IF(AM632&gt;=AH632,AI632,AI632*AM632/AH632)</f>
        <v/>
      </c>
      <c r="AP632">
        <f t="array" ref="AP632">INDEX($AU$8:$BB$25,6*(R632-1)+MATCH(AB632,$AS$8:$AS$13,0),MATCH(O632,$AU$7:$BB$7,0))</f>
        <v/>
      </c>
    </row>
    <row r="633" ht="14.25" customHeight="1">
      <c r="O633" s="43" t="inlineStr">
        <is>
          <t>Q1’27</t>
        </is>
      </c>
      <c r="P633" s="43" t="n">
        <v>3</v>
      </c>
      <c r="Q633" s="43" t="n">
        <v>11</v>
      </c>
      <c r="R633" s="43" t="n">
        <v>2</v>
      </c>
      <c r="S633" s="45" t="n">
        <v>3671.491764705881</v>
      </c>
      <c r="T633">
        <f>(S632+S633+S634)=R4</f>
        <v/>
      </c>
      <c r="X633" s="84">
        <f>MAX(S630-S633,0)</f>
        <v/>
      </c>
      <c r="Y633" s="83" t="n">
        <v>0</v>
      </c>
      <c r="AA633" s="84" t="n">
        <v>3</v>
      </c>
      <c r="AB633" s="84" t="inlineStr">
        <is>
          <t>E</t>
        </is>
      </c>
      <c r="AC633" s="84" t="inlineStr">
        <is>
          <t>E+</t>
        </is>
      </c>
      <c r="AD633" s="84" t="n">
        <v>17</v>
      </c>
      <c r="AE633" s="84" t="n">
        <v>15</v>
      </c>
      <c r="AF633" s="84" t="n">
        <v>0.76</v>
      </c>
      <c r="AG633" s="84" t="n">
        <v>0.84</v>
      </c>
      <c r="AH633" s="84" t="n">
        <v>0</v>
      </c>
      <c r="AI633" s="84" t="n">
        <v>0</v>
      </c>
      <c r="AJ633" s="84">
        <f>SUMIFS(AH$8:AH$1039,$O$8:$O$1039,O633,$AB$8:$AB$1039,AB633,$R$8:$R$1039,R633,$AA$8:$AA$1039,"&lt;="&amp;AA633)</f>
        <v/>
      </c>
      <c r="AK633" s="84">
        <f>D60</f>
        <v/>
      </c>
      <c r="AL633" s="84">
        <f>D66</f>
        <v/>
      </c>
      <c r="AM633" s="84">
        <f>MAX(0,AJ633-AK633)</f>
        <v/>
      </c>
      <c r="AN633" s="84">
        <f>IF(AM633=0,AH633,IF(AM633&gt;=AH633,0,AH633-AM633))</f>
        <v/>
      </c>
      <c r="AO633" s="84">
        <f>IF(AM633&gt;=AH633,AI633,AI633*AM633/AH633)</f>
        <v/>
      </c>
      <c r="AP633">
        <f t="array" ref="AP633">INDEX($AU$8:$BB$25,6*(R633-1)+MATCH(AB633,$AS$8:$AS$13,0),MATCH(O633,$AU$7:$BB$7,0))</f>
        <v/>
      </c>
    </row>
    <row r="634" ht="14.25" customHeight="1">
      <c r="O634" s="43" t="inlineStr">
        <is>
          <t>Q1’27</t>
        </is>
      </c>
      <c r="P634" s="43" t="n">
        <v>3</v>
      </c>
      <c r="Q634" s="43" t="n">
        <v>11</v>
      </c>
      <c r="R634" s="43" t="n">
        <v>3</v>
      </c>
      <c r="S634" s="45" t="n">
        <v>3319.10677837014</v>
      </c>
      <c r="T634">
        <f>(S632+S633+S634)=R4</f>
        <v/>
      </c>
      <c r="X634" s="84">
        <f>MAX(S631-S634,0)</f>
        <v/>
      </c>
      <c r="Y634" s="83" t="n">
        <v>0</v>
      </c>
      <c r="AA634" s="84" t="n">
        <v>3</v>
      </c>
      <c r="AB634" s="84" t="inlineStr">
        <is>
          <t>E</t>
        </is>
      </c>
      <c r="AC634" s="84" t="inlineStr">
        <is>
          <t>E+</t>
        </is>
      </c>
      <c r="AD634" s="84" t="n">
        <v>17</v>
      </c>
      <c r="AE634" s="84" t="n">
        <v>15</v>
      </c>
      <c r="AF634" s="84" t="n">
        <v>0.76</v>
      </c>
      <c r="AG634" s="84" t="n">
        <v>0.84</v>
      </c>
      <c r="AH634" s="84" t="n">
        <v>0</v>
      </c>
      <c r="AI634" s="84" t="n">
        <v>0</v>
      </c>
      <c r="AJ634" s="84">
        <f>SUMIFS(AH$8:AH$1039,$O$8:$O$1039,O634,$AB$8:$AB$1039,AB634,$R$8:$R$1039,R634,$AA$8:$AA$1039,"&lt;="&amp;AA634)</f>
        <v/>
      </c>
      <c r="AK634" s="84">
        <f>E60</f>
        <v/>
      </c>
      <c r="AL634" s="84">
        <f>E66</f>
        <v/>
      </c>
      <c r="AM634" s="84">
        <f>MAX(0,AJ634-AK634)</f>
        <v/>
      </c>
      <c r="AN634" s="84">
        <f>IF(AM634=0,AH634,IF(AM634&gt;=AH634,0,AH634-AM634))</f>
        <v/>
      </c>
      <c r="AO634" s="84">
        <f>IF(AM634&gt;=AH634,AI634,AI634*AM634/AH634)</f>
        <v/>
      </c>
      <c r="AP634">
        <f t="array" ref="AP634">INDEX($AU$8:$BB$25,6*(R634-1)+MATCH(AB634,$AS$8:$AS$13,0),MATCH(O634,$AU$7:$BB$7,0))</f>
        <v/>
      </c>
    </row>
    <row r="635" ht="14.25" customHeight="1">
      <c r="O635" s="43" t="inlineStr">
        <is>
          <t>Q1’27</t>
        </is>
      </c>
      <c r="P635" s="43" t="n">
        <v>3</v>
      </c>
      <c r="Q635" s="43" t="n">
        <v>12</v>
      </c>
      <c r="R635" s="43" t="n">
        <v>1</v>
      </c>
      <c r="S635" s="45" t="n">
        <v>2009.401456923979</v>
      </c>
      <c r="T635">
        <f>(S635+S636+S637)=R4</f>
        <v/>
      </c>
      <c r="X635" s="84">
        <f>MAX(S632-S635,0)</f>
        <v/>
      </c>
      <c r="Y635" s="83" t="n">
        <v>0</v>
      </c>
      <c r="AA635" s="84" t="n">
        <v>10</v>
      </c>
      <c r="AB635" s="84" t="inlineStr">
        <is>
          <t>E</t>
        </is>
      </c>
      <c r="AC635" s="84" t="inlineStr">
        <is>
          <t>E+</t>
        </is>
      </c>
      <c r="AD635" s="84" t="n">
        <v>18</v>
      </c>
      <c r="AE635" s="84" t="n">
        <v>13</v>
      </c>
      <c r="AF635" s="84" t="n">
        <v>0.76</v>
      </c>
      <c r="AG635" s="84" t="n">
        <v>0.84</v>
      </c>
      <c r="AH635" s="84" t="n">
        <v>0</v>
      </c>
      <c r="AI635" s="84" t="n">
        <v>0</v>
      </c>
      <c r="AJ635" s="84">
        <f>SUMIFS(AH$8:AH$1039,$O$8:$O$1039,O635,$AB$8:$AB$1039,AB635,$R$8:$R$1039,R635,$AA$8:$AA$1039,"&lt;="&amp;AA635)</f>
        <v/>
      </c>
      <c r="AK635" s="84">
        <f>C60</f>
        <v/>
      </c>
      <c r="AL635" s="84">
        <f>C66</f>
        <v/>
      </c>
      <c r="AM635" s="84">
        <f>MAX(0,AJ635-AK635)</f>
        <v/>
      </c>
      <c r="AN635" s="84">
        <f>IF(AM635=0,AH635,IF(AM635&gt;=AH635,0,AH635-AM635))</f>
        <v/>
      </c>
      <c r="AO635" s="84">
        <f>IF(AM635&gt;=AH635,AI635,AI635*AM635/AH635)</f>
        <v/>
      </c>
      <c r="AP635">
        <f t="array" ref="AP635">INDEX($AU$8:$BB$25,6*(R635-1)+MATCH(AB635,$AS$8:$AS$13,0),MATCH(O635,$AU$7:$BB$7,0))</f>
        <v/>
      </c>
    </row>
    <row r="636" ht="14.25" customHeight="1">
      <c r="O636" s="43" t="inlineStr">
        <is>
          <t>Q1’27</t>
        </is>
      </c>
      <c r="P636" s="43" t="n">
        <v>3</v>
      </c>
      <c r="Q636" s="43" t="n">
        <v>12</v>
      </c>
      <c r="R636" s="43" t="n">
        <v>2</v>
      </c>
      <c r="S636" s="45" t="n">
        <v>3671.491764705881</v>
      </c>
      <c r="T636">
        <f>(S635+S636+S637)=R4</f>
        <v/>
      </c>
      <c r="X636" s="84">
        <f>MAX(S633-S636,0)</f>
        <v/>
      </c>
      <c r="Y636" s="83" t="n">
        <v>0</v>
      </c>
      <c r="AA636" s="84" t="n">
        <v>10</v>
      </c>
      <c r="AB636" s="84" t="inlineStr">
        <is>
          <t>E</t>
        </is>
      </c>
      <c r="AC636" s="84" t="inlineStr">
        <is>
          <t>E+</t>
        </is>
      </c>
      <c r="AD636" s="84" t="n">
        <v>18</v>
      </c>
      <c r="AE636" s="84" t="n">
        <v>13</v>
      </c>
      <c r="AF636" s="84" t="n">
        <v>0.76</v>
      </c>
      <c r="AG636" s="84" t="n">
        <v>0.84</v>
      </c>
      <c r="AH636" s="84" t="n">
        <v>0</v>
      </c>
      <c r="AI636" s="84" t="n">
        <v>0</v>
      </c>
      <c r="AJ636" s="84">
        <f>SUMIFS(AH$8:AH$1039,$O$8:$O$1039,O636,$AB$8:$AB$1039,AB636,$R$8:$R$1039,R636,$AA$8:$AA$1039,"&lt;="&amp;AA636)</f>
        <v/>
      </c>
      <c r="AK636" s="84">
        <f>D60</f>
        <v/>
      </c>
      <c r="AL636" s="84">
        <f>D66</f>
        <v/>
      </c>
      <c r="AM636" s="84">
        <f>MAX(0,AJ636-AK636)</f>
        <v/>
      </c>
      <c r="AN636" s="84">
        <f>IF(AM636=0,AH636,IF(AM636&gt;=AH636,0,AH636-AM636))</f>
        <v/>
      </c>
      <c r="AO636" s="84">
        <f>IF(AM636&gt;=AH636,AI636,AI636*AM636/AH636)</f>
        <v/>
      </c>
      <c r="AP636">
        <f t="array" ref="AP636">INDEX($AU$8:$BB$25,6*(R636-1)+MATCH(AB636,$AS$8:$AS$13,0),MATCH(O636,$AU$7:$BB$7,0))</f>
        <v/>
      </c>
    </row>
    <row r="637" ht="14.25" customHeight="1">
      <c r="O637" s="43" t="inlineStr">
        <is>
          <t>Q1’27</t>
        </is>
      </c>
      <c r="P637" s="43" t="n">
        <v>3</v>
      </c>
      <c r="Q637" s="43" t="n">
        <v>12</v>
      </c>
      <c r="R637" s="43" t="n">
        <v>3</v>
      </c>
      <c r="S637" s="45" t="n">
        <v>3319.10677837014</v>
      </c>
      <c r="T637">
        <f>(S635+S636+S637)=R4</f>
        <v/>
      </c>
      <c r="X637" s="84">
        <f>MAX(S634-S637,0)</f>
        <v/>
      </c>
      <c r="Y637" s="83" t="n">
        <v>0</v>
      </c>
      <c r="AA637" s="84" t="n">
        <v>10</v>
      </c>
      <c r="AB637" s="84" t="inlineStr">
        <is>
          <t>E</t>
        </is>
      </c>
      <c r="AC637" s="84" t="inlineStr">
        <is>
          <t>E+</t>
        </is>
      </c>
      <c r="AD637" s="84" t="n">
        <v>18</v>
      </c>
      <c r="AE637" s="84" t="n">
        <v>13</v>
      </c>
      <c r="AF637" s="84" t="n">
        <v>0.76</v>
      </c>
      <c r="AG637" s="84" t="n">
        <v>0.84</v>
      </c>
      <c r="AH637" s="84" t="n">
        <v>0</v>
      </c>
      <c r="AI637" s="84" t="n">
        <v>0</v>
      </c>
      <c r="AJ637" s="84">
        <f>SUMIFS(AH$8:AH$1039,$O$8:$O$1039,O637,$AB$8:$AB$1039,AB637,$R$8:$R$1039,R637,$AA$8:$AA$1039,"&lt;="&amp;AA637)</f>
        <v/>
      </c>
      <c r="AK637" s="84">
        <f>E60</f>
        <v/>
      </c>
      <c r="AL637" s="84">
        <f>E66</f>
        <v/>
      </c>
      <c r="AM637" s="84">
        <f>MAX(0,AJ637-AK637)</f>
        <v/>
      </c>
      <c r="AN637" s="84">
        <f>IF(AM637=0,AH637,IF(AM637&gt;=AH637,0,AH637-AM637))</f>
        <v/>
      </c>
      <c r="AO637" s="84">
        <f>IF(AM637&gt;=AH637,AI637,AI637*AM637/AH637)</f>
        <v/>
      </c>
      <c r="AP637">
        <f t="array" ref="AP637">INDEX($AU$8:$BB$25,6*(R637-1)+MATCH(AB637,$AS$8:$AS$13,0),MATCH(O637,$AU$7:$BB$7,0))</f>
        <v/>
      </c>
    </row>
    <row r="638" ht="14.25" customHeight="1">
      <c r="O638" s="43" t="inlineStr">
        <is>
          <t>Q1’27</t>
        </is>
      </c>
      <c r="P638" s="43" t="n">
        <v>3</v>
      </c>
      <c r="Q638" s="43" t="n">
        <v>13</v>
      </c>
      <c r="R638" s="43" t="n">
        <v>1</v>
      </c>
      <c r="S638" s="45" t="n">
        <v>2009.401456923963</v>
      </c>
      <c r="T638">
        <f>(S638+S639+S640)=R4</f>
        <v/>
      </c>
      <c r="X638" s="84">
        <f>MAX(S635-S638,0)</f>
        <v/>
      </c>
      <c r="Y638" s="83" t="n">
        <v>0</v>
      </c>
      <c r="AA638" s="84" t="n">
        <v>2</v>
      </c>
      <c r="AB638" s="84" t="inlineStr">
        <is>
          <t>F</t>
        </is>
      </c>
      <c r="AC638" s="84" t="inlineStr">
        <is>
          <t>F+</t>
        </is>
      </c>
      <c r="AD638" s="84" t="n">
        <v>20</v>
      </c>
      <c r="AE638" s="84" t="n">
        <v>18</v>
      </c>
      <c r="AF638" s="84" t="n">
        <v>0.8</v>
      </c>
      <c r="AG638" s="84" t="n">
        <v>0.9</v>
      </c>
      <c r="AH638" s="84" t="n">
        <v>0</v>
      </c>
      <c r="AI638" s="84" t="n">
        <v>0</v>
      </c>
      <c r="AJ638" s="84">
        <f>SUMIFS(AH$8:AH$1039,$O$8:$O$1039,O638,$AB$8:$AB$1039,AB638,$R$8:$R$1039,R638,$AA$8:$AA$1039,"&lt;="&amp;AA638)</f>
        <v/>
      </c>
      <c r="AK638" s="84">
        <f>C61</f>
        <v/>
      </c>
      <c r="AL638" s="84">
        <f>C67</f>
        <v/>
      </c>
      <c r="AM638" s="84">
        <f>MAX(0,AJ638-AK638)</f>
        <v/>
      </c>
      <c r="AN638" s="84">
        <f>IF(AM638=0,AH638,IF(AM638&gt;=AH638,0,AH638-AM638))</f>
        <v/>
      </c>
      <c r="AO638" s="84">
        <f>IF(AM638&gt;=AH638,AI638,AI638*AM638/AH638)</f>
        <v/>
      </c>
      <c r="AP638">
        <f t="array" ref="AP638">INDEX($AU$8:$BB$25,6*(R638-1)+MATCH(AB638,$AS$8:$AS$13,0),MATCH(O638,$AU$7:$BB$7,0))</f>
        <v/>
      </c>
    </row>
    <row r="639" ht="14.25" customHeight="1">
      <c r="O639" s="43" t="inlineStr">
        <is>
          <t>Q1’27</t>
        </is>
      </c>
      <c r="P639" s="43" t="n">
        <v>3</v>
      </c>
      <c r="Q639" s="43" t="n">
        <v>13</v>
      </c>
      <c r="R639" s="43" t="n">
        <v>2</v>
      </c>
      <c r="S639" s="45" t="n">
        <v>3671.491764705884</v>
      </c>
      <c r="T639">
        <f>(S638+S639+S640)=R4</f>
        <v/>
      </c>
      <c r="X639" s="84">
        <f>MAX(S636-S639,0)</f>
        <v/>
      </c>
      <c r="Y639" s="83" t="n">
        <v>0</v>
      </c>
      <c r="AA639" s="84" t="n">
        <v>2</v>
      </c>
      <c r="AB639" s="84" t="inlineStr">
        <is>
          <t>F</t>
        </is>
      </c>
      <c r="AC639" s="84" t="inlineStr">
        <is>
          <t>F+</t>
        </is>
      </c>
      <c r="AD639" s="84" t="n">
        <v>20</v>
      </c>
      <c r="AE639" s="84" t="n">
        <v>18</v>
      </c>
      <c r="AF639" s="84" t="n">
        <v>0.8</v>
      </c>
      <c r="AG639" s="84" t="n">
        <v>0.9</v>
      </c>
      <c r="AH639" s="84" t="n">
        <v>0</v>
      </c>
      <c r="AI639" s="84" t="n">
        <v>0</v>
      </c>
      <c r="AJ639" s="84">
        <f>SUMIFS(AH$8:AH$1039,$O$8:$O$1039,O639,$AB$8:$AB$1039,AB639,$R$8:$R$1039,R639,$AA$8:$AA$1039,"&lt;="&amp;AA639)</f>
        <v/>
      </c>
      <c r="AK639" s="84">
        <f>D61</f>
        <v/>
      </c>
      <c r="AL639" s="84">
        <f>D67</f>
        <v/>
      </c>
      <c r="AM639" s="84">
        <f>MAX(0,AJ639-AK639)</f>
        <v/>
      </c>
      <c r="AN639" s="84">
        <f>IF(AM639=0,AH639,IF(AM639&gt;=AH639,0,AH639-AM639))</f>
        <v/>
      </c>
      <c r="AO639" s="84">
        <f>IF(AM639&gt;=AH639,AI639,AI639*AM639/AH639)</f>
        <v/>
      </c>
      <c r="AP639">
        <f t="array" ref="AP639">INDEX($AU$8:$BB$25,6*(R639-1)+MATCH(AB639,$AS$8:$AS$13,0),MATCH(O639,$AU$7:$BB$7,0))</f>
        <v/>
      </c>
    </row>
    <row r="640" ht="14.25" customHeight="1">
      <c r="O640" s="43" t="inlineStr">
        <is>
          <t>Q1’27</t>
        </is>
      </c>
      <c r="P640" s="43" t="n">
        <v>3</v>
      </c>
      <c r="Q640" s="43" t="n">
        <v>13</v>
      </c>
      <c r="R640" s="43" t="n">
        <v>3</v>
      </c>
      <c r="S640" s="45" t="n">
        <v>3319.106778370154</v>
      </c>
      <c r="T640">
        <f>(S638+S639+S640)=R4</f>
        <v/>
      </c>
      <c r="X640" s="84">
        <f>MAX(S637-S640,0)</f>
        <v/>
      </c>
      <c r="Y640" s="83" t="n">
        <v>0</v>
      </c>
      <c r="AA640" s="84" t="n">
        <v>2</v>
      </c>
      <c r="AB640" s="84" t="inlineStr">
        <is>
          <t>F</t>
        </is>
      </c>
      <c r="AC640" s="84" t="inlineStr">
        <is>
          <t>F+</t>
        </is>
      </c>
      <c r="AD640" s="84" t="n">
        <v>20</v>
      </c>
      <c r="AE640" s="84" t="n">
        <v>18</v>
      </c>
      <c r="AF640" s="84" t="n">
        <v>0.8</v>
      </c>
      <c r="AG640" s="84" t="n">
        <v>0.9</v>
      </c>
      <c r="AH640" s="84" t="n">
        <v>0</v>
      </c>
      <c r="AI640" s="84" t="n">
        <v>0</v>
      </c>
      <c r="AJ640" s="84">
        <f>SUMIFS(AH$8:AH$1039,$O$8:$O$1039,O640,$AB$8:$AB$1039,AB640,$R$8:$R$1039,R640,$AA$8:$AA$1039,"&lt;="&amp;AA640)</f>
        <v/>
      </c>
      <c r="AK640" s="84">
        <f>E61</f>
        <v/>
      </c>
      <c r="AL640" s="84">
        <f>E67</f>
        <v/>
      </c>
      <c r="AM640" s="84">
        <f>MAX(0,AJ640-AK640)</f>
        <v/>
      </c>
      <c r="AN640" s="84">
        <f>IF(AM640=0,AH640,IF(AM640&gt;=AH640,0,AH640-AM640))</f>
        <v/>
      </c>
      <c r="AO640" s="84">
        <f>IF(AM640&gt;=AH640,AI640,AI640*AM640/AH640)</f>
        <v/>
      </c>
      <c r="AP640">
        <f t="array" ref="AP640">INDEX($AU$8:$BB$25,6*(R640-1)+MATCH(AB640,$AS$8:$AS$13,0),MATCH(O640,$AU$7:$BB$7,0))</f>
        <v/>
      </c>
    </row>
    <row r="641" ht="14.25" customHeight="1">
      <c r="O641" s="43" t="inlineStr">
        <is>
          <t>Q1’27</t>
        </is>
      </c>
      <c r="P641" s="43" t="n">
        <v>3</v>
      </c>
      <c r="Q641" s="43" t="n">
        <v>14</v>
      </c>
      <c r="R641" s="43" t="n">
        <v>1</v>
      </c>
      <c r="S641" s="45" t="n">
        <v>2009.401456923963</v>
      </c>
      <c r="T641">
        <f>(S641+S642+S643)=R4</f>
        <v/>
      </c>
      <c r="X641" s="84">
        <f>MAX(S638-S641,0)</f>
        <v/>
      </c>
      <c r="Y641" s="83" t="n">
        <v>0</v>
      </c>
      <c r="AA641" s="84" t="n">
        <v>2</v>
      </c>
      <c r="AB641" s="84" t="inlineStr">
        <is>
          <t>C</t>
        </is>
      </c>
      <c r="AC641" s="84" t="inlineStr">
        <is>
          <t>C+</t>
        </is>
      </c>
      <c r="AD641" s="84" t="n">
        <v>12</v>
      </c>
      <c r="AE641" s="84" t="n">
        <v>11</v>
      </c>
      <c r="AF641" s="84" t="n">
        <v>0.8</v>
      </c>
      <c r="AG641" s="84" t="n">
        <v>0.86</v>
      </c>
      <c r="AH641" s="84" t="n">
        <v>0</v>
      </c>
      <c r="AI641" s="84" t="n">
        <v>0</v>
      </c>
      <c r="AJ641" s="84">
        <f>SUMIFS(AH$8:AH$1039,$O$8:$O$1039,O641,$AB$8:$AB$1039,AB641,$R$8:$R$1039,R641,$AA$8:$AA$1039,"&lt;="&amp;AA641)</f>
        <v/>
      </c>
      <c r="AK641" s="84">
        <f>C58</f>
        <v/>
      </c>
      <c r="AL641" s="84">
        <f>C64</f>
        <v/>
      </c>
      <c r="AM641" s="84">
        <f>MAX(0,AJ641-AK641)</f>
        <v/>
      </c>
      <c r="AN641" s="84">
        <f>IF(AM641=0,AH641,IF(AM641&gt;=AH641,0,AH641-AM641))</f>
        <v/>
      </c>
      <c r="AO641" s="84">
        <f>IF(AM641&gt;=AH641,AI641,AI641*AM641/AH641)</f>
        <v/>
      </c>
      <c r="AP641">
        <f t="array" ref="AP641">INDEX($AU$8:$BB$25,6*(R641-1)+MATCH(AB641,$AS$8:$AS$13,0),MATCH(O641,$AU$7:$BB$7,0))</f>
        <v/>
      </c>
    </row>
    <row r="642" ht="14.25" customHeight="1">
      <c r="O642" s="43" t="inlineStr">
        <is>
          <t>Q1’27</t>
        </is>
      </c>
      <c r="P642" s="43" t="n">
        <v>3</v>
      </c>
      <c r="Q642" s="43" t="n">
        <v>14</v>
      </c>
      <c r="R642" s="43" t="n">
        <v>2</v>
      </c>
      <c r="S642" s="45" t="n">
        <v>3671.491764705884</v>
      </c>
      <c r="T642">
        <f>(S641+S642+S643)=R4</f>
        <v/>
      </c>
      <c r="X642" s="84">
        <f>MAX(S639-S642,0)</f>
        <v/>
      </c>
      <c r="Y642" s="83" t="n">
        <v>0</v>
      </c>
      <c r="AA642" s="84" t="n">
        <v>2</v>
      </c>
      <c r="AB642" s="84" t="inlineStr">
        <is>
          <t>C</t>
        </is>
      </c>
      <c r="AC642" s="84" t="inlineStr">
        <is>
          <t>C+</t>
        </is>
      </c>
      <c r="AD642" s="84" t="n">
        <v>12</v>
      </c>
      <c r="AE642" s="84" t="n">
        <v>11</v>
      </c>
      <c r="AF642" s="84" t="n">
        <v>0.8</v>
      </c>
      <c r="AG642" s="84" t="n">
        <v>0.86</v>
      </c>
      <c r="AH642" s="84" t="n">
        <v>0</v>
      </c>
      <c r="AI642" s="84" t="n">
        <v>0</v>
      </c>
      <c r="AJ642" s="84">
        <f>SUMIFS(AH$8:AH$1039,$O$8:$O$1039,O642,$AB$8:$AB$1039,AB642,$R$8:$R$1039,R642,$AA$8:$AA$1039,"&lt;="&amp;AA642)</f>
        <v/>
      </c>
      <c r="AK642" s="84">
        <f>D58</f>
        <v/>
      </c>
      <c r="AL642" s="84">
        <f>D64</f>
        <v/>
      </c>
      <c r="AM642" s="84">
        <f>MAX(0,AJ642-AK642)</f>
        <v/>
      </c>
      <c r="AN642" s="84">
        <f>IF(AM642=0,AH642,IF(AM642&gt;=AH642,0,AH642-AM642))</f>
        <v/>
      </c>
      <c r="AO642" s="84">
        <f>IF(AM642&gt;=AH642,AI642,AI642*AM642/AH642)</f>
        <v/>
      </c>
      <c r="AP642">
        <f t="array" ref="AP642">INDEX($AU$8:$BB$25,6*(R642-1)+MATCH(AB642,$AS$8:$AS$13,0),MATCH(O642,$AU$7:$BB$7,0))</f>
        <v/>
      </c>
    </row>
    <row r="643" ht="14.25" customHeight="1">
      <c r="O643" s="43" t="inlineStr">
        <is>
          <t>Q1’27</t>
        </is>
      </c>
      <c r="P643" s="43" t="n">
        <v>3</v>
      </c>
      <c r="Q643" s="43" t="n">
        <v>14</v>
      </c>
      <c r="R643" s="43" t="n">
        <v>3</v>
      </c>
      <c r="S643" s="45" t="n">
        <v>3319.106778370154</v>
      </c>
      <c r="T643">
        <f>(S641+S642+S643)=R4</f>
        <v/>
      </c>
      <c r="X643" s="84">
        <f>MAX(S640-S643,0)</f>
        <v/>
      </c>
      <c r="Y643" s="83" t="n">
        <v>0</v>
      </c>
      <c r="AA643" s="84" t="n">
        <v>2</v>
      </c>
      <c r="AB643" s="84" t="inlineStr">
        <is>
          <t>C</t>
        </is>
      </c>
      <c r="AC643" s="84" t="inlineStr">
        <is>
          <t>C+</t>
        </is>
      </c>
      <c r="AD643" s="84" t="n">
        <v>12</v>
      </c>
      <c r="AE643" s="84" t="n">
        <v>11</v>
      </c>
      <c r="AF643" s="84" t="n">
        <v>0.8</v>
      </c>
      <c r="AG643" s="84" t="n">
        <v>0.86</v>
      </c>
      <c r="AH643" s="84" t="n">
        <v>0</v>
      </c>
      <c r="AI643" s="84" t="n">
        <v>0</v>
      </c>
      <c r="AJ643" s="84">
        <f>SUMIFS(AH$8:AH$1039,$O$8:$O$1039,O643,$AB$8:$AB$1039,AB643,$R$8:$R$1039,R643,$AA$8:$AA$1039,"&lt;="&amp;AA643)</f>
        <v/>
      </c>
      <c r="AK643" s="84">
        <f>E58</f>
        <v/>
      </c>
      <c r="AL643" s="84">
        <f>E64</f>
        <v/>
      </c>
      <c r="AM643" s="84">
        <f>MAX(0,AJ643-AK643)</f>
        <v/>
      </c>
      <c r="AN643" s="84">
        <f>IF(AM643=0,AH643,IF(AM643&gt;=AH643,0,AH643-AM643))</f>
        <v/>
      </c>
      <c r="AO643" s="84">
        <f>IF(AM643&gt;=AH643,AI643,AI643*AM643/AH643)</f>
        <v/>
      </c>
      <c r="AP643">
        <f t="array" ref="AP643">INDEX($AU$8:$BB$25,6*(R643-1)+MATCH(AB643,$AS$8:$AS$13,0),MATCH(O643,$AU$7:$BB$7,0))</f>
        <v/>
      </c>
    </row>
    <row r="644" ht="14.25" customHeight="1">
      <c r="O644" s="43" t="inlineStr">
        <is>
          <t>Q1’27</t>
        </is>
      </c>
      <c r="P644" s="43" t="n">
        <v>3</v>
      </c>
      <c r="Q644" s="43" t="n">
        <v>15</v>
      </c>
      <c r="R644" s="43" t="n">
        <v>1</v>
      </c>
      <c r="S644" s="45" t="n">
        <v>2009.401456923963</v>
      </c>
      <c r="T644">
        <f>(S644+S645+S646)=R4</f>
        <v/>
      </c>
      <c r="X644" s="84">
        <f>MAX(S641-S644,0)</f>
        <v/>
      </c>
      <c r="Y644" s="83" t="n">
        <v>0</v>
      </c>
      <c r="AA644" s="84" t="n">
        <v>2</v>
      </c>
      <c r="AB644" s="84" t="inlineStr">
        <is>
          <t>D</t>
        </is>
      </c>
      <c r="AC644" s="84" t="inlineStr">
        <is>
          <t>D+</t>
        </is>
      </c>
      <c r="AD644" s="84" t="n">
        <v>11</v>
      </c>
      <c r="AE644" s="84" t="n">
        <v>10</v>
      </c>
      <c r="AF644" s="84" t="n">
        <v>0.8</v>
      </c>
      <c r="AG644" s="84" t="n">
        <v>0.88</v>
      </c>
      <c r="AH644" s="84" t="n">
        <v>0</v>
      </c>
      <c r="AI644" s="84" t="n">
        <v>0</v>
      </c>
      <c r="AJ644" s="84">
        <f>SUMIFS(AH$8:AH$1039,$O$8:$O$1039,O644,$AB$8:$AB$1039,AB644,$R$8:$R$1039,R644,$AA$8:$AA$1039,"&lt;="&amp;AA644)</f>
        <v/>
      </c>
      <c r="AK644" s="84">
        <f>C59</f>
        <v/>
      </c>
      <c r="AL644" s="84">
        <f>C65</f>
        <v/>
      </c>
      <c r="AM644" s="84">
        <f>MAX(0,AJ644-AK644)</f>
        <v/>
      </c>
      <c r="AN644" s="84">
        <f>IF(AM644=0,AH644,IF(AM644&gt;=AH644,0,AH644-AM644))</f>
        <v/>
      </c>
      <c r="AO644" s="84">
        <f>IF(AM644&gt;=AH644,AI644,AI644*AM644/AH644)</f>
        <v/>
      </c>
      <c r="AP644">
        <f t="array" ref="AP644">INDEX($AU$8:$BB$25,6*(R644-1)+MATCH(AB644,$AS$8:$AS$13,0),MATCH(O644,$AU$7:$BB$7,0))</f>
        <v/>
      </c>
    </row>
    <row r="645" ht="14.25" customHeight="1">
      <c r="O645" s="43" t="inlineStr">
        <is>
          <t>Q1’27</t>
        </is>
      </c>
      <c r="P645" s="43" t="n">
        <v>3</v>
      </c>
      <c r="Q645" s="43" t="n">
        <v>15</v>
      </c>
      <c r="R645" s="43" t="n">
        <v>2</v>
      </c>
      <c r="S645" s="45" t="n">
        <v>3671.491764705884</v>
      </c>
      <c r="T645">
        <f>(S644+S645+S646)=R4</f>
        <v/>
      </c>
      <c r="X645" s="84">
        <f>MAX(S642-S645,0)</f>
        <v/>
      </c>
      <c r="Y645" s="83" t="n">
        <v>0</v>
      </c>
      <c r="AA645" s="84" t="n">
        <v>2</v>
      </c>
      <c r="AB645" s="84" t="inlineStr">
        <is>
          <t>D</t>
        </is>
      </c>
      <c r="AC645" s="84" t="inlineStr">
        <is>
          <t>D+</t>
        </is>
      </c>
      <c r="AD645" s="84" t="n">
        <v>11</v>
      </c>
      <c r="AE645" s="84" t="n">
        <v>10</v>
      </c>
      <c r="AF645" s="84" t="n">
        <v>0.8</v>
      </c>
      <c r="AG645" s="84" t="n">
        <v>0.88</v>
      </c>
      <c r="AH645" s="84" t="n">
        <v>0</v>
      </c>
      <c r="AI645" s="84" t="n">
        <v>0</v>
      </c>
      <c r="AJ645" s="84">
        <f>SUMIFS(AH$8:AH$1039,$O$8:$O$1039,O645,$AB$8:$AB$1039,AB645,$R$8:$R$1039,R645,$AA$8:$AA$1039,"&lt;="&amp;AA645)</f>
        <v/>
      </c>
      <c r="AK645" s="84">
        <f>D59</f>
        <v/>
      </c>
      <c r="AL645" s="84">
        <f>D65</f>
        <v/>
      </c>
      <c r="AM645" s="84">
        <f>MAX(0,AJ645-AK645)</f>
        <v/>
      </c>
      <c r="AN645" s="84">
        <f>IF(AM645=0,AH645,IF(AM645&gt;=AH645,0,AH645-AM645))</f>
        <v/>
      </c>
      <c r="AO645" s="84">
        <f>IF(AM645&gt;=AH645,AI645,AI645*AM645/AH645)</f>
        <v/>
      </c>
      <c r="AP645">
        <f t="array" ref="AP645">INDEX($AU$8:$BB$25,6*(R645-1)+MATCH(AB645,$AS$8:$AS$13,0),MATCH(O645,$AU$7:$BB$7,0))</f>
        <v/>
      </c>
    </row>
    <row r="646" ht="14.25" customHeight="1">
      <c r="O646" s="43" t="inlineStr">
        <is>
          <t>Q1’27</t>
        </is>
      </c>
      <c r="P646" s="43" t="n">
        <v>3</v>
      </c>
      <c r="Q646" s="43" t="n">
        <v>15</v>
      </c>
      <c r="R646" s="43" t="n">
        <v>3</v>
      </c>
      <c r="S646" s="45" t="n">
        <v>3319.106778370154</v>
      </c>
      <c r="T646">
        <f>(S644+S645+S646)=R4</f>
        <v/>
      </c>
      <c r="X646" s="84">
        <f>MAX(S643-S646,0)</f>
        <v/>
      </c>
      <c r="Y646" s="83" t="n">
        <v>0</v>
      </c>
      <c r="AA646" s="84" t="n">
        <v>2</v>
      </c>
      <c r="AB646" s="84" t="inlineStr">
        <is>
          <t>D</t>
        </is>
      </c>
      <c r="AC646" s="84" t="inlineStr">
        <is>
          <t>D+</t>
        </is>
      </c>
      <c r="AD646" s="84" t="n">
        <v>11</v>
      </c>
      <c r="AE646" s="84" t="n">
        <v>10</v>
      </c>
      <c r="AF646" s="84" t="n">
        <v>0.8</v>
      </c>
      <c r="AG646" s="84" t="n">
        <v>0.88</v>
      </c>
      <c r="AH646" s="84" t="n">
        <v>0</v>
      </c>
      <c r="AI646" s="84" t="n">
        <v>0</v>
      </c>
      <c r="AJ646" s="84">
        <f>SUMIFS(AH$8:AH$1039,$O$8:$O$1039,O646,$AB$8:$AB$1039,AB646,$R$8:$R$1039,R646,$AA$8:$AA$1039,"&lt;="&amp;AA646)</f>
        <v/>
      </c>
      <c r="AK646" s="84">
        <f>E59</f>
        <v/>
      </c>
      <c r="AL646" s="84">
        <f>E65</f>
        <v/>
      </c>
      <c r="AM646" s="84">
        <f>MAX(0,AJ646-AK646)</f>
        <v/>
      </c>
      <c r="AN646" s="84">
        <f>IF(AM646=0,AH646,IF(AM646&gt;=AH646,0,AH646-AM646))</f>
        <v/>
      </c>
      <c r="AO646" s="84">
        <f>IF(AM646&gt;=AH646,AI646,AI646*AM646/AH646)</f>
        <v/>
      </c>
      <c r="AP646">
        <f t="array" ref="AP646">INDEX($AU$8:$BB$25,6*(R646-1)+MATCH(AB646,$AS$8:$AS$13,0),MATCH(O646,$AU$7:$BB$7,0))</f>
        <v/>
      </c>
    </row>
    <row r="647" ht="14.25" customHeight="1">
      <c r="O647" s="43" t="inlineStr">
        <is>
          <t>Q1’27</t>
        </is>
      </c>
      <c r="P647" s="43" t="n">
        <v>3</v>
      </c>
      <c r="Q647" s="43" t="n">
        <v>16</v>
      </c>
      <c r="R647" s="43" t="n">
        <v>1</v>
      </c>
      <c r="S647" s="45" t="n">
        <v>2009.401456923963</v>
      </c>
      <c r="T647">
        <f>(S647+S648+S649)=R4</f>
        <v/>
      </c>
      <c r="X647" s="84">
        <f>MAX(S644-S647,0)</f>
        <v/>
      </c>
      <c r="Y647" s="83" t="n">
        <v>0</v>
      </c>
      <c r="AA647" s="84" t="n">
        <v>4</v>
      </c>
      <c r="AB647" s="84" t="inlineStr">
        <is>
          <t>C</t>
        </is>
      </c>
      <c r="AC647" s="84" t="inlineStr">
        <is>
          <t>C+</t>
        </is>
      </c>
      <c r="AD647" s="84" t="n">
        <v>25</v>
      </c>
      <c r="AE647" s="84" t="n">
        <v>20</v>
      </c>
      <c r="AF647" s="84" t="n">
        <v>0.8</v>
      </c>
      <c r="AG647" s="84" t="n">
        <v>0.86</v>
      </c>
      <c r="AH647" s="84" t="n">
        <v>0</v>
      </c>
      <c r="AI647" s="84" t="n">
        <v>0</v>
      </c>
      <c r="AJ647" s="84">
        <f>SUMIFS(AH$8:AH$1039,$O$8:$O$1039,O647,$AB$8:$AB$1039,AB647,$R$8:$R$1039,R647,$AA$8:$AA$1039,"&lt;="&amp;AA647)</f>
        <v/>
      </c>
      <c r="AK647" s="84">
        <f>C58</f>
        <v/>
      </c>
      <c r="AL647" s="84">
        <f>C64</f>
        <v/>
      </c>
      <c r="AM647" s="84">
        <f>MAX(0,AJ647-AK647)</f>
        <v/>
      </c>
      <c r="AN647" s="84">
        <f>IF(AM647=0,AH647,IF(AM647&gt;=AH647,0,AH647-AM647))</f>
        <v/>
      </c>
      <c r="AO647" s="84">
        <f>IF(AM647&gt;=AH647,AI647,AI647*AM647/AH647)</f>
        <v/>
      </c>
      <c r="AP647">
        <f t="array" ref="AP647">INDEX($AU$8:$BB$25,6*(R647-1)+MATCH(AB647,$AS$8:$AS$13,0),MATCH(O647,$AU$7:$BB$7,0))</f>
        <v/>
      </c>
    </row>
    <row r="648" ht="14.25" customHeight="1">
      <c r="O648" s="43" t="inlineStr">
        <is>
          <t>Q1’27</t>
        </is>
      </c>
      <c r="P648" s="43" t="n">
        <v>3</v>
      </c>
      <c r="Q648" s="43" t="n">
        <v>16</v>
      </c>
      <c r="R648" s="43" t="n">
        <v>2</v>
      </c>
      <c r="S648" s="45" t="n">
        <v>3671.491764705884</v>
      </c>
      <c r="T648">
        <f>(S647+S648+S649)=R4</f>
        <v/>
      </c>
      <c r="X648" s="84">
        <f>MAX(S645-S648,0)</f>
        <v/>
      </c>
      <c r="Y648" s="83" t="n">
        <v>0</v>
      </c>
      <c r="AA648" s="84" t="n">
        <v>4</v>
      </c>
      <c r="AB648" s="84" t="inlineStr">
        <is>
          <t>C</t>
        </is>
      </c>
      <c r="AC648" s="84" t="inlineStr">
        <is>
          <t>C+</t>
        </is>
      </c>
      <c r="AD648" s="84" t="n">
        <v>25</v>
      </c>
      <c r="AE648" s="84" t="n">
        <v>20</v>
      </c>
      <c r="AF648" s="84" t="n">
        <v>0.8</v>
      </c>
      <c r="AG648" s="84" t="n">
        <v>0.86</v>
      </c>
      <c r="AH648" s="84" t="n">
        <v>0</v>
      </c>
      <c r="AI648" s="84" t="n">
        <v>0</v>
      </c>
      <c r="AJ648" s="84">
        <f>SUMIFS(AH$8:AH$1039,$O$8:$O$1039,O648,$AB$8:$AB$1039,AB648,$R$8:$R$1039,R648,$AA$8:$AA$1039,"&lt;="&amp;AA648)</f>
        <v/>
      </c>
      <c r="AK648" s="84">
        <f>D58</f>
        <v/>
      </c>
      <c r="AL648" s="84">
        <f>D64</f>
        <v/>
      </c>
      <c r="AM648" s="84">
        <f>MAX(0,AJ648-AK648)</f>
        <v/>
      </c>
      <c r="AN648" s="84">
        <f>IF(AM648=0,AH648,IF(AM648&gt;=AH648,0,AH648-AM648))</f>
        <v/>
      </c>
      <c r="AO648" s="84">
        <f>IF(AM648&gt;=AH648,AI648,AI648*AM648/AH648)</f>
        <v/>
      </c>
      <c r="AP648">
        <f t="array" ref="AP648">INDEX($AU$8:$BB$25,6*(R648-1)+MATCH(AB648,$AS$8:$AS$13,0),MATCH(O648,$AU$7:$BB$7,0))</f>
        <v/>
      </c>
    </row>
    <row r="649" ht="14.25" customHeight="1">
      <c r="O649" s="43" t="inlineStr">
        <is>
          <t>Q1’27</t>
        </is>
      </c>
      <c r="P649" s="43" t="n">
        <v>3</v>
      </c>
      <c r="Q649" s="43" t="n">
        <v>16</v>
      </c>
      <c r="R649" s="43" t="n">
        <v>3</v>
      </c>
      <c r="S649" s="45" t="n">
        <v>3319.106778370154</v>
      </c>
      <c r="T649">
        <f>(S647+S648+S649)=R4</f>
        <v/>
      </c>
      <c r="X649" s="84">
        <f>MAX(S646-S649,0)</f>
        <v/>
      </c>
      <c r="Y649" s="83" t="n">
        <v>0</v>
      </c>
      <c r="AA649" s="84" t="n">
        <v>4</v>
      </c>
      <c r="AB649" s="84" t="inlineStr">
        <is>
          <t>C</t>
        </is>
      </c>
      <c r="AC649" s="84" t="inlineStr">
        <is>
          <t>C+</t>
        </is>
      </c>
      <c r="AD649" s="84" t="n">
        <v>25</v>
      </c>
      <c r="AE649" s="84" t="n">
        <v>20</v>
      </c>
      <c r="AF649" s="84" t="n">
        <v>0.8</v>
      </c>
      <c r="AG649" s="84" t="n">
        <v>0.86</v>
      </c>
      <c r="AH649" s="84" t="n">
        <v>0</v>
      </c>
      <c r="AI649" s="84" t="n">
        <v>0</v>
      </c>
      <c r="AJ649" s="84">
        <f>SUMIFS(AH$8:AH$1039,$O$8:$O$1039,O649,$AB$8:$AB$1039,AB649,$R$8:$R$1039,R649,$AA$8:$AA$1039,"&lt;="&amp;AA649)</f>
        <v/>
      </c>
      <c r="AK649" s="84">
        <f>E58</f>
        <v/>
      </c>
      <c r="AL649" s="84">
        <f>E64</f>
        <v/>
      </c>
      <c r="AM649" s="84">
        <f>MAX(0,AJ649-AK649)</f>
        <v/>
      </c>
      <c r="AN649" s="84">
        <f>IF(AM649=0,AH649,IF(AM649&gt;=AH649,0,AH649-AM649))</f>
        <v/>
      </c>
      <c r="AO649" s="84">
        <f>IF(AM649&gt;=AH649,AI649,AI649*AM649/AH649)</f>
        <v/>
      </c>
      <c r="AP649">
        <f t="array" ref="AP649">INDEX($AU$8:$BB$25,6*(R649-1)+MATCH(AB649,$AS$8:$AS$13,0),MATCH(O649,$AU$7:$BB$7,0))</f>
        <v/>
      </c>
    </row>
    <row r="650" ht="14.25" customHeight="1">
      <c r="O650" s="43" t="inlineStr">
        <is>
          <t>Q1’27</t>
        </is>
      </c>
      <c r="P650" s="43" t="n">
        <v>3</v>
      </c>
      <c r="Q650" s="43" t="n">
        <v>17</v>
      </c>
      <c r="R650" s="43" t="n">
        <v>1</v>
      </c>
      <c r="S650" s="45" t="n">
        <v>2009.401456923963</v>
      </c>
      <c r="T650">
        <f>(S650+S651+S652)=R4</f>
        <v/>
      </c>
      <c r="X650" s="84">
        <f>MAX(S647-S650,0)</f>
        <v/>
      </c>
      <c r="Y650" s="83" t="n">
        <v>0</v>
      </c>
      <c r="AA650" s="84" t="n">
        <v>1</v>
      </c>
      <c r="AB650" s="84" t="inlineStr">
        <is>
          <t>F</t>
        </is>
      </c>
      <c r="AC650" s="84" t="inlineStr">
        <is>
          <t>F+</t>
        </is>
      </c>
      <c r="AD650" s="84" t="n">
        <v>14</v>
      </c>
      <c r="AE650" s="84" t="n">
        <v>13</v>
      </c>
      <c r="AF650" s="84" t="n">
        <v>0.8</v>
      </c>
      <c r="AG650" s="84" t="n">
        <v>0.9</v>
      </c>
      <c r="AH650" s="84" t="n">
        <v>0</v>
      </c>
      <c r="AI650" s="84" t="n">
        <v>0</v>
      </c>
      <c r="AJ650" s="84">
        <f>SUMIFS(AH$8:AH$1039,$O$8:$O$1039,O650,$AB$8:$AB$1039,AB650,$R$8:$R$1039,R650,$AA$8:$AA$1039,"&lt;="&amp;AA650)</f>
        <v/>
      </c>
      <c r="AK650" s="84">
        <f>C61</f>
        <v/>
      </c>
      <c r="AL650" s="84">
        <f>C67</f>
        <v/>
      </c>
      <c r="AM650" s="84">
        <f>MAX(0,AJ650-AK650)</f>
        <v/>
      </c>
      <c r="AN650" s="84">
        <f>IF(AM650=0,AH650,IF(AM650&gt;=AH650,0,AH650-AM650))</f>
        <v/>
      </c>
      <c r="AO650" s="84">
        <f>IF(AM650&gt;=AH650,AI650,AI650*AM650/AH650)</f>
        <v/>
      </c>
      <c r="AP650">
        <f t="array" ref="AP650">INDEX($AU$8:$BB$25,6*(R650-1)+MATCH(AB650,$AS$8:$AS$13,0),MATCH(O650,$AU$7:$BB$7,0))</f>
        <v/>
      </c>
    </row>
    <row r="651" ht="14.25" customHeight="1">
      <c r="O651" s="43" t="inlineStr">
        <is>
          <t>Q1’27</t>
        </is>
      </c>
      <c r="P651" s="43" t="n">
        <v>3</v>
      </c>
      <c r="Q651" s="43" t="n">
        <v>17</v>
      </c>
      <c r="R651" s="43" t="n">
        <v>2</v>
      </c>
      <c r="S651" s="45" t="n">
        <v>3671.491764705884</v>
      </c>
      <c r="T651">
        <f>(S650+S651+S652)=R4</f>
        <v/>
      </c>
      <c r="X651" s="84">
        <f>MAX(S648-S651,0)</f>
        <v/>
      </c>
      <c r="Y651" s="83" t="n">
        <v>0</v>
      </c>
      <c r="AA651" s="84" t="n">
        <v>1</v>
      </c>
      <c r="AB651" s="84" t="inlineStr">
        <is>
          <t>F</t>
        </is>
      </c>
      <c r="AC651" s="84" t="inlineStr">
        <is>
          <t>F+</t>
        </is>
      </c>
      <c r="AD651" s="84" t="n">
        <v>14</v>
      </c>
      <c r="AE651" s="84" t="n">
        <v>13</v>
      </c>
      <c r="AF651" s="84" t="n">
        <v>0.8</v>
      </c>
      <c r="AG651" s="84" t="n">
        <v>0.9</v>
      </c>
      <c r="AH651" s="84" t="n">
        <v>0</v>
      </c>
      <c r="AI651" s="84" t="n">
        <v>0</v>
      </c>
      <c r="AJ651" s="84">
        <f>SUMIFS(AH$8:AH$1039,$O$8:$O$1039,O651,$AB$8:$AB$1039,AB651,$R$8:$R$1039,R651,$AA$8:$AA$1039,"&lt;="&amp;AA651)</f>
        <v/>
      </c>
      <c r="AK651" s="84">
        <f>D61</f>
        <v/>
      </c>
      <c r="AL651" s="84">
        <f>D67</f>
        <v/>
      </c>
      <c r="AM651" s="84">
        <f>MAX(0,AJ651-AK651)</f>
        <v/>
      </c>
      <c r="AN651" s="84">
        <f>IF(AM651=0,AH651,IF(AM651&gt;=AH651,0,AH651-AM651))</f>
        <v/>
      </c>
      <c r="AO651" s="84">
        <f>IF(AM651&gt;=AH651,AI651,AI651*AM651/AH651)</f>
        <v/>
      </c>
      <c r="AP651">
        <f t="array" ref="AP651">INDEX($AU$8:$BB$25,6*(R651-1)+MATCH(AB651,$AS$8:$AS$13,0),MATCH(O651,$AU$7:$BB$7,0))</f>
        <v/>
      </c>
    </row>
    <row r="652" ht="14.25" customHeight="1">
      <c r="O652" s="43" t="inlineStr">
        <is>
          <t>Q1’27</t>
        </is>
      </c>
      <c r="P652" s="43" t="n">
        <v>3</v>
      </c>
      <c r="Q652" s="43" t="n">
        <v>17</v>
      </c>
      <c r="R652" s="43" t="n">
        <v>3</v>
      </c>
      <c r="S652" s="45" t="n">
        <v>3319.106778370154</v>
      </c>
      <c r="T652">
        <f>(S650+S651+S652)=R4</f>
        <v/>
      </c>
      <c r="X652" s="84">
        <f>MAX(S649-S652,0)</f>
        <v/>
      </c>
      <c r="Y652" s="83" t="n">
        <v>0</v>
      </c>
      <c r="AA652" s="84" t="n">
        <v>1</v>
      </c>
      <c r="AB652" s="84" t="inlineStr">
        <is>
          <t>F</t>
        </is>
      </c>
      <c r="AC652" s="84" t="inlineStr">
        <is>
          <t>F+</t>
        </is>
      </c>
      <c r="AD652" s="84" t="n">
        <v>14</v>
      </c>
      <c r="AE652" s="84" t="n">
        <v>13</v>
      </c>
      <c r="AF652" s="84" t="n">
        <v>0.8</v>
      </c>
      <c r="AG652" s="84" t="n">
        <v>0.9</v>
      </c>
      <c r="AH652" s="84" t="n">
        <v>0</v>
      </c>
      <c r="AI652" s="84" t="n">
        <v>0</v>
      </c>
      <c r="AJ652" s="84">
        <f>SUMIFS(AH$8:AH$1039,$O$8:$O$1039,O652,$AB$8:$AB$1039,AB652,$R$8:$R$1039,R652,$AA$8:$AA$1039,"&lt;="&amp;AA652)</f>
        <v/>
      </c>
      <c r="AK652" s="84">
        <f>E61</f>
        <v/>
      </c>
      <c r="AL652" s="84">
        <f>E67</f>
        <v/>
      </c>
      <c r="AM652" s="84">
        <f>MAX(0,AJ652-AK652)</f>
        <v/>
      </c>
      <c r="AN652" s="84">
        <f>IF(AM652=0,AH652,IF(AM652&gt;=AH652,0,AH652-AM652))</f>
        <v/>
      </c>
      <c r="AO652" s="84">
        <f>IF(AM652&gt;=AH652,AI652,AI652*AM652/AH652)</f>
        <v/>
      </c>
      <c r="AP652">
        <f t="array" ref="AP652">INDEX($AU$8:$BB$25,6*(R652-1)+MATCH(AB652,$AS$8:$AS$13,0),MATCH(O652,$AU$7:$BB$7,0))</f>
        <v/>
      </c>
    </row>
    <row r="653" ht="14.25" customHeight="1">
      <c r="O653" s="43" t="inlineStr">
        <is>
          <t>Q2’27</t>
        </is>
      </c>
      <c r="P653" s="43" t="n">
        <v>1</v>
      </c>
      <c r="Q653" s="43" t="n">
        <v>1</v>
      </c>
      <c r="R653" s="43" t="n">
        <v>1</v>
      </c>
      <c r="S653" s="45" t="n">
        <v>3100</v>
      </c>
      <c r="T653">
        <f>(S653+S654+S655)=S2</f>
        <v/>
      </c>
      <c r="X653" s="84" t="n">
        <v>0</v>
      </c>
      <c r="Y653" s="83" t="n">
        <v>0</v>
      </c>
      <c r="AA653" s="84" t="n">
        <v>4</v>
      </c>
      <c r="AB653" s="84" t="inlineStr">
        <is>
          <t>D</t>
        </is>
      </c>
      <c r="AC653" s="84" t="inlineStr">
        <is>
          <t>D+</t>
        </is>
      </c>
      <c r="AD653" s="84" t="n">
        <v>14</v>
      </c>
      <c r="AE653" s="84" t="n">
        <v>12</v>
      </c>
      <c r="AF653" s="84" t="n">
        <v>0.8</v>
      </c>
      <c r="AG653" s="84" t="n">
        <v>0.88</v>
      </c>
      <c r="AH653" s="84" t="n">
        <v>0</v>
      </c>
      <c r="AI653" s="84" t="n">
        <v>0</v>
      </c>
      <c r="AJ653" s="84">
        <f>SUMIFS(AH$8:AH$1039,$O$8:$O$1039,O653,$AB$8:$AB$1039,AB653,$R$8:$R$1039,R653,$AA$8:$AA$1039,"&lt;="&amp;AA653)</f>
        <v/>
      </c>
      <c r="AK653" s="84">
        <f>C71</f>
        <v/>
      </c>
      <c r="AL653" s="84">
        <f>C77</f>
        <v/>
      </c>
      <c r="AM653" s="84">
        <f>MAX(0,AJ653-AK653)</f>
        <v/>
      </c>
      <c r="AN653" s="84">
        <f>IF(AM653=0,AH653,IF(AM653&gt;=AH653,0,AH653-AM653))</f>
        <v/>
      </c>
      <c r="AO653" s="84">
        <f>IF(AM653&gt;=AH653,AI653,AI653*AM653/AH653)</f>
        <v/>
      </c>
      <c r="AP653">
        <f t="array" ref="AP653">INDEX($AU$8:$BB$25,6*(R653-1)+MATCH(AB653,$AS$8:$AS$13,0),MATCH(O653,$AU$7:$BB$7,0))</f>
        <v/>
      </c>
    </row>
    <row r="654" ht="14.25" customHeight="1">
      <c r="O654" s="43" t="inlineStr">
        <is>
          <t>Q2’27</t>
        </is>
      </c>
      <c r="P654" s="43" t="n">
        <v>1</v>
      </c>
      <c r="Q654" s="43" t="n">
        <v>1</v>
      </c>
      <c r="R654" s="43" t="n">
        <v>2</v>
      </c>
      <c r="S654" s="45" t="n">
        <v>0</v>
      </c>
      <c r="T654">
        <f>(S653+S654+S655)=S2</f>
        <v/>
      </c>
      <c r="X654" s="84" t="n">
        <v>0</v>
      </c>
      <c r="Y654" s="83" t="n">
        <v>0</v>
      </c>
      <c r="AA654" s="84" t="n">
        <v>4</v>
      </c>
      <c r="AB654" s="84" t="inlineStr">
        <is>
          <t>D</t>
        </is>
      </c>
      <c r="AC654" s="84" t="inlineStr">
        <is>
          <t>D+</t>
        </is>
      </c>
      <c r="AD654" s="84" t="n">
        <v>14</v>
      </c>
      <c r="AE654" s="84" t="n">
        <v>12</v>
      </c>
      <c r="AF654" s="84" t="n">
        <v>0.8</v>
      </c>
      <c r="AG654" s="84" t="n">
        <v>0.88</v>
      </c>
      <c r="AH654" s="84" t="n">
        <v>0</v>
      </c>
      <c r="AI654" s="84" t="n">
        <v>0</v>
      </c>
      <c r="AJ654" s="84">
        <f>SUMIFS(AH$8:AH$1039,$O$8:$O$1039,O654,$AB$8:$AB$1039,AB654,$R$8:$R$1039,R654,$AA$8:$AA$1039,"&lt;="&amp;AA654)</f>
        <v/>
      </c>
      <c r="AK654" s="84">
        <f>D71</f>
        <v/>
      </c>
      <c r="AL654" s="84">
        <f>D77</f>
        <v/>
      </c>
      <c r="AM654" s="84">
        <f>MAX(0,AJ654-AK654)</f>
        <v/>
      </c>
      <c r="AN654" s="84">
        <f>IF(AM654=0,AH654,IF(AM654&gt;=AH654,0,AH654-AM654))</f>
        <v/>
      </c>
      <c r="AO654" s="84">
        <f>IF(AM654&gt;=AH654,AI654,AI654*AM654/AH654)</f>
        <v/>
      </c>
      <c r="AP654">
        <f t="array" ref="AP654">INDEX($AU$8:$BB$25,6*(R654-1)+MATCH(AB654,$AS$8:$AS$13,0),MATCH(O654,$AU$7:$BB$7,0))</f>
        <v/>
      </c>
    </row>
    <row r="655" ht="14.25" customHeight="1">
      <c r="O655" s="43" t="inlineStr">
        <is>
          <t>Q2’27</t>
        </is>
      </c>
      <c r="P655" s="43" t="n">
        <v>1</v>
      </c>
      <c r="Q655" s="43" t="n">
        <v>1</v>
      </c>
      <c r="R655" s="43" t="n">
        <v>3</v>
      </c>
      <c r="S655" s="45" t="n">
        <v>0</v>
      </c>
      <c r="T655">
        <f>(S653+S654+S655)=S2</f>
        <v/>
      </c>
      <c r="X655" s="84" t="n">
        <v>0</v>
      </c>
      <c r="Y655" s="83" t="n">
        <v>0</v>
      </c>
      <c r="AA655" s="84" t="n">
        <v>4</v>
      </c>
      <c r="AB655" s="84" t="inlineStr">
        <is>
          <t>D</t>
        </is>
      </c>
      <c r="AC655" s="84" t="inlineStr">
        <is>
          <t>D+</t>
        </is>
      </c>
      <c r="AD655" s="84" t="n">
        <v>14</v>
      </c>
      <c r="AE655" s="84" t="n">
        <v>12</v>
      </c>
      <c r="AF655" s="84" t="n">
        <v>0.8</v>
      </c>
      <c r="AG655" s="84" t="n">
        <v>0.88</v>
      </c>
      <c r="AH655" s="84" t="n">
        <v>0</v>
      </c>
      <c r="AI655" s="84" t="n">
        <v>0</v>
      </c>
      <c r="AJ655" s="84">
        <f>SUMIFS(AH$8:AH$1039,$O$8:$O$1039,O655,$AB$8:$AB$1039,AB655,$R$8:$R$1039,R655,$AA$8:$AA$1039,"&lt;="&amp;AA655)</f>
        <v/>
      </c>
      <c r="AK655" s="84">
        <f>E71</f>
        <v/>
      </c>
      <c r="AL655" s="84">
        <f>E77</f>
        <v/>
      </c>
      <c r="AM655" s="84">
        <f>MAX(0,AJ655-AK655)</f>
        <v/>
      </c>
      <c r="AN655" s="84">
        <f>IF(AM655=0,AH655,IF(AM655&gt;=AH655,0,AH655-AM655))</f>
        <v/>
      </c>
      <c r="AO655" s="84">
        <f>IF(AM655&gt;=AH655,AI655,AI655*AM655/AH655)</f>
        <v/>
      </c>
      <c r="AP655">
        <f t="array" ref="AP655">INDEX($AU$8:$BB$25,6*(R655-1)+MATCH(AB655,$AS$8:$AS$13,0),MATCH(O655,$AU$7:$BB$7,0))</f>
        <v/>
      </c>
    </row>
    <row r="656" ht="14.25" customHeight="1">
      <c r="O656" s="43" t="inlineStr">
        <is>
          <t>Q2’27</t>
        </is>
      </c>
      <c r="P656" s="43" t="n">
        <v>1</v>
      </c>
      <c r="Q656" s="43" t="n">
        <v>2</v>
      </c>
      <c r="R656" s="43" t="n">
        <v>1</v>
      </c>
      <c r="S656" s="45" t="n">
        <v>3100</v>
      </c>
      <c r="T656">
        <f>(S656+S657+S658)=S2</f>
        <v/>
      </c>
      <c r="X656" s="84">
        <f>MAX(S653-S656,0)</f>
        <v/>
      </c>
      <c r="Y656" s="83" t="n">
        <v>0</v>
      </c>
      <c r="AA656" s="84" t="n">
        <v>10</v>
      </c>
      <c r="AB656" s="84" t="inlineStr">
        <is>
          <t>F</t>
        </is>
      </c>
      <c r="AC656" s="84" t="inlineStr">
        <is>
          <t>F+</t>
        </is>
      </c>
      <c r="AD656" s="84" t="n">
        <v>25</v>
      </c>
      <c r="AE656" s="84" t="n">
        <v>21</v>
      </c>
      <c r="AF656" s="84" t="n">
        <v>0.8</v>
      </c>
      <c r="AG656" s="84" t="n">
        <v>0.9</v>
      </c>
      <c r="AH656" s="84" t="n">
        <v>0</v>
      </c>
      <c r="AI656" s="84" t="n">
        <v>0</v>
      </c>
      <c r="AJ656" s="84">
        <f>SUMIFS(AH$8:AH$1039,$O$8:$O$1039,O656,$AB$8:$AB$1039,AB656,$R$8:$R$1039,R656,$AA$8:$AA$1039,"&lt;="&amp;AA656)</f>
        <v/>
      </c>
      <c r="AK656" s="84">
        <f>C73</f>
        <v/>
      </c>
      <c r="AL656" s="84">
        <f>C79</f>
        <v/>
      </c>
      <c r="AM656" s="84">
        <f>MAX(0,AJ656-AK656)</f>
        <v/>
      </c>
      <c r="AN656" s="84">
        <f>IF(AM656=0,AH656,IF(AM656&gt;=AH656,0,AH656-AM656))</f>
        <v/>
      </c>
      <c r="AO656" s="84">
        <f>IF(AM656&gt;=AH656,AI656,AI656*AM656/AH656)</f>
        <v/>
      </c>
      <c r="AP656">
        <f t="array" ref="AP656">INDEX($AU$8:$BB$25,6*(R656-1)+MATCH(AB656,$AS$8:$AS$13,0),MATCH(O656,$AU$7:$BB$7,0))</f>
        <v/>
      </c>
    </row>
    <row r="657" ht="14.25" customHeight="1">
      <c r="O657" s="43" t="inlineStr">
        <is>
          <t>Q2’27</t>
        </is>
      </c>
      <c r="P657" s="43" t="n">
        <v>1</v>
      </c>
      <c r="Q657" s="43" t="n">
        <v>2</v>
      </c>
      <c r="R657" s="43" t="n">
        <v>2</v>
      </c>
      <c r="S657" s="45" t="n">
        <v>0</v>
      </c>
      <c r="T657">
        <f>(S656+S657+S658)=S2</f>
        <v/>
      </c>
      <c r="X657" s="84">
        <f>MAX(S654-S657,0)</f>
        <v/>
      </c>
      <c r="Y657" s="83" t="n">
        <v>0</v>
      </c>
      <c r="AA657" s="84" t="n">
        <v>10</v>
      </c>
      <c r="AB657" s="84" t="inlineStr">
        <is>
          <t>F</t>
        </is>
      </c>
      <c r="AC657" s="84" t="inlineStr">
        <is>
          <t>F+</t>
        </is>
      </c>
      <c r="AD657" s="84" t="n">
        <v>25</v>
      </c>
      <c r="AE657" s="84" t="n">
        <v>21</v>
      </c>
      <c r="AF657" s="84" t="n">
        <v>0.8</v>
      </c>
      <c r="AG657" s="84" t="n">
        <v>0.9</v>
      </c>
      <c r="AH657" s="84" t="n">
        <v>0</v>
      </c>
      <c r="AI657" s="84" t="n">
        <v>0</v>
      </c>
      <c r="AJ657" s="84">
        <f>SUMIFS(AH$8:AH$1039,$O$8:$O$1039,O657,$AB$8:$AB$1039,AB657,$R$8:$R$1039,R657,$AA$8:$AA$1039,"&lt;="&amp;AA657)</f>
        <v/>
      </c>
      <c r="AK657" s="84">
        <f>D73</f>
        <v/>
      </c>
      <c r="AL657" s="84">
        <f>D79</f>
        <v/>
      </c>
      <c r="AM657" s="84">
        <f>MAX(0,AJ657-AK657)</f>
        <v/>
      </c>
      <c r="AN657" s="84">
        <f>IF(AM657=0,AH657,IF(AM657&gt;=AH657,0,AH657-AM657))</f>
        <v/>
      </c>
      <c r="AO657" s="84">
        <f>IF(AM657&gt;=AH657,AI657,AI657*AM657/AH657)</f>
        <v/>
      </c>
      <c r="AP657">
        <f t="array" ref="AP657">INDEX($AU$8:$BB$25,6*(R657-1)+MATCH(AB657,$AS$8:$AS$13,0),MATCH(O657,$AU$7:$BB$7,0))</f>
        <v/>
      </c>
    </row>
    <row r="658" ht="14.25" customHeight="1">
      <c r="O658" s="43" t="inlineStr">
        <is>
          <t>Q2’27</t>
        </is>
      </c>
      <c r="P658" s="43" t="n">
        <v>1</v>
      </c>
      <c r="Q658" s="43" t="n">
        <v>2</v>
      </c>
      <c r="R658" s="43" t="n">
        <v>3</v>
      </c>
      <c r="S658" s="45" t="n">
        <v>-0</v>
      </c>
      <c r="T658">
        <f>(S656+S657+S658)=S2</f>
        <v/>
      </c>
      <c r="X658" s="84">
        <f>MAX(S655-S658,0)</f>
        <v/>
      </c>
      <c r="Y658" s="83" t="n">
        <v>0</v>
      </c>
      <c r="AA658" s="84" t="n">
        <v>10</v>
      </c>
      <c r="AB658" s="84" t="inlineStr">
        <is>
          <t>F</t>
        </is>
      </c>
      <c r="AC658" s="84" t="inlineStr">
        <is>
          <t>F+</t>
        </is>
      </c>
      <c r="AD658" s="84" t="n">
        <v>25</v>
      </c>
      <c r="AE658" s="84" t="n">
        <v>21</v>
      </c>
      <c r="AF658" s="84" t="n">
        <v>0.8</v>
      </c>
      <c r="AG658" s="84" t="n">
        <v>0.9</v>
      </c>
      <c r="AH658" s="84" t="n">
        <v>0</v>
      </c>
      <c r="AI658" s="84" t="n">
        <v>0</v>
      </c>
      <c r="AJ658" s="84">
        <f>SUMIFS(AH$8:AH$1039,$O$8:$O$1039,O658,$AB$8:$AB$1039,AB658,$R$8:$R$1039,R658,$AA$8:$AA$1039,"&lt;="&amp;AA658)</f>
        <v/>
      </c>
      <c r="AK658" s="84">
        <f>E73</f>
        <v/>
      </c>
      <c r="AL658" s="84">
        <f>E79</f>
        <v/>
      </c>
      <c r="AM658" s="84">
        <f>MAX(0,AJ658-AK658)</f>
        <v/>
      </c>
      <c r="AN658" s="84">
        <f>IF(AM658=0,AH658,IF(AM658&gt;=AH658,0,AH658-AM658))</f>
        <v/>
      </c>
      <c r="AO658" s="84">
        <f>IF(AM658&gt;=AH658,AI658,AI658*AM658/AH658)</f>
        <v/>
      </c>
      <c r="AP658">
        <f t="array" ref="AP658">INDEX($AU$8:$BB$25,6*(R658-1)+MATCH(AB658,$AS$8:$AS$13,0),MATCH(O658,$AU$7:$BB$7,0))</f>
        <v/>
      </c>
    </row>
    <row r="659" ht="14.25" customHeight="1">
      <c r="O659" s="43" t="inlineStr">
        <is>
          <t>Q2’27</t>
        </is>
      </c>
      <c r="P659" s="43" t="n">
        <v>1</v>
      </c>
      <c r="Q659" s="43" t="n">
        <v>3</v>
      </c>
      <c r="R659" s="43" t="n">
        <v>1</v>
      </c>
      <c r="S659" s="45" t="n">
        <v>3100</v>
      </c>
      <c r="T659">
        <f>(S659+S660+S661)=S2</f>
        <v/>
      </c>
      <c r="X659" s="84">
        <f>MAX(S656-S659,0)</f>
        <v/>
      </c>
      <c r="Y659" s="83" t="n">
        <v>0</v>
      </c>
      <c r="AA659" s="84" t="n">
        <v>8</v>
      </c>
      <c r="AB659" s="84" t="inlineStr">
        <is>
          <t>F</t>
        </is>
      </c>
      <c r="AC659" s="84" t="inlineStr">
        <is>
          <t>F+</t>
        </is>
      </c>
      <c r="AD659" s="84" t="n">
        <v>27</v>
      </c>
      <c r="AE659" s="84" t="n">
        <v>23</v>
      </c>
      <c r="AF659" s="84" t="n">
        <v>0.8</v>
      </c>
      <c r="AG659" s="84" t="n">
        <v>0.9</v>
      </c>
      <c r="AH659" s="84" t="n">
        <v>0</v>
      </c>
      <c r="AI659" s="84" t="n">
        <v>0</v>
      </c>
      <c r="AJ659" s="84">
        <f>SUMIFS(AH$8:AH$1039,$O$8:$O$1039,O659,$AB$8:$AB$1039,AB659,$R$8:$R$1039,R659,$AA$8:$AA$1039,"&lt;="&amp;AA659)</f>
        <v/>
      </c>
      <c r="AK659" s="84">
        <f>C73</f>
        <v/>
      </c>
      <c r="AL659" s="84">
        <f>C79</f>
        <v/>
      </c>
      <c r="AM659" s="84">
        <f>MAX(0,AJ659-AK659)</f>
        <v/>
      </c>
      <c r="AN659" s="84">
        <f>IF(AM659=0,AH659,IF(AM659&gt;=AH659,0,AH659-AM659))</f>
        <v/>
      </c>
      <c r="AO659" s="84">
        <f>IF(AM659&gt;=AH659,AI659,AI659*AM659/AH659)</f>
        <v/>
      </c>
      <c r="AP659">
        <f t="array" ref="AP659">INDEX($AU$8:$BB$25,6*(R659-1)+MATCH(AB659,$AS$8:$AS$13,0),MATCH(O659,$AU$7:$BB$7,0))</f>
        <v/>
      </c>
    </row>
    <row r="660" ht="14.25" customHeight="1">
      <c r="O660" s="43" t="inlineStr">
        <is>
          <t>Q2’27</t>
        </is>
      </c>
      <c r="P660" s="43" t="n">
        <v>1</v>
      </c>
      <c r="Q660" s="43" t="n">
        <v>3</v>
      </c>
      <c r="R660" s="43" t="n">
        <v>2</v>
      </c>
      <c r="S660" s="45" t="n">
        <v>-0</v>
      </c>
      <c r="T660">
        <f>(S659+S660+S661)=S2</f>
        <v/>
      </c>
      <c r="X660" s="84">
        <f>MAX(S657-S660,0)</f>
        <v/>
      </c>
      <c r="Y660" s="83" t="n">
        <v>0</v>
      </c>
      <c r="AA660" s="84" t="n">
        <v>8</v>
      </c>
      <c r="AB660" s="84" t="inlineStr">
        <is>
          <t>F</t>
        </is>
      </c>
      <c r="AC660" s="84" t="inlineStr">
        <is>
          <t>F+</t>
        </is>
      </c>
      <c r="AD660" s="84" t="n">
        <v>27</v>
      </c>
      <c r="AE660" s="84" t="n">
        <v>23</v>
      </c>
      <c r="AF660" s="84" t="n">
        <v>0.8</v>
      </c>
      <c r="AG660" s="84" t="n">
        <v>0.9</v>
      </c>
      <c r="AH660" s="84" t="n">
        <v>0</v>
      </c>
      <c r="AI660" s="84" t="n">
        <v>0</v>
      </c>
      <c r="AJ660" s="84">
        <f>SUMIFS(AH$8:AH$1039,$O$8:$O$1039,O660,$AB$8:$AB$1039,AB660,$R$8:$R$1039,R660,$AA$8:$AA$1039,"&lt;="&amp;AA660)</f>
        <v/>
      </c>
      <c r="AK660" s="84">
        <f>D73</f>
        <v/>
      </c>
      <c r="AL660" s="84">
        <f>D79</f>
        <v/>
      </c>
      <c r="AM660" s="84">
        <f>MAX(0,AJ660-AK660)</f>
        <v/>
      </c>
      <c r="AN660" s="84">
        <f>IF(AM660=0,AH660,IF(AM660&gt;=AH660,0,AH660-AM660))</f>
        <v/>
      </c>
      <c r="AO660" s="84">
        <f>IF(AM660&gt;=AH660,AI660,AI660*AM660/AH660)</f>
        <v/>
      </c>
      <c r="AP660">
        <f t="array" ref="AP660">INDEX($AU$8:$BB$25,6*(R660-1)+MATCH(AB660,$AS$8:$AS$13,0),MATCH(O660,$AU$7:$BB$7,0))</f>
        <v/>
      </c>
    </row>
    <row r="661" ht="14.25" customHeight="1">
      <c r="O661" s="43" t="inlineStr">
        <is>
          <t>Q2’27</t>
        </is>
      </c>
      <c r="P661" s="43" t="n">
        <v>1</v>
      </c>
      <c r="Q661" s="43" t="n">
        <v>3</v>
      </c>
      <c r="R661" s="43" t="n">
        <v>3</v>
      </c>
      <c r="S661" s="45" t="n">
        <v>-0</v>
      </c>
      <c r="T661">
        <f>(S659+S660+S661)=S2</f>
        <v/>
      </c>
      <c r="X661" s="84">
        <f>MAX(S658-S661,0)</f>
        <v/>
      </c>
      <c r="Y661" s="83" t="n">
        <v>0</v>
      </c>
      <c r="AA661" s="84" t="n">
        <v>8</v>
      </c>
      <c r="AB661" s="84" t="inlineStr">
        <is>
          <t>F</t>
        </is>
      </c>
      <c r="AC661" s="84" t="inlineStr">
        <is>
          <t>F+</t>
        </is>
      </c>
      <c r="AD661" s="84" t="n">
        <v>27</v>
      </c>
      <c r="AE661" s="84" t="n">
        <v>23</v>
      </c>
      <c r="AF661" s="84" t="n">
        <v>0.8</v>
      </c>
      <c r="AG661" s="84" t="n">
        <v>0.9</v>
      </c>
      <c r="AH661" s="84" t="n">
        <v>0</v>
      </c>
      <c r="AI661" s="84" t="n">
        <v>0</v>
      </c>
      <c r="AJ661" s="84">
        <f>SUMIFS(AH$8:AH$1039,$O$8:$O$1039,O661,$AB$8:$AB$1039,AB661,$R$8:$R$1039,R661,$AA$8:$AA$1039,"&lt;="&amp;AA661)</f>
        <v/>
      </c>
      <c r="AK661" s="84">
        <f>E73</f>
        <v/>
      </c>
      <c r="AL661" s="84">
        <f>E79</f>
        <v/>
      </c>
      <c r="AM661" s="84">
        <f>MAX(0,AJ661-AK661)</f>
        <v/>
      </c>
      <c r="AN661" s="84">
        <f>IF(AM661=0,AH661,IF(AM661&gt;=AH661,0,AH661-AM661))</f>
        <v/>
      </c>
      <c r="AO661" s="84">
        <f>IF(AM661&gt;=AH661,AI661,AI661*AM661/AH661)</f>
        <v/>
      </c>
      <c r="AP661">
        <f t="array" ref="AP661">INDEX($AU$8:$BB$25,6*(R661-1)+MATCH(AB661,$AS$8:$AS$13,0),MATCH(O661,$AU$7:$BB$7,0))</f>
        <v/>
      </c>
    </row>
    <row r="662" ht="14.25" customHeight="1">
      <c r="O662" s="43" t="inlineStr">
        <is>
          <t>Q2’27</t>
        </is>
      </c>
      <c r="P662" s="43" t="n">
        <v>1</v>
      </c>
      <c r="Q662" s="43" t="n">
        <v>4</v>
      </c>
      <c r="R662" s="43" t="n">
        <v>1</v>
      </c>
      <c r="S662" s="45" t="n">
        <v>3100</v>
      </c>
      <c r="T662">
        <f>(S662+S663+S664)=S2</f>
        <v/>
      </c>
      <c r="X662" s="84">
        <f>MAX(S659-S662,0)</f>
        <v/>
      </c>
      <c r="Y662" s="83" t="n">
        <v>0</v>
      </c>
      <c r="AA662" s="84" t="n">
        <v>3</v>
      </c>
      <c r="AB662" s="84" t="inlineStr">
        <is>
          <t>A</t>
        </is>
      </c>
      <c r="AC662" s="84" t="inlineStr">
        <is>
          <t>A+</t>
        </is>
      </c>
      <c r="AD662" s="84" t="n">
        <v>20</v>
      </c>
      <c r="AE662" s="84" t="n">
        <v>16</v>
      </c>
      <c r="AF662" s="84" t="n">
        <v>0.78</v>
      </c>
      <c r="AG662" s="84" t="n">
        <v>0.84</v>
      </c>
      <c r="AH662" s="84" t="n">
        <v>0</v>
      </c>
      <c r="AI662" s="84" t="n">
        <v>0</v>
      </c>
      <c r="AJ662" s="84">
        <f>SUMIFS(AH$8:AH$1039,$O$8:$O$1039,O662,$AB$8:$AB$1039,AB662,$R$8:$R$1039,R662,$AA$8:$AA$1039,"&lt;="&amp;AA662)</f>
        <v/>
      </c>
      <c r="AK662" s="84">
        <f>C68</f>
        <v/>
      </c>
      <c r="AL662" s="84">
        <f>C74</f>
        <v/>
      </c>
      <c r="AM662" s="84">
        <f>MAX(0,AJ662-AK662)</f>
        <v/>
      </c>
      <c r="AN662" s="84">
        <f>IF(AM662=0,AH662,IF(AM662&gt;=AH662,0,AH662-AM662))</f>
        <v/>
      </c>
      <c r="AO662" s="84">
        <f>IF(AM662&gt;=AH662,AI662,AI662*AM662/AH662)</f>
        <v/>
      </c>
      <c r="AP662">
        <f t="array" ref="AP662">INDEX($AU$8:$BB$25,6*(R662-1)+MATCH(AB662,$AS$8:$AS$13,0),MATCH(O662,$AU$7:$BB$7,0))</f>
        <v/>
      </c>
    </row>
    <row r="663" ht="14.25" customHeight="1">
      <c r="O663" s="43" t="inlineStr">
        <is>
          <t>Q2’27</t>
        </is>
      </c>
      <c r="P663" s="43" t="n">
        <v>1</v>
      </c>
      <c r="Q663" s="43" t="n">
        <v>4</v>
      </c>
      <c r="R663" s="43" t="n">
        <v>2</v>
      </c>
      <c r="S663" s="45" t="n">
        <v>-0</v>
      </c>
      <c r="T663">
        <f>(S662+S663+S664)=S2</f>
        <v/>
      </c>
      <c r="X663" s="84">
        <f>MAX(S660-S663,0)</f>
        <v/>
      </c>
      <c r="Y663" s="83" t="n">
        <v>0</v>
      </c>
      <c r="AA663" s="84" t="n">
        <v>3</v>
      </c>
      <c r="AB663" s="84" t="inlineStr">
        <is>
          <t>A</t>
        </is>
      </c>
      <c r="AC663" s="84" t="inlineStr">
        <is>
          <t>A+</t>
        </is>
      </c>
      <c r="AD663" s="84" t="n">
        <v>20</v>
      </c>
      <c r="AE663" s="84" t="n">
        <v>16</v>
      </c>
      <c r="AF663" s="84" t="n">
        <v>0.78</v>
      </c>
      <c r="AG663" s="84" t="n">
        <v>0.84</v>
      </c>
      <c r="AH663" s="84" t="n">
        <v>0</v>
      </c>
      <c r="AI663" s="84" t="n">
        <v>0</v>
      </c>
      <c r="AJ663" s="84">
        <f>SUMIFS(AH$8:AH$1039,$O$8:$O$1039,O663,$AB$8:$AB$1039,AB663,$R$8:$R$1039,R663,$AA$8:$AA$1039,"&lt;="&amp;AA663)</f>
        <v/>
      </c>
      <c r="AK663" s="84">
        <f>D68</f>
        <v/>
      </c>
      <c r="AL663" s="84">
        <f>D74</f>
        <v/>
      </c>
      <c r="AM663" s="84">
        <f>MAX(0,AJ663-AK663)</f>
        <v/>
      </c>
      <c r="AN663" s="84">
        <f>IF(AM663=0,AH663,IF(AM663&gt;=AH663,0,AH663-AM663))</f>
        <v/>
      </c>
      <c r="AO663" s="84">
        <f>IF(AM663&gt;=AH663,AI663,AI663*AM663/AH663)</f>
        <v/>
      </c>
      <c r="AP663">
        <f t="array" ref="AP663">INDEX($AU$8:$BB$25,6*(R663-1)+MATCH(AB663,$AS$8:$AS$13,0),MATCH(O663,$AU$7:$BB$7,0))</f>
        <v/>
      </c>
    </row>
    <row r="664" ht="14.25" customHeight="1">
      <c r="O664" s="43" t="inlineStr">
        <is>
          <t>Q2’27</t>
        </is>
      </c>
      <c r="P664" s="43" t="n">
        <v>1</v>
      </c>
      <c r="Q664" s="43" t="n">
        <v>4</v>
      </c>
      <c r="R664" s="43" t="n">
        <v>3</v>
      </c>
      <c r="S664" s="45" t="n">
        <v>0</v>
      </c>
      <c r="T664">
        <f>(S662+S663+S664)=S2</f>
        <v/>
      </c>
      <c r="X664" s="84">
        <f>MAX(S661-S664,0)</f>
        <v/>
      </c>
      <c r="Y664" s="83" t="n">
        <v>0</v>
      </c>
      <c r="AA664" s="84" t="n">
        <v>3</v>
      </c>
      <c r="AB664" s="84" t="inlineStr">
        <is>
          <t>A</t>
        </is>
      </c>
      <c r="AC664" s="84" t="inlineStr">
        <is>
          <t>A+</t>
        </is>
      </c>
      <c r="AD664" s="84" t="n">
        <v>20</v>
      </c>
      <c r="AE664" s="84" t="n">
        <v>16</v>
      </c>
      <c r="AF664" s="84" t="n">
        <v>0.78</v>
      </c>
      <c r="AG664" s="84" t="n">
        <v>0.84</v>
      </c>
      <c r="AH664" s="84" t="n">
        <v>0</v>
      </c>
      <c r="AI664" s="84" t="n">
        <v>0</v>
      </c>
      <c r="AJ664" s="84">
        <f>SUMIFS(AH$8:AH$1039,$O$8:$O$1039,O664,$AB$8:$AB$1039,AB664,$R$8:$R$1039,R664,$AA$8:$AA$1039,"&lt;="&amp;AA664)</f>
        <v/>
      </c>
      <c r="AK664" s="84">
        <f>E68</f>
        <v/>
      </c>
      <c r="AL664" s="84">
        <f>E74</f>
        <v/>
      </c>
      <c r="AM664" s="84">
        <f>MAX(0,AJ664-AK664)</f>
        <v/>
      </c>
      <c r="AN664" s="84">
        <f>IF(AM664=0,AH664,IF(AM664&gt;=AH664,0,AH664-AM664))</f>
        <v/>
      </c>
      <c r="AO664" s="84">
        <f>IF(AM664&gt;=AH664,AI664,AI664*AM664/AH664)</f>
        <v/>
      </c>
      <c r="AP664">
        <f t="array" ref="AP664">INDEX($AU$8:$BB$25,6*(R664-1)+MATCH(AB664,$AS$8:$AS$13,0),MATCH(O664,$AU$7:$BB$7,0))</f>
        <v/>
      </c>
    </row>
    <row r="665" ht="14.25" customHeight="1">
      <c r="O665" s="43" t="inlineStr">
        <is>
          <t>Q2’27</t>
        </is>
      </c>
      <c r="P665" s="43" t="n">
        <v>1</v>
      </c>
      <c r="Q665" s="43" t="n">
        <v>5</v>
      </c>
      <c r="R665" s="43" t="n">
        <v>1</v>
      </c>
      <c r="S665" s="45" t="n">
        <v>3100</v>
      </c>
      <c r="T665">
        <f>(S665+S666+S667)=S2</f>
        <v/>
      </c>
      <c r="X665" s="84">
        <f>MAX(S662-S665,0)</f>
        <v/>
      </c>
      <c r="Y665" s="83" t="n">
        <v>0</v>
      </c>
      <c r="AA665" s="84" t="n">
        <v>11</v>
      </c>
      <c r="AB665" s="84" t="inlineStr">
        <is>
          <t>F</t>
        </is>
      </c>
      <c r="AC665" s="84" t="inlineStr">
        <is>
          <t>F+</t>
        </is>
      </c>
      <c r="AD665" s="84" t="n">
        <v>12</v>
      </c>
      <c r="AE665" s="84" t="n">
        <v>9</v>
      </c>
      <c r="AF665" s="84" t="n">
        <v>0.8</v>
      </c>
      <c r="AG665" s="84" t="n">
        <v>0.9</v>
      </c>
      <c r="AH665" s="84" t="n">
        <v>0</v>
      </c>
      <c r="AI665" s="84" t="n">
        <v>0</v>
      </c>
      <c r="AJ665" s="84">
        <f>SUMIFS(AH$8:AH$1039,$O$8:$O$1039,O665,$AB$8:$AB$1039,AB665,$R$8:$R$1039,R665,$AA$8:$AA$1039,"&lt;="&amp;AA665)</f>
        <v/>
      </c>
      <c r="AK665" s="84">
        <f>C73</f>
        <v/>
      </c>
      <c r="AL665" s="84">
        <f>C79</f>
        <v/>
      </c>
      <c r="AM665" s="84">
        <f>MAX(0,AJ665-AK665)</f>
        <v/>
      </c>
      <c r="AN665" s="84">
        <f>IF(AM665=0,AH665,IF(AM665&gt;=AH665,0,AH665-AM665))</f>
        <v/>
      </c>
      <c r="AO665" s="84">
        <f>IF(AM665&gt;=AH665,AI665,AI665*AM665/AH665)</f>
        <v/>
      </c>
      <c r="AP665">
        <f t="array" ref="AP665">INDEX($AU$8:$BB$25,6*(R665-1)+MATCH(AB665,$AS$8:$AS$13,0),MATCH(O665,$AU$7:$BB$7,0))</f>
        <v/>
      </c>
    </row>
    <row r="666" ht="14.25" customHeight="1">
      <c r="O666" s="43" t="inlineStr">
        <is>
          <t>Q2’27</t>
        </is>
      </c>
      <c r="P666" s="43" t="n">
        <v>1</v>
      </c>
      <c r="Q666" s="43" t="n">
        <v>5</v>
      </c>
      <c r="R666" s="43" t="n">
        <v>2</v>
      </c>
      <c r="S666" s="45" t="n">
        <v>-0</v>
      </c>
      <c r="T666">
        <f>(S665+S666+S667)=S2</f>
        <v/>
      </c>
      <c r="X666" s="84">
        <f>MAX(S663-S666,0)</f>
        <v/>
      </c>
      <c r="Y666" s="83" t="n">
        <v>0</v>
      </c>
      <c r="AA666" s="84" t="n">
        <v>11</v>
      </c>
      <c r="AB666" s="84" t="inlineStr">
        <is>
          <t>F</t>
        </is>
      </c>
      <c r="AC666" s="84" t="inlineStr">
        <is>
          <t>F+</t>
        </is>
      </c>
      <c r="AD666" s="84" t="n">
        <v>12</v>
      </c>
      <c r="AE666" s="84" t="n">
        <v>9</v>
      </c>
      <c r="AF666" s="84" t="n">
        <v>0.8</v>
      </c>
      <c r="AG666" s="84" t="n">
        <v>0.9</v>
      </c>
      <c r="AH666" s="84" t="n">
        <v>0</v>
      </c>
      <c r="AI666" s="84" t="n">
        <v>0</v>
      </c>
      <c r="AJ666" s="84">
        <f>SUMIFS(AH$8:AH$1039,$O$8:$O$1039,O666,$AB$8:$AB$1039,AB666,$R$8:$R$1039,R666,$AA$8:$AA$1039,"&lt;="&amp;AA666)</f>
        <v/>
      </c>
      <c r="AK666" s="84">
        <f>D73</f>
        <v/>
      </c>
      <c r="AL666" s="84">
        <f>D79</f>
        <v/>
      </c>
      <c r="AM666" s="84">
        <f>MAX(0,AJ666-AK666)</f>
        <v/>
      </c>
      <c r="AN666" s="84">
        <f>IF(AM666=0,AH666,IF(AM666&gt;=AH666,0,AH666-AM666))</f>
        <v/>
      </c>
      <c r="AO666" s="84">
        <f>IF(AM666&gt;=AH666,AI666,AI666*AM666/AH666)</f>
        <v/>
      </c>
      <c r="AP666">
        <f t="array" ref="AP666">INDEX($AU$8:$BB$25,6*(R666-1)+MATCH(AB666,$AS$8:$AS$13,0),MATCH(O666,$AU$7:$BB$7,0))</f>
        <v/>
      </c>
    </row>
    <row r="667" ht="14.25" customHeight="1">
      <c r="O667" s="43" t="inlineStr">
        <is>
          <t>Q2’27</t>
        </is>
      </c>
      <c r="P667" s="43" t="n">
        <v>1</v>
      </c>
      <c r="Q667" s="43" t="n">
        <v>5</v>
      </c>
      <c r="R667" s="43" t="n">
        <v>3</v>
      </c>
      <c r="S667" s="45" t="n">
        <v>0</v>
      </c>
      <c r="T667">
        <f>(S665+S666+S667)=S2</f>
        <v/>
      </c>
      <c r="X667" s="84">
        <f>MAX(S664-S667,0)</f>
        <v/>
      </c>
      <c r="Y667" s="83" t="n">
        <v>0</v>
      </c>
      <c r="AA667" s="84" t="n">
        <v>11</v>
      </c>
      <c r="AB667" s="84" t="inlineStr">
        <is>
          <t>F</t>
        </is>
      </c>
      <c r="AC667" s="84" t="inlineStr">
        <is>
          <t>F+</t>
        </is>
      </c>
      <c r="AD667" s="84" t="n">
        <v>12</v>
      </c>
      <c r="AE667" s="84" t="n">
        <v>9</v>
      </c>
      <c r="AF667" s="84" t="n">
        <v>0.8</v>
      </c>
      <c r="AG667" s="84" t="n">
        <v>0.9</v>
      </c>
      <c r="AH667" s="84" t="n">
        <v>0</v>
      </c>
      <c r="AI667" s="84" t="n">
        <v>0</v>
      </c>
      <c r="AJ667" s="84">
        <f>SUMIFS(AH$8:AH$1039,$O$8:$O$1039,O667,$AB$8:$AB$1039,AB667,$R$8:$R$1039,R667,$AA$8:$AA$1039,"&lt;="&amp;AA667)</f>
        <v/>
      </c>
      <c r="AK667" s="84">
        <f>E73</f>
        <v/>
      </c>
      <c r="AL667" s="84">
        <f>E79</f>
        <v/>
      </c>
      <c r="AM667" s="84">
        <f>MAX(0,AJ667-AK667)</f>
        <v/>
      </c>
      <c r="AN667" s="84">
        <f>IF(AM667=0,AH667,IF(AM667&gt;=AH667,0,AH667-AM667))</f>
        <v/>
      </c>
      <c r="AO667" s="84">
        <f>IF(AM667&gt;=AH667,AI667,AI667*AM667/AH667)</f>
        <v/>
      </c>
      <c r="AP667">
        <f t="array" ref="AP667">INDEX($AU$8:$BB$25,6*(R667-1)+MATCH(AB667,$AS$8:$AS$13,0),MATCH(O667,$AU$7:$BB$7,0))</f>
        <v/>
      </c>
    </row>
    <row r="668" ht="14.25" customHeight="1">
      <c r="O668" s="43" t="inlineStr">
        <is>
          <t>Q2’27</t>
        </is>
      </c>
      <c r="P668" s="43" t="n">
        <v>1</v>
      </c>
      <c r="Q668" s="43" t="n">
        <v>6</v>
      </c>
      <c r="R668" s="43" t="n">
        <v>1</v>
      </c>
      <c r="S668" s="45" t="n">
        <v>3100</v>
      </c>
      <c r="T668">
        <f>(S668+S669+S670)=S2</f>
        <v/>
      </c>
      <c r="X668" s="84">
        <f>MAX(S665-S668,0)</f>
        <v/>
      </c>
      <c r="Y668" s="83" t="n">
        <v>0</v>
      </c>
      <c r="AA668" s="84" t="n">
        <v>7</v>
      </c>
      <c r="AB668" s="84" t="inlineStr">
        <is>
          <t>D</t>
        </is>
      </c>
      <c r="AC668" s="84" t="inlineStr">
        <is>
          <t>D+</t>
        </is>
      </c>
      <c r="AD668" s="84" t="n">
        <v>27</v>
      </c>
      <c r="AE668" s="84" t="n">
        <v>21</v>
      </c>
      <c r="AF668" s="84" t="n">
        <v>0.8</v>
      </c>
      <c r="AG668" s="84" t="n">
        <v>0.88</v>
      </c>
      <c r="AH668" s="84" t="n">
        <v>0</v>
      </c>
      <c r="AI668" s="84" t="n">
        <v>0</v>
      </c>
      <c r="AJ668" s="84">
        <f>SUMIFS(AH$8:AH$1039,$O$8:$O$1039,O668,$AB$8:$AB$1039,AB668,$R$8:$R$1039,R668,$AA$8:$AA$1039,"&lt;="&amp;AA668)</f>
        <v/>
      </c>
      <c r="AK668" s="84">
        <f>C71</f>
        <v/>
      </c>
      <c r="AL668" s="84">
        <f>C77</f>
        <v/>
      </c>
      <c r="AM668" s="84">
        <f>MAX(0,AJ668-AK668)</f>
        <v/>
      </c>
      <c r="AN668" s="84">
        <f>IF(AM668=0,AH668,IF(AM668&gt;=AH668,0,AH668-AM668))</f>
        <v/>
      </c>
      <c r="AO668" s="84">
        <f>IF(AM668&gt;=AH668,AI668,AI668*AM668/AH668)</f>
        <v/>
      </c>
      <c r="AP668">
        <f t="array" ref="AP668">INDEX($AU$8:$BB$25,6*(R668-1)+MATCH(AB668,$AS$8:$AS$13,0),MATCH(O668,$AU$7:$BB$7,0))</f>
        <v/>
      </c>
    </row>
    <row r="669" ht="14.25" customHeight="1">
      <c r="O669" s="43" t="inlineStr">
        <is>
          <t>Q2’27</t>
        </is>
      </c>
      <c r="P669" s="43" t="n">
        <v>1</v>
      </c>
      <c r="Q669" s="43" t="n">
        <v>6</v>
      </c>
      <c r="R669" s="43" t="n">
        <v>2</v>
      </c>
      <c r="S669" s="45" t="n">
        <v>-0</v>
      </c>
      <c r="T669">
        <f>(S668+S669+S670)=S2</f>
        <v/>
      </c>
      <c r="X669" s="84">
        <f>MAX(S666-S669,0)</f>
        <v/>
      </c>
      <c r="Y669" s="83" t="n">
        <v>0</v>
      </c>
      <c r="AA669" s="84" t="n">
        <v>7</v>
      </c>
      <c r="AB669" s="84" t="inlineStr">
        <is>
          <t>D</t>
        </is>
      </c>
      <c r="AC669" s="84" t="inlineStr">
        <is>
          <t>D+</t>
        </is>
      </c>
      <c r="AD669" s="84" t="n">
        <v>27</v>
      </c>
      <c r="AE669" s="84" t="n">
        <v>21</v>
      </c>
      <c r="AF669" s="84" t="n">
        <v>0.8</v>
      </c>
      <c r="AG669" s="84" t="n">
        <v>0.88</v>
      </c>
      <c r="AH669" s="84" t="n">
        <v>0</v>
      </c>
      <c r="AI669" s="84" t="n">
        <v>0</v>
      </c>
      <c r="AJ669" s="84">
        <f>SUMIFS(AH$8:AH$1039,$O$8:$O$1039,O669,$AB$8:$AB$1039,AB669,$R$8:$R$1039,R669,$AA$8:$AA$1039,"&lt;="&amp;AA669)</f>
        <v/>
      </c>
      <c r="AK669" s="84">
        <f>D71</f>
        <v/>
      </c>
      <c r="AL669" s="84">
        <f>D77</f>
        <v/>
      </c>
      <c r="AM669" s="84">
        <f>MAX(0,AJ669-AK669)</f>
        <v/>
      </c>
      <c r="AN669" s="84">
        <f>IF(AM669=0,AH669,IF(AM669&gt;=AH669,0,AH669-AM669))</f>
        <v/>
      </c>
      <c r="AO669" s="84">
        <f>IF(AM669&gt;=AH669,AI669,AI669*AM669/AH669)</f>
        <v/>
      </c>
      <c r="AP669">
        <f t="array" ref="AP669">INDEX($AU$8:$BB$25,6*(R669-1)+MATCH(AB669,$AS$8:$AS$13,0),MATCH(O669,$AU$7:$BB$7,0))</f>
        <v/>
      </c>
    </row>
    <row r="670" ht="14.25" customHeight="1">
      <c r="O670" s="43" t="inlineStr">
        <is>
          <t>Q2’27</t>
        </is>
      </c>
      <c r="P670" s="43" t="n">
        <v>1</v>
      </c>
      <c r="Q670" s="43" t="n">
        <v>6</v>
      </c>
      <c r="R670" s="43" t="n">
        <v>3</v>
      </c>
      <c r="S670" s="45" t="n">
        <v>-0</v>
      </c>
      <c r="T670">
        <f>(S668+S669+S670)=S2</f>
        <v/>
      </c>
      <c r="X670" s="84">
        <f>MAX(S667-S670,0)</f>
        <v/>
      </c>
      <c r="Y670" s="83" t="n">
        <v>0</v>
      </c>
      <c r="AA670" s="84" t="n">
        <v>7</v>
      </c>
      <c r="AB670" s="84" t="inlineStr">
        <is>
          <t>D</t>
        </is>
      </c>
      <c r="AC670" s="84" t="inlineStr">
        <is>
          <t>D+</t>
        </is>
      </c>
      <c r="AD670" s="84" t="n">
        <v>27</v>
      </c>
      <c r="AE670" s="84" t="n">
        <v>21</v>
      </c>
      <c r="AF670" s="84" t="n">
        <v>0.8</v>
      </c>
      <c r="AG670" s="84" t="n">
        <v>0.88</v>
      </c>
      <c r="AH670" s="84" t="n">
        <v>0</v>
      </c>
      <c r="AI670" s="84" t="n">
        <v>0</v>
      </c>
      <c r="AJ670" s="84">
        <f>SUMIFS(AH$8:AH$1039,$O$8:$O$1039,O670,$AB$8:$AB$1039,AB670,$R$8:$R$1039,R670,$AA$8:$AA$1039,"&lt;="&amp;AA670)</f>
        <v/>
      </c>
      <c r="AK670" s="84">
        <f>E71</f>
        <v/>
      </c>
      <c r="AL670" s="84">
        <f>E77</f>
        <v/>
      </c>
      <c r="AM670" s="84">
        <f>MAX(0,AJ670-AK670)</f>
        <v/>
      </c>
      <c r="AN670" s="84">
        <f>IF(AM670=0,AH670,IF(AM670&gt;=AH670,0,AH670-AM670))</f>
        <v/>
      </c>
      <c r="AO670" s="84">
        <f>IF(AM670&gt;=AH670,AI670,AI670*AM670/AH670)</f>
        <v/>
      </c>
      <c r="AP670">
        <f t="array" ref="AP670">INDEX($AU$8:$BB$25,6*(R670-1)+MATCH(AB670,$AS$8:$AS$13,0),MATCH(O670,$AU$7:$BB$7,0))</f>
        <v/>
      </c>
    </row>
    <row r="671" ht="14.25" customHeight="1">
      <c r="O671" s="43" t="inlineStr">
        <is>
          <t>Q2’27</t>
        </is>
      </c>
      <c r="P671" s="43" t="n">
        <v>1</v>
      </c>
      <c r="Q671" s="43" t="n">
        <v>7</v>
      </c>
      <c r="R671" s="43" t="n">
        <v>1</v>
      </c>
      <c r="S671" s="45" t="n">
        <v>3100</v>
      </c>
      <c r="T671">
        <f>(S671+S672+S673)=S2</f>
        <v/>
      </c>
      <c r="X671" s="84">
        <f>MAX(S668-S671,0)</f>
        <v/>
      </c>
      <c r="Y671" s="83" t="n">
        <v>0</v>
      </c>
      <c r="AA671" s="84" t="n">
        <v>9</v>
      </c>
      <c r="AB671" s="84" t="inlineStr">
        <is>
          <t>D</t>
        </is>
      </c>
      <c r="AC671" s="84" t="inlineStr">
        <is>
          <t>D+</t>
        </is>
      </c>
      <c r="AD671" s="84" t="n">
        <v>17</v>
      </c>
      <c r="AE671" s="84" t="n">
        <v>13</v>
      </c>
      <c r="AF671" s="84" t="n">
        <v>0.8</v>
      </c>
      <c r="AG671" s="84" t="n">
        <v>0.88</v>
      </c>
      <c r="AH671" s="84" t="n">
        <v>0</v>
      </c>
      <c r="AI671" s="84" t="n">
        <v>0</v>
      </c>
      <c r="AJ671" s="84">
        <f>SUMIFS(AH$8:AH$1039,$O$8:$O$1039,O671,$AB$8:$AB$1039,AB671,$R$8:$R$1039,R671,$AA$8:$AA$1039,"&lt;="&amp;AA671)</f>
        <v/>
      </c>
      <c r="AK671" s="84">
        <f>C71</f>
        <v/>
      </c>
      <c r="AL671" s="84">
        <f>C77</f>
        <v/>
      </c>
      <c r="AM671" s="84">
        <f>MAX(0,AJ671-AK671)</f>
        <v/>
      </c>
      <c r="AN671" s="84">
        <f>IF(AM671=0,AH671,IF(AM671&gt;=AH671,0,AH671-AM671))</f>
        <v/>
      </c>
      <c r="AO671" s="84">
        <f>IF(AM671&gt;=AH671,AI671,AI671*AM671/AH671)</f>
        <v/>
      </c>
      <c r="AP671">
        <f t="array" ref="AP671">INDEX($AU$8:$BB$25,6*(R671-1)+MATCH(AB671,$AS$8:$AS$13,0),MATCH(O671,$AU$7:$BB$7,0))</f>
        <v/>
      </c>
    </row>
    <row r="672" ht="14.25" customHeight="1">
      <c r="O672" s="43" t="inlineStr">
        <is>
          <t>Q2’27</t>
        </is>
      </c>
      <c r="P672" s="43" t="n">
        <v>1</v>
      </c>
      <c r="Q672" s="43" t="n">
        <v>7</v>
      </c>
      <c r="R672" s="43" t="n">
        <v>2</v>
      </c>
      <c r="S672" s="45" t="n">
        <v>-0</v>
      </c>
      <c r="T672">
        <f>(S671+S672+S673)=S2</f>
        <v/>
      </c>
      <c r="X672" s="84">
        <f>MAX(S669-S672,0)</f>
        <v/>
      </c>
      <c r="Y672" s="83" t="n">
        <v>0</v>
      </c>
      <c r="AA672" s="84" t="n">
        <v>9</v>
      </c>
      <c r="AB672" s="84" t="inlineStr">
        <is>
          <t>D</t>
        </is>
      </c>
      <c r="AC672" s="84" t="inlineStr">
        <is>
          <t>D+</t>
        </is>
      </c>
      <c r="AD672" s="84" t="n">
        <v>17</v>
      </c>
      <c r="AE672" s="84" t="n">
        <v>13</v>
      </c>
      <c r="AF672" s="84" t="n">
        <v>0.8</v>
      </c>
      <c r="AG672" s="84" t="n">
        <v>0.88</v>
      </c>
      <c r="AH672" s="84" t="n">
        <v>0</v>
      </c>
      <c r="AI672" s="84" t="n">
        <v>0</v>
      </c>
      <c r="AJ672" s="84">
        <f>SUMIFS(AH$8:AH$1039,$O$8:$O$1039,O672,$AB$8:$AB$1039,AB672,$R$8:$R$1039,R672,$AA$8:$AA$1039,"&lt;="&amp;AA672)</f>
        <v/>
      </c>
      <c r="AK672" s="84">
        <f>D71</f>
        <v/>
      </c>
      <c r="AL672" s="84">
        <f>D77</f>
        <v/>
      </c>
      <c r="AM672" s="84">
        <f>MAX(0,AJ672-AK672)</f>
        <v/>
      </c>
      <c r="AN672" s="84">
        <f>IF(AM672=0,AH672,IF(AM672&gt;=AH672,0,AH672-AM672))</f>
        <v/>
      </c>
      <c r="AO672" s="84">
        <f>IF(AM672&gt;=AH672,AI672,AI672*AM672/AH672)</f>
        <v/>
      </c>
      <c r="AP672">
        <f t="array" ref="AP672">INDEX($AU$8:$BB$25,6*(R672-1)+MATCH(AB672,$AS$8:$AS$13,0),MATCH(O672,$AU$7:$BB$7,0))</f>
        <v/>
      </c>
    </row>
    <row r="673" ht="14.25" customHeight="1">
      <c r="O673" s="43" t="inlineStr">
        <is>
          <t>Q2’27</t>
        </is>
      </c>
      <c r="P673" s="43" t="n">
        <v>1</v>
      </c>
      <c r="Q673" s="43" t="n">
        <v>7</v>
      </c>
      <c r="R673" s="43" t="n">
        <v>3</v>
      </c>
      <c r="S673" s="45" t="n">
        <v>0</v>
      </c>
      <c r="T673">
        <f>(S671+S672+S673)=S2</f>
        <v/>
      </c>
      <c r="X673" s="84">
        <f>MAX(S670-S673,0)</f>
        <v/>
      </c>
      <c r="Y673" s="83" t="n">
        <v>0</v>
      </c>
      <c r="AA673" s="84" t="n">
        <v>9</v>
      </c>
      <c r="AB673" s="84" t="inlineStr">
        <is>
          <t>D</t>
        </is>
      </c>
      <c r="AC673" s="84" t="inlineStr">
        <is>
          <t>D+</t>
        </is>
      </c>
      <c r="AD673" s="84" t="n">
        <v>17</v>
      </c>
      <c r="AE673" s="84" t="n">
        <v>13</v>
      </c>
      <c r="AF673" s="84" t="n">
        <v>0.8</v>
      </c>
      <c r="AG673" s="84" t="n">
        <v>0.88</v>
      </c>
      <c r="AH673" s="84" t="n">
        <v>0</v>
      </c>
      <c r="AI673" s="84" t="n">
        <v>0</v>
      </c>
      <c r="AJ673" s="84">
        <f>SUMIFS(AH$8:AH$1039,$O$8:$O$1039,O673,$AB$8:$AB$1039,AB673,$R$8:$R$1039,R673,$AA$8:$AA$1039,"&lt;="&amp;AA673)</f>
        <v/>
      </c>
      <c r="AK673" s="84">
        <f>E71</f>
        <v/>
      </c>
      <c r="AL673" s="84">
        <f>E77</f>
        <v/>
      </c>
      <c r="AM673" s="84">
        <f>MAX(0,AJ673-AK673)</f>
        <v/>
      </c>
      <c r="AN673" s="84">
        <f>IF(AM673=0,AH673,IF(AM673&gt;=AH673,0,AH673-AM673))</f>
        <v/>
      </c>
      <c r="AO673" s="84">
        <f>IF(AM673&gt;=AH673,AI673,AI673*AM673/AH673)</f>
        <v/>
      </c>
      <c r="AP673">
        <f t="array" ref="AP673">INDEX($AU$8:$BB$25,6*(R673-1)+MATCH(AB673,$AS$8:$AS$13,0),MATCH(O673,$AU$7:$BB$7,0))</f>
        <v/>
      </c>
    </row>
    <row r="674" ht="14.25" customHeight="1">
      <c r="O674" s="43" t="inlineStr">
        <is>
          <t>Q2’27</t>
        </is>
      </c>
      <c r="P674" s="43" t="n">
        <v>1</v>
      </c>
      <c r="Q674" s="43" t="n">
        <v>8</v>
      </c>
      <c r="R674" s="43" t="n">
        <v>1</v>
      </c>
      <c r="S674" s="45" t="n">
        <v>3100</v>
      </c>
      <c r="T674">
        <f>(S674+S675+S676)=S2</f>
        <v/>
      </c>
      <c r="X674" s="84">
        <f>MAX(S671-S674,0)</f>
        <v/>
      </c>
      <c r="Y674" s="83" t="n">
        <v>0</v>
      </c>
      <c r="AA674" s="84" t="n">
        <v>1</v>
      </c>
      <c r="AB674" s="84" t="inlineStr">
        <is>
          <t>A</t>
        </is>
      </c>
      <c r="AC674" s="84" t="inlineStr">
        <is>
          <t>A+</t>
        </is>
      </c>
      <c r="AD674" s="84" t="n">
        <v>18</v>
      </c>
      <c r="AE674" s="84" t="n">
        <v>16</v>
      </c>
      <c r="AF674" s="84" t="n">
        <v>0.78</v>
      </c>
      <c r="AG674" s="84" t="n">
        <v>0.84</v>
      </c>
      <c r="AH674" s="84" t="n">
        <v>0</v>
      </c>
      <c r="AI674" s="84" t="n">
        <v>0</v>
      </c>
      <c r="AJ674" s="84">
        <f>SUMIFS(AH$8:AH$1039,$O$8:$O$1039,O674,$AB$8:$AB$1039,AB674,$R$8:$R$1039,R674,$AA$8:$AA$1039,"&lt;="&amp;AA674)</f>
        <v/>
      </c>
      <c r="AK674" s="84">
        <f>C68</f>
        <v/>
      </c>
      <c r="AL674" s="84">
        <f>C74</f>
        <v/>
      </c>
      <c r="AM674" s="84">
        <f>MAX(0,AJ674-AK674)</f>
        <v/>
      </c>
      <c r="AN674" s="84">
        <f>IF(AM674=0,AH674,IF(AM674&gt;=AH674,0,AH674-AM674))</f>
        <v/>
      </c>
      <c r="AO674" s="84">
        <f>IF(AM674&gt;=AH674,AI674,AI674*AM674/AH674)</f>
        <v/>
      </c>
      <c r="AP674">
        <f t="array" ref="AP674">INDEX($AU$8:$BB$25,6*(R674-1)+MATCH(AB674,$AS$8:$AS$13,0),MATCH(O674,$AU$7:$BB$7,0))</f>
        <v/>
      </c>
    </row>
    <row r="675" ht="14.25" customHeight="1">
      <c r="O675" s="43" t="inlineStr">
        <is>
          <t>Q2’27</t>
        </is>
      </c>
      <c r="P675" s="43" t="n">
        <v>1</v>
      </c>
      <c r="Q675" s="43" t="n">
        <v>8</v>
      </c>
      <c r="R675" s="43" t="n">
        <v>2</v>
      </c>
      <c r="S675" s="45" t="n">
        <v>0</v>
      </c>
      <c r="T675">
        <f>(S674+S675+S676)=S2</f>
        <v/>
      </c>
      <c r="X675" s="84">
        <f>MAX(S672-S675,0)</f>
        <v/>
      </c>
      <c r="Y675" s="83" t="n">
        <v>0</v>
      </c>
      <c r="AA675" s="84" t="n">
        <v>1</v>
      </c>
      <c r="AB675" s="84" t="inlineStr">
        <is>
          <t>A</t>
        </is>
      </c>
      <c r="AC675" s="84" t="inlineStr">
        <is>
          <t>A+</t>
        </is>
      </c>
      <c r="AD675" s="84" t="n">
        <v>18</v>
      </c>
      <c r="AE675" s="84" t="n">
        <v>16</v>
      </c>
      <c r="AF675" s="84" t="n">
        <v>0.78</v>
      </c>
      <c r="AG675" s="84" t="n">
        <v>0.84</v>
      </c>
      <c r="AH675" s="84" t="n">
        <v>0</v>
      </c>
      <c r="AI675" s="84" t="n">
        <v>0</v>
      </c>
      <c r="AJ675" s="84">
        <f>SUMIFS(AH$8:AH$1039,$O$8:$O$1039,O675,$AB$8:$AB$1039,AB675,$R$8:$R$1039,R675,$AA$8:$AA$1039,"&lt;="&amp;AA675)</f>
        <v/>
      </c>
      <c r="AK675" s="84">
        <f>D68</f>
        <v/>
      </c>
      <c r="AL675" s="84">
        <f>D74</f>
        <v/>
      </c>
      <c r="AM675" s="84">
        <f>MAX(0,AJ675-AK675)</f>
        <v/>
      </c>
      <c r="AN675" s="84">
        <f>IF(AM675=0,AH675,IF(AM675&gt;=AH675,0,AH675-AM675))</f>
        <v/>
      </c>
      <c r="AO675" s="84">
        <f>IF(AM675&gt;=AH675,AI675,AI675*AM675/AH675)</f>
        <v/>
      </c>
      <c r="AP675">
        <f t="array" ref="AP675">INDEX($AU$8:$BB$25,6*(R675-1)+MATCH(AB675,$AS$8:$AS$13,0),MATCH(O675,$AU$7:$BB$7,0))</f>
        <v/>
      </c>
    </row>
    <row r="676" ht="14.25" customHeight="1">
      <c r="O676" s="43" t="inlineStr">
        <is>
          <t>Q2’27</t>
        </is>
      </c>
      <c r="P676" s="43" t="n">
        <v>1</v>
      </c>
      <c r="Q676" s="43" t="n">
        <v>8</v>
      </c>
      <c r="R676" s="43" t="n">
        <v>3</v>
      </c>
      <c r="S676" s="45" t="n">
        <v>0</v>
      </c>
      <c r="T676">
        <f>(S674+S675+S676)=S2</f>
        <v/>
      </c>
      <c r="X676" s="84">
        <f>MAX(S673-S676,0)</f>
        <v/>
      </c>
      <c r="Y676" s="83" t="n">
        <v>0</v>
      </c>
      <c r="AA676" s="84" t="n">
        <v>1</v>
      </c>
      <c r="AB676" s="84" t="inlineStr">
        <is>
          <t>A</t>
        </is>
      </c>
      <c r="AC676" s="84" t="inlineStr">
        <is>
          <t>A+</t>
        </is>
      </c>
      <c r="AD676" s="84" t="n">
        <v>18</v>
      </c>
      <c r="AE676" s="84" t="n">
        <v>16</v>
      </c>
      <c r="AF676" s="84" t="n">
        <v>0.78</v>
      </c>
      <c r="AG676" s="84" t="n">
        <v>0.84</v>
      </c>
      <c r="AH676" s="84" t="n">
        <v>0</v>
      </c>
      <c r="AI676" s="84" t="n">
        <v>0</v>
      </c>
      <c r="AJ676" s="84">
        <f>SUMIFS(AH$8:AH$1039,$O$8:$O$1039,O676,$AB$8:$AB$1039,AB676,$R$8:$R$1039,R676,$AA$8:$AA$1039,"&lt;="&amp;AA676)</f>
        <v/>
      </c>
      <c r="AK676" s="84">
        <f>E68</f>
        <v/>
      </c>
      <c r="AL676" s="84">
        <f>E74</f>
        <v/>
      </c>
      <c r="AM676" s="84">
        <f>MAX(0,AJ676-AK676)</f>
        <v/>
      </c>
      <c r="AN676" s="84">
        <f>IF(AM676=0,AH676,IF(AM676&gt;=AH676,0,AH676-AM676))</f>
        <v/>
      </c>
      <c r="AO676" s="84">
        <f>IF(AM676&gt;=AH676,AI676,AI676*AM676/AH676)</f>
        <v/>
      </c>
      <c r="AP676">
        <f t="array" ref="AP676">INDEX($AU$8:$BB$25,6*(R676-1)+MATCH(AB676,$AS$8:$AS$13,0),MATCH(O676,$AU$7:$BB$7,0))</f>
        <v/>
      </c>
    </row>
    <row r="677" ht="14.25" customHeight="1">
      <c r="O677" s="43" t="inlineStr">
        <is>
          <t>Q2’27</t>
        </is>
      </c>
      <c r="P677" s="43" t="n">
        <v>1</v>
      </c>
      <c r="Q677" s="43" t="n">
        <v>9</v>
      </c>
      <c r="R677" s="43" t="n">
        <v>1</v>
      </c>
      <c r="S677" s="45" t="n">
        <v>3100</v>
      </c>
      <c r="T677">
        <f>(S677+S678+S679)=S2</f>
        <v/>
      </c>
      <c r="X677" s="84">
        <f>MAX(S674-S677,0)</f>
        <v/>
      </c>
      <c r="Y677" s="83" t="n">
        <v>0</v>
      </c>
      <c r="AA677" s="84" t="n">
        <v>2</v>
      </c>
      <c r="AB677" s="84" t="inlineStr">
        <is>
          <t>A</t>
        </is>
      </c>
      <c r="AC677" s="84" t="inlineStr">
        <is>
          <t>A+</t>
        </is>
      </c>
      <c r="AD677" s="84" t="n">
        <v>16</v>
      </c>
      <c r="AE677" s="84" t="n">
        <v>13</v>
      </c>
      <c r="AF677" s="84" t="n">
        <v>0.78</v>
      </c>
      <c r="AG677" s="84" t="n">
        <v>0.84</v>
      </c>
      <c r="AH677" s="84" t="n">
        <v>0</v>
      </c>
      <c r="AI677" s="84" t="n">
        <v>0</v>
      </c>
      <c r="AJ677" s="84">
        <f>SUMIFS(AH$8:AH$1039,$O$8:$O$1039,O677,$AB$8:$AB$1039,AB677,$R$8:$R$1039,R677,$AA$8:$AA$1039,"&lt;="&amp;AA677)</f>
        <v/>
      </c>
      <c r="AK677" s="84">
        <f>C68</f>
        <v/>
      </c>
      <c r="AL677" s="84">
        <f>C74</f>
        <v/>
      </c>
      <c r="AM677" s="84">
        <f>MAX(0,AJ677-AK677)</f>
        <v/>
      </c>
      <c r="AN677" s="84">
        <f>IF(AM677=0,AH677,IF(AM677&gt;=AH677,0,AH677-AM677))</f>
        <v/>
      </c>
      <c r="AO677" s="84">
        <f>IF(AM677&gt;=AH677,AI677,AI677*AM677/AH677)</f>
        <v/>
      </c>
      <c r="AP677">
        <f t="array" ref="AP677">INDEX($AU$8:$BB$25,6*(R677-1)+MATCH(AB677,$AS$8:$AS$13,0),MATCH(O677,$AU$7:$BB$7,0))</f>
        <v/>
      </c>
    </row>
    <row r="678" ht="14.25" customHeight="1">
      <c r="O678" s="43" t="inlineStr">
        <is>
          <t>Q2’27</t>
        </is>
      </c>
      <c r="P678" s="43" t="n">
        <v>1</v>
      </c>
      <c r="Q678" s="43" t="n">
        <v>9</v>
      </c>
      <c r="R678" s="43" t="n">
        <v>2</v>
      </c>
      <c r="S678" s="45" t="n">
        <v>-0</v>
      </c>
      <c r="T678">
        <f>(S677+S678+S679)=S2</f>
        <v/>
      </c>
      <c r="X678" s="84">
        <f>MAX(S675-S678,0)</f>
        <v/>
      </c>
      <c r="Y678" s="83" t="n">
        <v>0</v>
      </c>
      <c r="AA678" s="84" t="n">
        <v>2</v>
      </c>
      <c r="AB678" s="84" t="inlineStr">
        <is>
          <t>A</t>
        </is>
      </c>
      <c r="AC678" s="84" t="inlineStr">
        <is>
          <t>A+</t>
        </is>
      </c>
      <c r="AD678" s="84" t="n">
        <v>16</v>
      </c>
      <c r="AE678" s="84" t="n">
        <v>13</v>
      </c>
      <c r="AF678" s="84" t="n">
        <v>0.78</v>
      </c>
      <c r="AG678" s="84" t="n">
        <v>0.84</v>
      </c>
      <c r="AH678" s="84" t="n">
        <v>0</v>
      </c>
      <c r="AI678" s="84" t="n">
        <v>0</v>
      </c>
      <c r="AJ678" s="84">
        <f>SUMIFS(AH$8:AH$1039,$O$8:$O$1039,O678,$AB$8:$AB$1039,AB678,$R$8:$R$1039,R678,$AA$8:$AA$1039,"&lt;="&amp;AA678)</f>
        <v/>
      </c>
      <c r="AK678" s="84">
        <f>D68</f>
        <v/>
      </c>
      <c r="AL678" s="84">
        <f>D74</f>
        <v/>
      </c>
      <c r="AM678" s="84">
        <f>MAX(0,AJ678-AK678)</f>
        <v/>
      </c>
      <c r="AN678" s="84">
        <f>IF(AM678=0,AH678,IF(AM678&gt;=AH678,0,AH678-AM678))</f>
        <v/>
      </c>
      <c r="AO678" s="84">
        <f>IF(AM678&gt;=AH678,AI678,AI678*AM678/AH678)</f>
        <v/>
      </c>
      <c r="AP678">
        <f t="array" ref="AP678">INDEX($AU$8:$BB$25,6*(R678-1)+MATCH(AB678,$AS$8:$AS$13,0),MATCH(O678,$AU$7:$BB$7,0))</f>
        <v/>
      </c>
    </row>
    <row r="679" ht="14.25" customHeight="1">
      <c r="O679" s="43" t="inlineStr">
        <is>
          <t>Q2’27</t>
        </is>
      </c>
      <c r="P679" s="43" t="n">
        <v>1</v>
      </c>
      <c r="Q679" s="43" t="n">
        <v>9</v>
      </c>
      <c r="R679" s="43" t="n">
        <v>3</v>
      </c>
      <c r="S679" s="45" t="n">
        <v>0</v>
      </c>
      <c r="T679">
        <f>(S677+S678+S679)=S2</f>
        <v/>
      </c>
      <c r="X679" s="84">
        <f>MAX(S676-S679,0)</f>
        <v/>
      </c>
      <c r="Y679" s="83" t="n">
        <v>0</v>
      </c>
      <c r="AA679" s="84" t="n">
        <v>2</v>
      </c>
      <c r="AB679" s="84" t="inlineStr">
        <is>
          <t>A</t>
        </is>
      </c>
      <c r="AC679" s="84" t="inlineStr">
        <is>
          <t>A+</t>
        </is>
      </c>
      <c r="AD679" s="84" t="n">
        <v>16</v>
      </c>
      <c r="AE679" s="84" t="n">
        <v>13</v>
      </c>
      <c r="AF679" s="84" t="n">
        <v>0.78</v>
      </c>
      <c r="AG679" s="84" t="n">
        <v>0.84</v>
      </c>
      <c r="AH679" s="84" t="n">
        <v>0</v>
      </c>
      <c r="AI679" s="84" t="n">
        <v>0</v>
      </c>
      <c r="AJ679" s="84">
        <f>SUMIFS(AH$8:AH$1039,$O$8:$O$1039,O679,$AB$8:$AB$1039,AB679,$R$8:$R$1039,R679,$AA$8:$AA$1039,"&lt;="&amp;AA679)</f>
        <v/>
      </c>
      <c r="AK679" s="84">
        <f>E68</f>
        <v/>
      </c>
      <c r="AL679" s="84">
        <f>E74</f>
        <v/>
      </c>
      <c r="AM679" s="84">
        <f>MAX(0,AJ679-AK679)</f>
        <v/>
      </c>
      <c r="AN679" s="84">
        <f>IF(AM679=0,AH679,IF(AM679&gt;=AH679,0,AH679-AM679))</f>
        <v/>
      </c>
      <c r="AO679" s="84">
        <f>IF(AM679&gt;=AH679,AI679,AI679*AM679/AH679)</f>
        <v/>
      </c>
      <c r="AP679">
        <f t="array" ref="AP679">INDEX($AU$8:$BB$25,6*(R679-1)+MATCH(AB679,$AS$8:$AS$13,0),MATCH(O679,$AU$7:$BB$7,0))</f>
        <v/>
      </c>
    </row>
    <row r="680" ht="14.25" customHeight="1">
      <c r="O680" s="43" t="inlineStr">
        <is>
          <t>Q2’27</t>
        </is>
      </c>
      <c r="P680" s="43" t="n">
        <v>1</v>
      </c>
      <c r="Q680" s="43" t="n">
        <v>10</v>
      </c>
      <c r="R680" s="43" t="n">
        <v>1</v>
      </c>
      <c r="S680" s="45" t="n">
        <v>3100</v>
      </c>
      <c r="T680">
        <f>(S680+S681+S682)=S2</f>
        <v/>
      </c>
      <c r="X680" s="84">
        <f>MAX(S677-S680,0)</f>
        <v/>
      </c>
      <c r="Y680" s="83" t="n">
        <v>0</v>
      </c>
      <c r="AA680" s="84" t="n">
        <v>6</v>
      </c>
      <c r="AB680" s="84" t="inlineStr">
        <is>
          <t>D</t>
        </is>
      </c>
      <c r="AC680" s="84" t="inlineStr">
        <is>
          <t>D+</t>
        </is>
      </c>
      <c r="AD680" s="84" t="n">
        <v>14</v>
      </c>
      <c r="AE680" s="84" t="n">
        <v>11</v>
      </c>
      <c r="AF680" s="84" t="n">
        <v>0.8</v>
      </c>
      <c r="AG680" s="84" t="n">
        <v>0.88</v>
      </c>
      <c r="AH680" s="84" t="n">
        <v>0</v>
      </c>
      <c r="AI680" s="84" t="n">
        <v>0</v>
      </c>
      <c r="AJ680" s="84">
        <f>SUMIFS(AH$8:AH$1039,$O$8:$O$1039,O680,$AB$8:$AB$1039,AB680,$R$8:$R$1039,R680,$AA$8:$AA$1039,"&lt;="&amp;AA680)</f>
        <v/>
      </c>
      <c r="AK680" s="84">
        <f>C71</f>
        <v/>
      </c>
      <c r="AL680" s="84">
        <f>C77</f>
        <v/>
      </c>
      <c r="AM680" s="84">
        <f>MAX(0,AJ680-AK680)</f>
        <v/>
      </c>
      <c r="AN680" s="84">
        <f>IF(AM680=0,AH680,IF(AM680&gt;=AH680,0,AH680-AM680))</f>
        <v/>
      </c>
      <c r="AO680" s="84">
        <f>IF(AM680&gt;=AH680,AI680,AI680*AM680/AH680)</f>
        <v/>
      </c>
      <c r="AP680">
        <f t="array" ref="AP680">INDEX($AU$8:$BB$25,6*(R680-1)+MATCH(AB680,$AS$8:$AS$13,0),MATCH(O680,$AU$7:$BB$7,0))</f>
        <v/>
      </c>
    </row>
    <row r="681" ht="14.25" customHeight="1">
      <c r="O681" s="43" t="inlineStr">
        <is>
          <t>Q2’27</t>
        </is>
      </c>
      <c r="P681" s="43" t="n">
        <v>1</v>
      </c>
      <c r="Q681" s="43" t="n">
        <v>10</v>
      </c>
      <c r="R681" s="43" t="n">
        <v>2</v>
      </c>
      <c r="S681" s="45" t="n">
        <v>-0</v>
      </c>
      <c r="T681">
        <f>(S680+S681+S682)=S2</f>
        <v/>
      </c>
      <c r="X681" s="84">
        <f>MAX(S678-S681,0)</f>
        <v/>
      </c>
      <c r="Y681" s="83" t="n">
        <v>0</v>
      </c>
      <c r="AA681" s="84" t="n">
        <v>6</v>
      </c>
      <c r="AB681" s="84" t="inlineStr">
        <is>
          <t>D</t>
        </is>
      </c>
      <c r="AC681" s="84" t="inlineStr">
        <is>
          <t>D+</t>
        </is>
      </c>
      <c r="AD681" s="84" t="n">
        <v>14</v>
      </c>
      <c r="AE681" s="84" t="n">
        <v>11</v>
      </c>
      <c r="AF681" s="84" t="n">
        <v>0.8</v>
      </c>
      <c r="AG681" s="84" t="n">
        <v>0.88</v>
      </c>
      <c r="AH681" s="84" t="n">
        <v>0</v>
      </c>
      <c r="AI681" s="84" t="n">
        <v>0</v>
      </c>
      <c r="AJ681" s="84">
        <f>SUMIFS(AH$8:AH$1039,$O$8:$O$1039,O681,$AB$8:$AB$1039,AB681,$R$8:$R$1039,R681,$AA$8:$AA$1039,"&lt;="&amp;AA681)</f>
        <v/>
      </c>
      <c r="AK681" s="84">
        <f>D71</f>
        <v/>
      </c>
      <c r="AL681" s="84">
        <f>D77</f>
        <v/>
      </c>
      <c r="AM681" s="84">
        <f>MAX(0,AJ681-AK681)</f>
        <v/>
      </c>
      <c r="AN681" s="84">
        <f>IF(AM681=0,AH681,IF(AM681&gt;=AH681,0,AH681-AM681))</f>
        <v/>
      </c>
      <c r="AO681" s="84">
        <f>IF(AM681&gt;=AH681,AI681,AI681*AM681/AH681)</f>
        <v/>
      </c>
      <c r="AP681">
        <f t="array" ref="AP681">INDEX($AU$8:$BB$25,6*(R681-1)+MATCH(AB681,$AS$8:$AS$13,0),MATCH(O681,$AU$7:$BB$7,0))</f>
        <v/>
      </c>
    </row>
    <row r="682" ht="14.25" customHeight="1">
      <c r="O682" s="43" t="inlineStr">
        <is>
          <t>Q2’27</t>
        </is>
      </c>
      <c r="P682" s="43" t="n">
        <v>1</v>
      </c>
      <c r="Q682" s="43" t="n">
        <v>10</v>
      </c>
      <c r="R682" s="43" t="n">
        <v>3</v>
      </c>
      <c r="S682" s="45" t="n">
        <v>-0</v>
      </c>
      <c r="T682">
        <f>(S680+S681+S682)=S2</f>
        <v/>
      </c>
      <c r="X682" s="84">
        <f>MAX(S679-S682,0)</f>
        <v/>
      </c>
      <c r="Y682" s="83" t="n">
        <v>0</v>
      </c>
      <c r="AA682" s="84" t="n">
        <v>6</v>
      </c>
      <c r="AB682" s="84" t="inlineStr">
        <is>
          <t>D</t>
        </is>
      </c>
      <c r="AC682" s="84" t="inlineStr">
        <is>
          <t>D+</t>
        </is>
      </c>
      <c r="AD682" s="84" t="n">
        <v>14</v>
      </c>
      <c r="AE682" s="84" t="n">
        <v>11</v>
      </c>
      <c r="AF682" s="84" t="n">
        <v>0.8</v>
      </c>
      <c r="AG682" s="84" t="n">
        <v>0.88</v>
      </c>
      <c r="AH682" s="84" t="n">
        <v>0</v>
      </c>
      <c r="AI682" s="84" t="n">
        <v>0</v>
      </c>
      <c r="AJ682" s="84">
        <f>SUMIFS(AH$8:AH$1039,$O$8:$O$1039,O682,$AB$8:$AB$1039,AB682,$R$8:$R$1039,R682,$AA$8:$AA$1039,"&lt;="&amp;AA682)</f>
        <v/>
      </c>
      <c r="AK682" s="84">
        <f>E71</f>
        <v/>
      </c>
      <c r="AL682" s="84">
        <f>E77</f>
        <v/>
      </c>
      <c r="AM682" s="84">
        <f>MAX(0,AJ682-AK682)</f>
        <v/>
      </c>
      <c r="AN682" s="84">
        <f>IF(AM682=0,AH682,IF(AM682&gt;=AH682,0,AH682-AM682))</f>
        <v/>
      </c>
      <c r="AO682" s="84">
        <f>IF(AM682&gt;=AH682,AI682,AI682*AM682/AH682)</f>
        <v/>
      </c>
      <c r="AP682">
        <f t="array" ref="AP682">INDEX($AU$8:$BB$25,6*(R682-1)+MATCH(AB682,$AS$8:$AS$13,0),MATCH(O682,$AU$7:$BB$7,0))</f>
        <v/>
      </c>
    </row>
    <row r="683" ht="14.25" customHeight="1">
      <c r="O683" s="43" t="inlineStr">
        <is>
          <t>Q2’27</t>
        </is>
      </c>
      <c r="P683" s="43" t="n">
        <v>1</v>
      </c>
      <c r="Q683" s="43" t="n">
        <v>11</v>
      </c>
      <c r="R683" s="43" t="n">
        <v>1</v>
      </c>
      <c r="S683" s="45" t="n">
        <v>3100</v>
      </c>
      <c r="T683">
        <f>(S683+S684+S685)=S2</f>
        <v/>
      </c>
      <c r="X683" s="84">
        <f>MAX(S680-S683,0)</f>
        <v/>
      </c>
      <c r="Y683" s="83" t="n">
        <v>0</v>
      </c>
      <c r="AA683" s="84" t="n">
        <v>3</v>
      </c>
      <c r="AB683" s="84" t="inlineStr">
        <is>
          <t>F</t>
        </is>
      </c>
      <c r="AC683" s="84" t="inlineStr">
        <is>
          <t>F+</t>
        </is>
      </c>
      <c r="AD683" s="84" t="n">
        <v>18</v>
      </c>
      <c r="AE683" s="84" t="n">
        <v>16</v>
      </c>
      <c r="AF683" s="84" t="n">
        <v>0.8</v>
      </c>
      <c r="AG683" s="84" t="n">
        <v>0.9</v>
      </c>
      <c r="AH683" s="84" t="n">
        <v>0</v>
      </c>
      <c r="AI683" s="84" t="n">
        <v>0</v>
      </c>
      <c r="AJ683" s="84">
        <f>SUMIFS(AH$8:AH$1039,$O$8:$O$1039,O683,$AB$8:$AB$1039,AB683,$R$8:$R$1039,R683,$AA$8:$AA$1039,"&lt;="&amp;AA683)</f>
        <v/>
      </c>
      <c r="AK683" s="84">
        <f>C73</f>
        <v/>
      </c>
      <c r="AL683" s="84">
        <f>C79</f>
        <v/>
      </c>
      <c r="AM683" s="84">
        <f>MAX(0,AJ683-AK683)</f>
        <v/>
      </c>
      <c r="AN683" s="84">
        <f>IF(AM683=0,AH683,IF(AM683&gt;=AH683,0,AH683-AM683))</f>
        <v/>
      </c>
      <c r="AO683" s="84">
        <f>IF(AM683&gt;=AH683,AI683,AI683*AM683/AH683)</f>
        <v/>
      </c>
      <c r="AP683">
        <f t="array" ref="AP683">INDEX($AU$8:$BB$25,6*(R683-1)+MATCH(AB683,$AS$8:$AS$13,0),MATCH(O683,$AU$7:$BB$7,0))</f>
        <v/>
      </c>
    </row>
    <row r="684" ht="14.25" customHeight="1">
      <c r="O684" s="43" t="inlineStr">
        <is>
          <t>Q2’27</t>
        </is>
      </c>
      <c r="P684" s="43" t="n">
        <v>1</v>
      </c>
      <c r="Q684" s="43" t="n">
        <v>11</v>
      </c>
      <c r="R684" s="43" t="n">
        <v>2</v>
      </c>
      <c r="S684" s="45" t="n">
        <v>-0</v>
      </c>
      <c r="T684">
        <f>(S683+S684+S685)=S2</f>
        <v/>
      </c>
      <c r="X684" s="84">
        <f>MAX(S681-S684,0)</f>
        <v/>
      </c>
      <c r="Y684" s="83" t="n">
        <v>0</v>
      </c>
      <c r="AA684" s="84" t="n">
        <v>3</v>
      </c>
      <c r="AB684" s="84" t="inlineStr">
        <is>
          <t>F</t>
        </is>
      </c>
      <c r="AC684" s="84" t="inlineStr">
        <is>
          <t>F+</t>
        </is>
      </c>
      <c r="AD684" s="84" t="n">
        <v>18</v>
      </c>
      <c r="AE684" s="84" t="n">
        <v>16</v>
      </c>
      <c r="AF684" s="84" t="n">
        <v>0.8</v>
      </c>
      <c r="AG684" s="84" t="n">
        <v>0.9</v>
      </c>
      <c r="AH684" s="84" t="n">
        <v>0</v>
      </c>
      <c r="AI684" s="84" t="n">
        <v>0</v>
      </c>
      <c r="AJ684" s="84">
        <f>SUMIFS(AH$8:AH$1039,$O$8:$O$1039,O684,$AB$8:$AB$1039,AB684,$R$8:$R$1039,R684,$AA$8:$AA$1039,"&lt;="&amp;AA684)</f>
        <v/>
      </c>
      <c r="AK684" s="84">
        <f>D73</f>
        <v/>
      </c>
      <c r="AL684" s="84">
        <f>D79</f>
        <v/>
      </c>
      <c r="AM684" s="84">
        <f>MAX(0,AJ684-AK684)</f>
        <v/>
      </c>
      <c r="AN684" s="84">
        <f>IF(AM684=0,AH684,IF(AM684&gt;=AH684,0,AH684-AM684))</f>
        <v/>
      </c>
      <c r="AO684" s="84">
        <f>IF(AM684&gt;=AH684,AI684,AI684*AM684/AH684)</f>
        <v/>
      </c>
      <c r="AP684">
        <f t="array" ref="AP684">INDEX($AU$8:$BB$25,6*(R684-1)+MATCH(AB684,$AS$8:$AS$13,0),MATCH(O684,$AU$7:$BB$7,0))</f>
        <v/>
      </c>
    </row>
    <row r="685" ht="14.25" customHeight="1">
      <c r="O685" s="43" t="inlineStr">
        <is>
          <t>Q2’27</t>
        </is>
      </c>
      <c r="P685" s="43" t="n">
        <v>1</v>
      </c>
      <c r="Q685" s="43" t="n">
        <v>11</v>
      </c>
      <c r="R685" s="43" t="n">
        <v>3</v>
      </c>
      <c r="S685" s="45" t="n">
        <v>-0</v>
      </c>
      <c r="T685">
        <f>(S683+S684+S685)=S2</f>
        <v/>
      </c>
      <c r="X685" s="84">
        <f>MAX(S682-S685,0)</f>
        <v/>
      </c>
      <c r="Y685" s="83" t="n">
        <v>0</v>
      </c>
      <c r="AA685" s="84" t="n">
        <v>3</v>
      </c>
      <c r="AB685" s="84" t="inlineStr">
        <is>
          <t>F</t>
        </is>
      </c>
      <c r="AC685" s="84" t="inlineStr">
        <is>
          <t>F+</t>
        </is>
      </c>
      <c r="AD685" s="84" t="n">
        <v>18</v>
      </c>
      <c r="AE685" s="84" t="n">
        <v>16</v>
      </c>
      <c r="AF685" s="84" t="n">
        <v>0.8</v>
      </c>
      <c r="AG685" s="84" t="n">
        <v>0.9</v>
      </c>
      <c r="AH685" s="84" t="n">
        <v>0</v>
      </c>
      <c r="AI685" s="84" t="n">
        <v>0</v>
      </c>
      <c r="AJ685" s="84">
        <f>SUMIFS(AH$8:AH$1039,$O$8:$O$1039,O685,$AB$8:$AB$1039,AB685,$R$8:$R$1039,R685,$AA$8:$AA$1039,"&lt;="&amp;AA685)</f>
        <v/>
      </c>
      <c r="AK685" s="84">
        <f>E73</f>
        <v/>
      </c>
      <c r="AL685" s="84">
        <f>E79</f>
        <v/>
      </c>
      <c r="AM685" s="84">
        <f>MAX(0,AJ685-AK685)</f>
        <v/>
      </c>
      <c r="AN685" s="84">
        <f>IF(AM685=0,AH685,IF(AM685&gt;=AH685,0,AH685-AM685))</f>
        <v/>
      </c>
      <c r="AO685" s="84">
        <f>IF(AM685&gt;=AH685,AI685,AI685*AM685/AH685)</f>
        <v/>
      </c>
      <c r="AP685">
        <f t="array" ref="AP685">INDEX($AU$8:$BB$25,6*(R685-1)+MATCH(AB685,$AS$8:$AS$13,0),MATCH(O685,$AU$7:$BB$7,0))</f>
        <v/>
      </c>
    </row>
    <row r="686" ht="14.25" customHeight="1">
      <c r="O686" s="43" t="inlineStr">
        <is>
          <t>Q2’27</t>
        </is>
      </c>
      <c r="P686" s="43" t="n">
        <v>2</v>
      </c>
      <c r="Q686" s="43" t="n">
        <v>1</v>
      </c>
      <c r="R686" s="43" t="n">
        <v>1</v>
      </c>
      <c r="S686" s="45" t="n">
        <v>3429.440000000001</v>
      </c>
      <c r="T686">
        <f>(S686+S687+S688)=S3</f>
        <v/>
      </c>
      <c r="X686" s="84" t="n">
        <v>0</v>
      </c>
      <c r="Y686" s="83" t="n">
        <v>0</v>
      </c>
      <c r="AA686" s="84" t="n">
        <v>9</v>
      </c>
      <c r="AB686" s="84" t="inlineStr">
        <is>
          <t>F</t>
        </is>
      </c>
      <c r="AC686" s="84" t="inlineStr">
        <is>
          <t>F+</t>
        </is>
      </c>
      <c r="AD686" s="84" t="n">
        <v>19</v>
      </c>
      <c r="AE686" s="84" t="n">
        <v>16</v>
      </c>
      <c r="AF686" s="84" t="n">
        <v>0.8</v>
      </c>
      <c r="AG686" s="84" t="n">
        <v>0.9</v>
      </c>
      <c r="AH686" s="84" t="n">
        <v>0</v>
      </c>
      <c r="AI686" s="84" t="n">
        <v>0</v>
      </c>
      <c r="AJ686" s="84">
        <f>SUMIFS(AH$8:AH$1039,$O$8:$O$1039,O686,$AB$8:$AB$1039,AB686,$R$8:$R$1039,R686,$AA$8:$AA$1039,"&lt;="&amp;AA686)</f>
        <v/>
      </c>
      <c r="AK686" s="84">
        <f>C73</f>
        <v/>
      </c>
      <c r="AL686" s="84">
        <f>C79</f>
        <v/>
      </c>
      <c r="AM686" s="84">
        <f>MAX(0,AJ686-AK686)</f>
        <v/>
      </c>
      <c r="AN686" s="84">
        <f>IF(AM686=0,AH686,IF(AM686&gt;=AH686,0,AH686-AM686))</f>
        <v/>
      </c>
      <c r="AO686" s="84">
        <f>IF(AM686&gt;=AH686,AI686,AI686*AM686/AH686)</f>
        <v/>
      </c>
      <c r="AP686">
        <f t="array" ref="AP686">INDEX($AU$8:$BB$25,6*(R686-1)+MATCH(AB686,$AS$8:$AS$13,0),MATCH(O686,$AU$7:$BB$7,0))</f>
        <v/>
      </c>
    </row>
    <row r="687" ht="14.25" customHeight="1">
      <c r="O687" s="43" t="inlineStr">
        <is>
          <t>Q2’27</t>
        </is>
      </c>
      <c r="P687" s="43" t="n">
        <v>2</v>
      </c>
      <c r="Q687" s="43" t="n">
        <v>1</v>
      </c>
      <c r="R687" s="43" t="n">
        <v>2</v>
      </c>
      <c r="S687" s="45" t="n">
        <v>600.5599999999999</v>
      </c>
      <c r="T687">
        <f>(S686+S687+S688)=S3</f>
        <v/>
      </c>
      <c r="X687" s="84" t="n">
        <v>0</v>
      </c>
      <c r="Y687" s="83" t="n">
        <v>0</v>
      </c>
      <c r="AA687" s="84" t="n">
        <v>9</v>
      </c>
      <c r="AB687" s="84" t="inlineStr">
        <is>
          <t>F</t>
        </is>
      </c>
      <c r="AC687" s="84" t="inlineStr">
        <is>
          <t>F+</t>
        </is>
      </c>
      <c r="AD687" s="84" t="n">
        <v>19</v>
      </c>
      <c r="AE687" s="84" t="n">
        <v>16</v>
      </c>
      <c r="AF687" s="84" t="n">
        <v>0.8</v>
      </c>
      <c r="AG687" s="84" t="n">
        <v>0.9</v>
      </c>
      <c r="AH687" s="84" t="n">
        <v>0</v>
      </c>
      <c r="AI687" s="84" t="n">
        <v>0</v>
      </c>
      <c r="AJ687" s="84">
        <f>SUMIFS(AH$8:AH$1039,$O$8:$O$1039,O687,$AB$8:$AB$1039,AB687,$R$8:$R$1039,R687,$AA$8:$AA$1039,"&lt;="&amp;AA687)</f>
        <v/>
      </c>
      <c r="AK687" s="84">
        <f>D73</f>
        <v/>
      </c>
      <c r="AL687" s="84">
        <f>D79</f>
        <v/>
      </c>
      <c r="AM687" s="84">
        <f>MAX(0,AJ687-AK687)</f>
        <v/>
      </c>
      <c r="AN687" s="84">
        <f>IF(AM687=0,AH687,IF(AM687&gt;=AH687,0,AH687-AM687))</f>
        <v/>
      </c>
      <c r="AO687" s="84">
        <f>IF(AM687&gt;=AH687,AI687,AI687*AM687/AH687)</f>
        <v/>
      </c>
      <c r="AP687">
        <f t="array" ref="AP687">INDEX($AU$8:$BB$25,6*(R687-1)+MATCH(AB687,$AS$8:$AS$13,0),MATCH(O687,$AU$7:$BB$7,0))</f>
        <v/>
      </c>
    </row>
    <row r="688" ht="14.25" customHeight="1">
      <c r="O688" s="43" t="inlineStr">
        <is>
          <t>Q2’27</t>
        </is>
      </c>
      <c r="P688" s="43" t="n">
        <v>2</v>
      </c>
      <c r="Q688" s="43" t="n">
        <v>1</v>
      </c>
      <c r="R688" s="43" t="n">
        <v>3</v>
      </c>
      <c r="S688" s="45" t="n">
        <v>0</v>
      </c>
      <c r="T688">
        <f>(S686+S687+S688)=S3</f>
        <v/>
      </c>
      <c r="X688" s="84" t="n">
        <v>0</v>
      </c>
      <c r="Y688" s="83" t="n">
        <v>0</v>
      </c>
      <c r="AA688" s="84" t="n">
        <v>9</v>
      </c>
      <c r="AB688" s="84" t="inlineStr">
        <is>
          <t>F</t>
        </is>
      </c>
      <c r="AC688" s="84" t="inlineStr">
        <is>
          <t>F+</t>
        </is>
      </c>
      <c r="AD688" s="84" t="n">
        <v>19</v>
      </c>
      <c r="AE688" s="84" t="n">
        <v>16</v>
      </c>
      <c r="AF688" s="84" t="n">
        <v>0.8</v>
      </c>
      <c r="AG688" s="84" t="n">
        <v>0.9</v>
      </c>
      <c r="AH688" s="84" t="n">
        <v>0</v>
      </c>
      <c r="AI688" s="84" t="n">
        <v>0</v>
      </c>
      <c r="AJ688" s="84">
        <f>SUMIFS(AH$8:AH$1039,$O$8:$O$1039,O688,$AB$8:$AB$1039,AB688,$R$8:$R$1039,R688,$AA$8:$AA$1039,"&lt;="&amp;AA688)</f>
        <v/>
      </c>
      <c r="AK688" s="84">
        <f>E73</f>
        <v/>
      </c>
      <c r="AL688" s="84">
        <f>E79</f>
        <v/>
      </c>
      <c r="AM688" s="84">
        <f>MAX(0,AJ688-AK688)</f>
        <v/>
      </c>
      <c r="AN688" s="84">
        <f>IF(AM688=0,AH688,IF(AM688&gt;=AH688,0,AH688-AM688))</f>
        <v/>
      </c>
      <c r="AO688" s="84">
        <f>IF(AM688&gt;=AH688,AI688,AI688*AM688/AH688)</f>
        <v/>
      </c>
      <c r="AP688">
        <f t="array" ref="AP688">INDEX($AU$8:$BB$25,6*(R688-1)+MATCH(AB688,$AS$8:$AS$13,0),MATCH(O688,$AU$7:$BB$7,0))</f>
        <v/>
      </c>
    </row>
    <row r="689" ht="14.25" customHeight="1">
      <c r="O689" s="43" t="inlineStr">
        <is>
          <t>Q2’27</t>
        </is>
      </c>
      <c r="P689" s="43" t="n">
        <v>2</v>
      </c>
      <c r="Q689" s="43" t="n">
        <v>2</v>
      </c>
      <c r="R689" s="43" t="n">
        <v>1</v>
      </c>
      <c r="S689" s="45" t="n">
        <v>3429.440000000001</v>
      </c>
      <c r="T689">
        <f>(S689+S690+S691)=S3</f>
        <v/>
      </c>
      <c r="X689" s="84">
        <f>MAX(S686-S689,0)</f>
        <v/>
      </c>
      <c r="Y689" s="83" t="n">
        <v>0</v>
      </c>
      <c r="AA689" s="84" t="n">
        <v>1</v>
      </c>
      <c r="AB689" s="84" t="inlineStr">
        <is>
          <t>B</t>
        </is>
      </c>
      <c r="AC689" s="84" t="inlineStr">
        <is>
          <t>B+</t>
        </is>
      </c>
      <c r="AD689" s="84" t="n">
        <v>20</v>
      </c>
      <c r="AE689" s="84" t="n">
        <v>18</v>
      </c>
      <c r="AF689" s="84" t="n">
        <v>0.76</v>
      </c>
      <c r="AG689" s="84" t="n">
        <v>0.8100000000000001</v>
      </c>
      <c r="AH689" s="84" t="n">
        <v>0</v>
      </c>
      <c r="AI689" s="84" t="n">
        <v>0</v>
      </c>
      <c r="AJ689" s="84">
        <f>SUMIFS(AH$8:AH$1039,$O$8:$O$1039,O689,$AB$8:$AB$1039,AB689,$R$8:$R$1039,R689,$AA$8:$AA$1039,"&lt;="&amp;AA689)</f>
        <v/>
      </c>
      <c r="AK689" s="84">
        <f>C69</f>
        <v/>
      </c>
      <c r="AL689" s="84">
        <f>C75</f>
        <v/>
      </c>
      <c r="AM689" s="84">
        <f>MAX(0,AJ689-AK689)</f>
        <v/>
      </c>
      <c r="AN689" s="84">
        <f>IF(AM689=0,AH689,IF(AM689&gt;=AH689,0,AH689-AM689))</f>
        <v/>
      </c>
      <c r="AO689" s="84">
        <f>IF(AM689&gt;=AH689,AI689,AI689*AM689/AH689)</f>
        <v/>
      </c>
      <c r="AP689">
        <f t="array" ref="AP689">INDEX($AU$8:$BB$25,6*(R689-1)+MATCH(AB689,$AS$8:$AS$13,0),MATCH(O689,$AU$7:$BB$7,0))</f>
        <v/>
      </c>
    </row>
    <row r="690" ht="14.25" customHeight="1">
      <c r="O690" s="43" t="inlineStr">
        <is>
          <t>Q2’27</t>
        </is>
      </c>
      <c r="P690" s="43" t="n">
        <v>2</v>
      </c>
      <c r="Q690" s="43" t="n">
        <v>2</v>
      </c>
      <c r="R690" s="43" t="n">
        <v>2</v>
      </c>
      <c r="S690" s="45" t="n">
        <v>600.5599999999999</v>
      </c>
      <c r="T690">
        <f>(S689+S690+S691)=S3</f>
        <v/>
      </c>
      <c r="X690" s="84">
        <f>MAX(S687-S690,0)</f>
        <v/>
      </c>
      <c r="Y690" s="83" t="n">
        <v>0</v>
      </c>
      <c r="AA690" s="84" t="n">
        <v>1</v>
      </c>
      <c r="AB690" s="84" t="inlineStr">
        <is>
          <t>B</t>
        </is>
      </c>
      <c r="AC690" s="84" t="inlineStr">
        <is>
          <t>B+</t>
        </is>
      </c>
      <c r="AD690" s="84" t="n">
        <v>20</v>
      </c>
      <c r="AE690" s="84" t="n">
        <v>18</v>
      </c>
      <c r="AF690" s="84" t="n">
        <v>0.76</v>
      </c>
      <c r="AG690" s="84" t="n">
        <v>0.8100000000000001</v>
      </c>
      <c r="AH690" s="84" t="n">
        <v>0</v>
      </c>
      <c r="AI690" s="84" t="n">
        <v>0</v>
      </c>
      <c r="AJ690" s="84">
        <f>SUMIFS(AH$8:AH$1039,$O$8:$O$1039,O690,$AB$8:$AB$1039,AB690,$R$8:$R$1039,R690,$AA$8:$AA$1039,"&lt;="&amp;AA690)</f>
        <v/>
      </c>
      <c r="AK690" s="84">
        <f>D69</f>
        <v/>
      </c>
      <c r="AL690" s="84">
        <f>D75</f>
        <v/>
      </c>
      <c r="AM690" s="84">
        <f>MAX(0,AJ690-AK690)</f>
        <v/>
      </c>
      <c r="AN690" s="84">
        <f>IF(AM690=0,AH690,IF(AM690&gt;=AH690,0,AH690-AM690))</f>
        <v/>
      </c>
      <c r="AO690" s="84">
        <f>IF(AM690&gt;=AH690,AI690,AI690*AM690/AH690)</f>
        <v/>
      </c>
      <c r="AP690">
        <f t="array" ref="AP690">INDEX($AU$8:$BB$25,6*(R690-1)+MATCH(AB690,$AS$8:$AS$13,0),MATCH(O690,$AU$7:$BB$7,0))</f>
        <v/>
      </c>
    </row>
    <row r="691" ht="14.25" customHeight="1">
      <c r="O691" s="43" t="inlineStr">
        <is>
          <t>Q2’27</t>
        </is>
      </c>
      <c r="P691" s="43" t="n">
        <v>2</v>
      </c>
      <c r="Q691" s="43" t="n">
        <v>2</v>
      </c>
      <c r="R691" s="43" t="n">
        <v>3</v>
      </c>
      <c r="S691" s="45" t="n">
        <v>0</v>
      </c>
      <c r="T691">
        <f>(S689+S690+S691)=S3</f>
        <v/>
      </c>
      <c r="X691" s="84">
        <f>MAX(S688-S691,0)</f>
        <v/>
      </c>
      <c r="Y691" s="83" t="n">
        <v>0</v>
      </c>
      <c r="AA691" s="84" t="n">
        <v>1</v>
      </c>
      <c r="AB691" s="84" t="inlineStr">
        <is>
          <t>B</t>
        </is>
      </c>
      <c r="AC691" s="84" t="inlineStr">
        <is>
          <t>B+</t>
        </is>
      </c>
      <c r="AD691" s="84" t="n">
        <v>20</v>
      </c>
      <c r="AE691" s="84" t="n">
        <v>18</v>
      </c>
      <c r="AF691" s="84" t="n">
        <v>0.76</v>
      </c>
      <c r="AG691" s="84" t="n">
        <v>0.8100000000000001</v>
      </c>
      <c r="AH691" s="84" t="n">
        <v>0</v>
      </c>
      <c r="AI691" s="84" t="n">
        <v>0</v>
      </c>
      <c r="AJ691" s="84">
        <f>SUMIFS(AH$8:AH$1039,$O$8:$O$1039,O691,$AB$8:$AB$1039,AB691,$R$8:$R$1039,R691,$AA$8:$AA$1039,"&lt;="&amp;AA691)</f>
        <v/>
      </c>
      <c r="AK691" s="84">
        <f>E69</f>
        <v/>
      </c>
      <c r="AL691" s="84">
        <f>E75</f>
        <v/>
      </c>
      <c r="AM691" s="84">
        <f>MAX(0,AJ691-AK691)</f>
        <v/>
      </c>
      <c r="AN691" s="84">
        <f>IF(AM691=0,AH691,IF(AM691&gt;=AH691,0,AH691-AM691))</f>
        <v/>
      </c>
      <c r="AO691" s="84">
        <f>IF(AM691&gt;=AH691,AI691,AI691*AM691/AH691)</f>
        <v/>
      </c>
      <c r="AP691">
        <f t="array" ref="AP691">INDEX($AU$8:$BB$25,6*(R691-1)+MATCH(AB691,$AS$8:$AS$13,0),MATCH(O691,$AU$7:$BB$7,0))</f>
        <v/>
      </c>
    </row>
    <row r="692" ht="14.25" customHeight="1">
      <c r="O692" s="43" t="inlineStr">
        <is>
          <t>Q2’27</t>
        </is>
      </c>
      <c r="P692" s="43" t="n">
        <v>2</v>
      </c>
      <c r="Q692" s="43" t="n">
        <v>3</v>
      </c>
      <c r="R692" s="43" t="n">
        <v>1</v>
      </c>
      <c r="S692" s="45" t="n">
        <v>3429.440000000001</v>
      </c>
      <c r="T692">
        <f>(S692+S693+S694)=S3</f>
        <v/>
      </c>
      <c r="X692" s="84">
        <f>MAX(S689-S692,0)</f>
        <v/>
      </c>
      <c r="Y692" s="83" t="n">
        <v>0</v>
      </c>
      <c r="AA692" s="84" t="n">
        <v>11</v>
      </c>
      <c r="AB692" s="84" t="inlineStr">
        <is>
          <t>E</t>
        </is>
      </c>
      <c r="AC692" s="84" t="inlineStr">
        <is>
          <t>E+</t>
        </is>
      </c>
      <c r="AD692" s="84" t="n">
        <v>10</v>
      </c>
      <c r="AE692" s="84" t="n">
        <v>7</v>
      </c>
      <c r="AF692" s="84" t="n">
        <v>0.76</v>
      </c>
      <c r="AG692" s="84" t="n">
        <v>0.84</v>
      </c>
      <c r="AH692" s="84" t="n">
        <v>0</v>
      </c>
      <c r="AI692" s="84" t="n">
        <v>0</v>
      </c>
      <c r="AJ692" s="84">
        <f>SUMIFS(AH$8:AH$1039,$O$8:$O$1039,O692,$AB$8:$AB$1039,AB692,$R$8:$R$1039,R692,$AA$8:$AA$1039,"&lt;="&amp;AA692)</f>
        <v/>
      </c>
      <c r="AK692" s="84">
        <f>C72</f>
        <v/>
      </c>
      <c r="AL692" s="84">
        <f>C78</f>
        <v/>
      </c>
      <c r="AM692" s="84">
        <f>MAX(0,AJ692-AK692)</f>
        <v/>
      </c>
      <c r="AN692" s="84">
        <f>IF(AM692=0,AH692,IF(AM692&gt;=AH692,0,AH692-AM692))</f>
        <v/>
      </c>
      <c r="AO692" s="84">
        <f>IF(AM692&gt;=AH692,AI692,AI692*AM692/AH692)</f>
        <v/>
      </c>
      <c r="AP692">
        <f t="array" ref="AP692">INDEX($AU$8:$BB$25,6*(R692-1)+MATCH(AB692,$AS$8:$AS$13,0),MATCH(O692,$AU$7:$BB$7,0))</f>
        <v/>
      </c>
    </row>
    <row r="693" ht="14.25" customHeight="1">
      <c r="O693" s="43" t="inlineStr">
        <is>
          <t>Q2’27</t>
        </is>
      </c>
      <c r="P693" s="43" t="n">
        <v>2</v>
      </c>
      <c r="Q693" s="43" t="n">
        <v>3</v>
      </c>
      <c r="R693" s="43" t="n">
        <v>2</v>
      </c>
      <c r="S693" s="45" t="n">
        <v>600.5599999999999</v>
      </c>
      <c r="T693">
        <f>(S692+S693+S694)=S3</f>
        <v/>
      </c>
      <c r="X693" s="84">
        <f>MAX(S690-S693,0)</f>
        <v/>
      </c>
      <c r="Y693" s="83" t="n">
        <v>0</v>
      </c>
      <c r="AA693" s="84" t="n">
        <v>11</v>
      </c>
      <c r="AB693" s="84" t="inlineStr">
        <is>
          <t>E</t>
        </is>
      </c>
      <c r="AC693" s="84" t="inlineStr">
        <is>
          <t>E+</t>
        </is>
      </c>
      <c r="AD693" s="84" t="n">
        <v>10</v>
      </c>
      <c r="AE693" s="84" t="n">
        <v>7</v>
      </c>
      <c r="AF693" s="84" t="n">
        <v>0.76</v>
      </c>
      <c r="AG693" s="84" t="n">
        <v>0.84</v>
      </c>
      <c r="AH693" s="84" t="n">
        <v>0</v>
      </c>
      <c r="AI693" s="84" t="n">
        <v>0</v>
      </c>
      <c r="AJ693" s="84">
        <f>SUMIFS(AH$8:AH$1039,$O$8:$O$1039,O693,$AB$8:$AB$1039,AB693,$R$8:$R$1039,R693,$AA$8:$AA$1039,"&lt;="&amp;AA693)</f>
        <v/>
      </c>
      <c r="AK693" s="84">
        <f>D72</f>
        <v/>
      </c>
      <c r="AL693" s="84">
        <f>D78</f>
        <v/>
      </c>
      <c r="AM693" s="84">
        <f>MAX(0,AJ693-AK693)</f>
        <v/>
      </c>
      <c r="AN693" s="84">
        <f>IF(AM693=0,AH693,IF(AM693&gt;=AH693,0,AH693-AM693))</f>
        <v/>
      </c>
      <c r="AO693" s="84">
        <f>IF(AM693&gt;=AH693,AI693,AI693*AM693/AH693)</f>
        <v/>
      </c>
      <c r="AP693">
        <f t="array" ref="AP693">INDEX($AU$8:$BB$25,6*(R693-1)+MATCH(AB693,$AS$8:$AS$13,0),MATCH(O693,$AU$7:$BB$7,0))</f>
        <v/>
      </c>
    </row>
    <row r="694" ht="14.25" customHeight="1">
      <c r="O694" s="43" t="inlineStr">
        <is>
          <t>Q2’27</t>
        </is>
      </c>
      <c r="P694" s="43" t="n">
        <v>2</v>
      </c>
      <c r="Q694" s="43" t="n">
        <v>3</v>
      </c>
      <c r="R694" s="43" t="n">
        <v>3</v>
      </c>
      <c r="S694" s="45" t="n">
        <v>0</v>
      </c>
      <c r="T694">
        <f>(S692+S693+S694)=S3</f>
        <v/>
      </c>
      <c r="X694" s="84">
        <f>MAX(S691-S694,0)</f>
        <v/>
      </c>
      <c r="Y694" s="83" t="n">
        <v>0</v>
      </c>
      <c r="AA694" s="84" t="n">
        <v>11</v>
      </c>
      <c r="AB694" s="84" t="inlineStr">
        <is>
          <t>E</t>
        </is>
      </c>
      <c r="AC694" s="84" t="inlineStr">
        <is>
          <t>E+</t>
        </is>
      </c>
      <c r="AD694" s="84" t="n">
        <v>10</v>
      </c>
      <c r="AE694" s="84" t="n">
        <v>7</v>
      </c>
      <c r="AF694" s="84" t="n">
        <v>0.76</v>
      </c>
      <c r="AG694" s="84" t="n">
        <v>0.84</v>
      </c>
      <c r="AH694" s="84" t="n">
        <v>0</v>
      </c>
      <c r="AI694" s="84" t="n">
        <v>0</v>
      </c>
      <c r="AJ694" s="84">
        <f>SUMIFS(AH$8:AH$1039,$O$8:$O$1039,O694,$AB$8:$AB$1039,AB694,$R$8:$R$1039,R694,$AA$8:$AA$1039,"&lt;="&amp;AA694)</f>
        <v/>
      </c>
      <c r="AK694" s="84">
        <f>E72</f>
        <v/>
      </c>
      <c r="AL694" s="84">
        <f>E78</f>
        <v/>
      </c>
      <c r="AM694" s="84">
        <f>MAX(0,AJ694-AK694)</f>
        <v/>
      </c>
      <c r="AN694" s="84">
        <f>IF(AM694=0,AH694,IF(AM694&gt;=AH694,0,AH694-AM694))</f>
        <v/>
      </c>
      <c r="AO694" s="84">
        <f>IF(AM694&gt;=AH694,AI694,AI694*AM694/AH694)</f>
        <v/>
      </c>
      <c r="AP694">
        <f t="array" ref="AP694">INDEX($AU$8:$BB$25,6*(R694-1)+MATCH(AB694,$AS$8:$AS$13,0),MATCH(O694,$AU$7:$BB$7,0))</f>
        <v/>
      </c>
    </row>
    <row r="695" ht="14.25" customHeight="1">
      <c r="O695" s="43" t="inlineStr">
        <is>
          <t>Q2’27</t>
        </is>
      </c>
      <c r="P695" s="43" t="n">
        <v>2</v>
      </c>
      <c r="Q695" s="43" t="n">
        <v>4</v>
      </c>
      <c r="R695" s="43" t="n">
        <v>1</v>
      </c>
      <c r="S695" s="45" t="n">
        <v>3429.440000000001</v>
      </c>
      <c r="T695">
        <f>(S695+S696+S697)=S3</f>
        <v/>
      </c>
      <c r="X695" s="84">
        <f>MAX(S692-S695,0)</f>
        <v/>
      </c>
      <c r="Y695" s="83" t="n">
        <v>0</v>
      </c>
      <c r="AA695" s="84" t="n">
        <v>2</v>
      </c>
      <c r="AB695" s="84" t="inlineStr">
        <is>
          <t>B</t>
        </is>
      </c>
      <c r="AC695" s="84" t="inlineStr">
        <is>
          <t>B+</t>
        </is>
      </c>
      <c r="AD695" s="84" t="n">
        <v>25</v>
      </c>
      <c r="AE695" s="84" t="n">
        <v>19</v>
      </c>
      <c r="AF695" s="84" t="n">
        <v>0.76</v>
      </c>
      <c r="AG695" s="84" t="n">
        <v>0.8100000000000001</v>
      </c>
      <c r="AH695" s="84" t="n">
        <v>0</v>
      </c>
      <c r="AI695" s="84" t="n">
        <v>0</v>
      </c>
      <c r="AJ695" s="84">
        <f>SUMIFS(AH$8:AH$1039,$O$8:$O$1039,O695,$AB$8:$AB$1039,AB695,$R$8:$R$1039,R695,$AA$8:$AA$1039,"&lt;="&amp;AA695)</f>
        <v/>
      </c>
      <c r="AK695" s="84">
        <f>C69</f>
        <v/>
      </c>
      <c r="AL695" s="84">
        <f>C75</f>
        <v/>
      </c>
      <c r="AM695" s="84">
        <f>MAX(0,AJ695-AK695)</f>
        <v/>
      </c>
      <c r="AN695" s="84">
        <f>IF(AM695=0,AH695,IF(AM695&gt;=AH695,0,AH695-AM695))</f>
        <v/>
      </c>
      <c r="AO695" s="84">
        <f>IF(AM695&gt;=AH695,AI695,AI695*AM695/AH695)</f>
        <v/>
      </c>
      <c r="AP695">
        <f t="array" ref="AP695">INDEX($AU$8:$BB$25,6*(R695-1)+MATCH(AB695,$AS$8:$AS$13,0),MATCH(O695,$AU$7:$BB$7,0))</f>
        <v/>
      </c>
    </row>
    <row r="696" ht="14.25" customHeight="1">
      <c r="O696" s="43" t="inlineStr">
        <is>
          <t>Q2’27</t>
        </is>
      </c>
      <c r="P696" s="43" t="n">
        <v>2</v>
      </c>
      <c r="Q696" s="43" t="n">
        <v>4</v>
      </c>
      <c r="R696" s="43" t="n">
        <v>2</v>
      </c>
      <c r="S696" s="45" t="n">
        <v>600.5599999999999</v>
      </c>
      <c r="T696">
        <f>(S695+S696+S697)=S3</f>
        <v/>
      </c>
      <c r="X696" s="84">
        <f>MAX(S693-S696,0)</f>
        <v/>
      </c>
      <c r="Y696" s="83" t="n">
        <v>0</v>
      </c>
      <c r="AA696" s="84" t="n">
        <v>2</v>
      </c>
      <c r="AB696" s="84" t="inlineStr">
        <is>
          <t>B</t>
        </is>
      </c>
      <c r="AC696" s="84" t="inlineStr">
        <is>
          <t>B+</t>
        </is>
      </c>
      <c r="AD696" s="84" t="n">
        <v>25</v>
      </c>
      <c r="AE696" s="84" t="n">
        <v>19</v>
      </c>
      <c r="AF696" s="84" t="n">
        <v>0.76</v>
      </c>
      <c r="AG696" s="84" t="n">
        <v>0.8100000000000001</v>
      </c>
      <c r="AH696" s="84" t="n">
        <v>0</v>
      </c>
      <c r="AI696" s="84" t="n">
        <v>0</v>
      </c>
      <c r="AJ696" s="84">
        <f>SUMIFS(AH$8:AH$1039,$O$8:$O$1039,O696,$AB$8:$AB$1039,AB696,$R$8:$R$1039,R696,$AA$8:$AA$1039,"&lt;="&amp;AA696)</f>
        <v/>
      </c>
      <c r="AK696" s="84">
        <f>D69</f>
        <v/>
      </c>
      <c r="AL696" s="84">
        <f>D75</f>
        <v/>
      </c>
      <c r="AM696" s="84">
        <f>MAX(0,AJ696-AK696)</f>
        <v/>
      </c>
      <c r="AN696" s="84">
        <f>IF(AM696=0,AH696,IF(AM696&gt;=AH696,0,AH696-AM696))</f>
        <v/>
      </c>
      <c r="AO696" s="84">
        <f>IF(AM696&gt;=AH696,AI696,AI696*AM696/AH696)</f>
        <v/>
      </c>
      <c r="AP696">
        <f t="array" ref="AP696">INDEX($AU$8:$BB$25,6*(R696-1)+MATCH(AB696,$AS$8:$AS$13,0),MATCH(O696,$AU$7:$BB$7,0))</f>
        <v/>
      </c>
    </row>
    <row r="697" ht="14.25" customHeight="1">
      <c r="O697" s="43" t="inlineStr">
        <is>
          <t>Q2’27</t>
        </is>
      </c>
      <c r="P697" s="43" t="n">
        <v>2</v>
      </c>
      <c r="Q697" s="43" t="n">
        <v>4</v>
      </c>
      <c r="R697" s="43" t="n">
        <v>3</v>
      </c>
      <c r="S697" s="45" t="n">
        <v>0</v>
      </c>
      <c r="T697">
        <f>(S695+S696+S697)=S3</f>
        <v/>
      </c>
      <c r="X697" s="84">
        <f>MAX(S694-S697,0)</f>
        <v/>
      </c>
      <c r="Y697" s="83" t="n">
        <v>0</v>
      </c>
      <c r="AA697" s="84" t="n">
        <v>2</v>
      </c>
      <c r="AB697" s="84" t="inlineStr">
        <is>
          <t>B</t>
        </is>
      </c>
      <c r="AC697" s="84" t="inlineStr">
        <is>
          <t>B+</t>
        </is>
      </c>
      <c r="AD697" s="84" t="n">
        <v>25</v>
      </c>
      <c r="AE697" s="84" t="n">
        <v>19</v>
      </c>
      <c r="AF697" s="84" t="n">
        <v>0.76</v>
      </c>
      <c r="AG697" s="84" t="n">
        <v>0.8100000000000001</v>
      </c>
      <c r="AH697" s="84" t="n">
        <v>0</v>
      </c>
      <c r="AI697" s="84" t="n">
        <v>0</v>
      </c>
      <c r="AJ697" s="84">
        <f>SUMIFS(AH$8:AH$1039,$O$8:$O$1039,O697,$AB$8:$AB$1039,AB697,$R$8:$R$1039,R697,$AA$8:$AA$1039,"&lt;="&amp;AA697)</f>
        <v/>
      </c>
      <c r="AK697" s="84">
        <f>E69</f>
        <v/>
      </c>
      <c r="AL697" s="84">
        <f>E75</f>
        <v/>
      </c>
      <c r="AM697" s="84">
        <f>MAX(0,AJ697-AK697)</f>
        <v/>
      </c>
      <c r="AN697" s="84">
        <f>IF(AM697=0,AH697,IF(AM697&gt;=AH697,0,AH697-AM697))</f>
        <v/>
      </c>
      <c r="AO697" s="84">
        <f>IF(AM697&gt;=AH697,AI697,AI697*AM697/AH697)</f>
        <v/>
      </c>
      <c r="AP697">
        <f t="array" ref="AP697">INDEX($AU$8:$BB$25,6*(R697-1)+MATCH(AB697,$AS$8:$AS$13,0),MATCH(O697,$AU$7:$BB$7,0))</f>
        <v/>
      </c>
    </row>
    <row r="698" ht="14.25" customHeight="1">
      <c r="O698" s="43" t="inlineStr">
        <is>
          <t>Q2’27</t>
        </is>
      </c>
      <c r="P698" s="43" t="n">
        <v>2</v>
      </c>
      <c r="Q698" s="43" t="n">
        <v>5</v>
      </c>
      <c r="R698" s="43" t="n">
        <v>1</v>
      </c>
      <c r="S698" s="45" t="n">
        <v>3429.440000000001</v>
      </c>
      <c r="T698">
        <f>(S698+S699+S700)=S3</f>
        <v/>
      </c>
      <c r="X698" s="84">
        <f>MAX(S695-S698,0)</f>
        <v/>
      </c>
      <c r="Y698" s="83" t="n">
        <v>0</v>
      </c>
      <c r="AA698" s="84" t="n">
        <v>3</v>
      </c>
      <c r="AB698" s="84" t="inlineStr">
        <is>
          <t>B</t>
        </is>
      </c>
      <c r="AC698" s="84" t="inlineStr">
        <is>
          <t>B+</t>
        </is>
      </c>
      <c r="AD698" s="84" t="n">
        <v>15</v>
      </c>
      <c r="AE698" s="84" t="n">
        <v>11</v>
      </c>
      <c r="AF698" s="84" t="n">
        <v>0.76</v>
      </c>
      <c r="AG698" s="84" t="n">
        <v>0.8100000000000001</v>
      </c>
      <c r="AH698" s="84" t="n">
        <v>0</v>
      </c>
      <c r="AI698" s="84" t="n">
        <v>0</v>
      </c>
      <c r="AJ698" s="84">
        <f>SUMIFS(AH$8:AH$1039,$O$8:$O$1039,O698,$AB$8:$AB$1039,AB698,$R$8:$R$1039,R698,$AA$8:$AA$1039,"&lt;="&amp;AA698)</f>
        <v/>
      </c>
      <c r="AK698" s="84">
        <f>C69</f>
        <v/>
      </c>
      <c r="AL698" s="84">
        <f>C75</f>
        <v/>
      </c>
      <c r="AM698" s="84">
        <f>MAX(0,AJ698-AK698)</f>
        <v/>
      </c>
      <c r="AN698" s="84">
        <f>IF(AM698=0,AH698,IF(AM698&gt;=AH698,0,AH698-AM698))</f>
        <v/>
      </c>
      <c r="AO698" s="84">
        <f>IF(AM698&gt;=AH698,AI698,AI698*AM698/AH698)</f>
        <v/>
      </c>
      <c r="AP698">
        <f t="array" ref="AP698">INDEX($AU$8:$BB$25,6*(R698-1)+MATCH(AB698,$AS$8:$AS$13,0),MATCH(O698,$AU$7:$BB$7,0))</f>
        <v/>
      </c>
    </row>
    <row r="699" ht="14.25" customHeight="1">
      <c r="O699" s="43" t="inlineStr">
        <is>
          <t>Q2’27</t>
        </is>
      </c>
      <c r="P699" s="43" t="n">
        <v>2</v>
      </c>
      <c r="Q699" s="43" t="n">
        <v>5</v>
      </c>
      <c r="R699" s="43" t="n">
        <v>2</v>
      </c>
      <c r="S699" s="45" t="n">
        <v>600.5599999999999</v>
      </c>
      <c r="T699">
        <f>(S698+S699+S700)=S3</f>
        <v/>
      </c>
      <c r="X699" s="84">
        <f>MAX(S696-S699,0)</f>
        <v/>
      </c>
      <c r="Y699" s="83" t="n">
        <v>0</v>
      </c>
      <c r="AA699" s="84" t="n">
        <v>3</v>
      </c>
      <c r="AB699" s="84" t="inlineStr">
        <is>
          <t>B</t>
        </is>
      </c>
      <c r="AC699" s="84" t="inlineStr">
        <is>
          <t>B+</t>
        </is>
      </c>
      <c r="AD699" s="84" t="n">
        <v>15</v>
      </c>
      <c r="AE699" s="84" t="n">
        <v>11</v>
      </c>
      <c r="AF699" s="84" t="n">
        <v>0.76</v>
      </c>
      <c r="AG699" s="84" t="n">
        <v>0.8100000000000001</v>
      </c>
      <c r="AH699" s="84" t="n">
        <v>0</v>
      </c>
      <c r="AI699" s="84" t="n">
        <v>0</v>
      </c>
      <c r="AJ699" s="84">
        <f>SUMIFS(AH$8:AH$1039,$O$8:$O$1039,O699,$AB$8:$AB$1039,AB699,$R$8:$R$1039,R699,$AA$8:$AA$1039,"&lt;="&amp;AA699)</f>
        <v/>
      </c>
      <c r="AK699" s="84">
        <f>D69</f>
        <v/>
      </c>
      <c r="AL699" s="84">
        <f>D75</f>
        <v/>
      </c>
      <c r="AM699" s="84">
        <f>MAX(0,AJ699-AK699)</f>
        <v/>
      </c>
      <c r="AN699" s="84">
        <f>IF(AM699=0,AH699,IF(AM699&gt;=AH699,0,AH699-AM699))</f>
        <v/>
      </c>
      <c r="AO699" s="84">
        <f>IF(AM699&gt;=AH699,AI699,AI699*AM699/AH699)</f>
        <v/>
      </c>
      <c r="AP699">
        <f t="array" ref="AP699">INDEX($AU$8:$BB$25,6*(R699-1)+MATCH(AB699,$AS$8:$AS$13,0),MATCH(O699,$AU$7:$BB$7,0))</f>
        <v/>
      </c>
    </row>
    <row r="700" ht="14.25" customHeight="1">
      <c r="O700" s="43" t="inlineStr">
        <is>
          <t>Q2’27</t>
        </is>
      </c>
      <c r="P700" s="43" t="n">
        <v>2</v>
      </c>
      <c r="Q700" s="43" t="n">
        <v>5</v>
      </c>
      <c r="R700" s="43" t="n">
        <v>3</v>
      </c>
      <c r="S700" s="45" t="n">
        <v>0</v>
      </c>
      <c r="T700">
        <f>(S698+S699+S700)=S3</f>
        <v/>
      </c>
      <c r="X700" s="84">
        <f>MAX(S697-S700,0)</f>
        <v/>
      </c>
      <c r="Y700" s="83" t="n">
        <v>0</v>
      </c>
      <c r="AA700" s="84" t="n">
        <v>3</v>
      </c>
      <c r="AB700" s="84" t="inlineStr">
        <is>
          <t>B</t>
        </is>
      </c>
      <c r="AC700" s="84" t="inlineStr">
        <is>
          <t>B+</t>
        </is>
      </c>
      <c r="AD700" s="84" t="n">
        <v>15</v>
      </c>
      <c r="AE700" s="84" t="n">
        <v>11</v>
      </c>
      <c r="AF700" s="84" t="n">
        <v>0.76</v>
      </c>
      <c r="AG700" s="84" t="n">
        <v>0.8100000000000001</v>
      </c>
      <c r="AH700" s="84" t="n">
        <v>0</v>
      </c>
      <c r="AI700" s="84" t="n">
        <v>0</v>
      </c>
      <c r="AJ700" s="84">
        <f>SUMIFS(AH$8:AH$1039,$O$8:$O$1039,O700,$AB$8:$AB$1039,AB700,$R$8:$R$1039,R700,$AA$8:$AA$1039,"&lt;="&amp;AA700)</f>
        <v/>
      </c>
      <c r="AK700" s="84">
        <f>E69</f>
        <v/>
      </c>
      <c r="AL700" s="84">
        <f>E75</f>
        <v/>
      </c>
      <c r="AM700" s="84">
        <f>MAX(0,AJ700-AK700)</f>
        <v/>
      </c>
      <c r="AN700" s="84">
        <f>IF(AM700=0,AH700,IF(AM700&gt;=AH700,0,AH700-AM700))</f>
        <v/>
      </c>
      <c r="AO700" s="84">
        <f>IF(AM700&gt;=AH700,AI700,AI700*AM700/AH700)</f>
        <v/>
      </c>
      <c r="AP700">
        <f t="array" ref="AP700">INDEX($AU$8:$BB$25,6*(R700-1)+MATCH(AB700,$AS$8:$AS$13,0),MATCH(O700,$AU$7:$BB$7,0))</f>
        <v/>
      </c>
    </row>
    <row r="701" ht="14.25" customHeight="1">
      <c r="O701" s="43" t="inlineStr">
        <is>
          <t>Q2’27</t>
        </is>
      </c>
      <c r="P701" s="43" t="n">
        <v>2</v>
      </c>
      <c r="Q701" s="43" t="n">
        <v>6</v>
      </c>
      <c r="R701" s="43" t="n">
        <v>1</v>
      </c>
      <c r="S701" s="45" t="n">
        <v>3429.440000000001</v>
      </c>
      <c r="T701">
        <f>(S701+S702+S703)=S3</f>
        <v/>
      </c>
      <c r="X701" s="84">
        <f>MAX(S698-S701,0)</f>
        <v/>
      </c>
      <c r="Y701" s="83" t="n">
        <v>0</v>
      </c>
      <c r="AA701" s="84" t="n">
        <v>5</v>
      </c>
      <c r="AB701" s="84" t="inlineStr">
        <is>
          <t>F</t>
        </is>
      </c>
      <c r="AC701" s="84" t="inlineStr">
        <is>
          <t>F+</t>
        </is>
      </c>
      <c r="AD701" s="84" t="n">
        <v>16</v>
      </c>
      <c r="AE701" s="84" t="n">
        <v>14</v>
      </c>
      <c r="AF701" s="84" t="n">
        <v>0.8</v>
      </c>
      <c r="AG701" s="84" t="n">
        <v>0.9</v>
      </c>
      <c r="AH701" s="84" t="n">
        <v>0</v>
      </c>
      <c r="AI701" s="84" t="n">
        <v>0</v>
      </c>
      <c r="AJ701" s="84">
        <f>SUMIFS(AH$8:AH$1039,$O$8:$O$1039,O701,$AB$8:$AB$1039,AB701,$R$8:$R$1039,R701,$AA$8:$AA$1039,"&lt;="&amp;AA701)</f>
        <v/>
      </c>
      <c r="AK701" s="84">
        <f>C73</f>
        <v/>
      </c>
      <c r="AL701" s="84">
        <f>C79</f>
        <v/>
      </c>
      <c r="AM701" s="84">
        <f>MAX(0,AJ701-AK701)</f>
        <v/>
      </c>
      <c r="AN701" s="84">
        <f>IF(AM701=0,AH701,IF(AM701&gt;=AH701,0,AH701-AM701))</f>
        <v/>
      </c>
      <c r="AO701" s="84">
        <f>IF(AM701&gt;=AH701,AI701,AI701*AM701/AH701)</f>
        <v/>
      </c>
      <c r="AP701">
        <f t="array" ref="AP701">INDEX($AU$8:$BB$25,6*(R701-1)+MATCH(AB701,$AS$8:$AS$13,0),MATCH(O701,$AU$7:$BB$7,0))</f>
        <v/>
      </c>
    </row>
    <row r="702" ht="14.25" customHeight="1">
      <c r="O702" s="43" t="inlineStr">
        <is>
          <t>Q2’27</t>
        </is>
      </c>
      <c r="P702" s="43" t="n">
        <v>2</v>
      </c>
      <c r="Q702" s="43" t="n">
        <v>6</v>
      </c>
      <c r="R702" s="43" t="n">
        <v>2</v>
      </c>
      <c r="S702" s="45" t="n">
        <v>600.5599999999999</v>
      </c>
      <c r="T702">
        <f>(S701+S702+S703)=S3</f>
        <v/>
      </c>
      <c r="X702" s="84">
        <f>MAX(S699-S702,0)</f>
        <v/>
      </c>
      <c r="Y702" s="83" t="n">
        <v>0</v>
      </c>
      <c r="AA702" s="84" t="n">
        <v>5</v>
      </c>
      <c r="AB702" s="84" t="inlineStr">
        <is>
          <t>F</t>
        </is>
      </c>
      <c r="AC702" s="84" t="inlineStr">
        <is>
          <t>F+</t>
        </is>
      </c>
      <c r="AD702" s="84" t="n">
        <v>16</v>
      </c>
      <c r="AE702" s="84" t="n">
        <v>14</v>
      </c>
      <c r="AF702" s="84" t="n">
        <v>0.8</v>
      </c>
      <c r="AG702" s="84" t="n">
        <v>0.9</v>
      </c>
      <c r="AH702" s="84" t="n">
        <v>0</v>
      </c>
      <c r="AI702" s="84" t="n">
        <v>0</v>
      </c>
      <c r="AJ702" s="84">
        <f>SUMIFS(AH$8:AH$1039,$O$8:$O$1039,O702,$AB$8:$AB$1039,AB702,$R$8:$R$1039,R702,$AA$8:$AA$1039,"&lt;="&amp;AA702)</f>
        <v/>
      </c>
      <c r="AK702" s="84">
        <f>D73</f>
        <v/>
      </c>
      <c r="AL702" s="84">
        <f>D79</f>
        <v/>
      </c>
      <c r="AM702" s="84">
        <f>MAX(0,AJ702-AK702)</f>
        <v/>
      </c>
      <c r="AN702" s="84">
        <f>IF(AM702=0,AH702,IF(AM702&gt;=AH702,0,AH702-AM702))</f>
        <v/>
      </c>
      <c r="AO702" s="84">
        <f>IF(AM702&gt;=AH702,AI702,AI702*AM702/AH702)</f>
        <v/>
      </c>
      <c r="AP702">
        <f t="array" ref="AP702">INDEX($AU$8:$BB$25,6*(R702-1)+MATCH(AB702,$AS$8:$AS$13,0),MATCH(O702,$AU$7:$BB$7,0))</f>
        <v/>
      </c>
    </row>
    <row r="703" ht="14.25" customHeight="1">
      <c r="O703" s="43" t="inlineStr">
        <is>
          <t>Q2’27</t>
        </is>
      </c>
      <c r="P703" s="43" t="n">
        <v>2</v>
      </c>
      <c r="Q703" s="43" t="n">
        <v>6</v>
      </c>
      <c r="R703" s="43" t="n">
        <v>3</v>
      </c>
      <c r="S703" s="45" t="n">
        <v>0</v>
      </c>
      <c r="T703">
        <f>(S701+S702+S703)=S3</f>
        <v/>
      </c>
      <c r="X703" s="84">
        <f>MAX(S700-S703,0)</f>
        <v/>
      </c>
      <c r="Y703" s="83" t="n">
        <v>0</v>
      </c>
      <c r="AA703" s="84" t="n">
        <v>5</v>
      </c>
      <c r="AB703" s="84" t="inlineStr">
        <is>
          <t>F</t>
        </is>
      </c>
      <c r="AC703" s="84" t="inlineStr">
        <is>
          <t>F+</t>
        </is>
      </c>
      <c r="AD703" s="84" t="n">
        <v>16</v>
      </c>
      <c r="AE703" s="84" t="n">
        <v>14</v>
      </c>
      <c r="AF703" s="84" t="n">
        <v>0.8</v>
      </c>
      <c r="AG703" s="84" t="n">
        <v>0.9</v>
      </c>
      <c r="AH703" s="84" t="n">
        <v>0</v>
      </c>
      <c r="AI703" s="84" t="n">
        <v>0</v>
      </c>
      <c r="AJ703" s="84">
        <f>SUMIFS(AH$8:AH$1039,$O$8:$O$1039,O703,$AB$8:$AB$1039,AB703,$R$8:$R$1039,R703,$AA$8:$AA$1039,"&lt;="&amp;AA703)</f>
        <v/>
      </c>
      <c r="AK703" s="84">
        <f>E73</f>
        <v/>
      </c>
      <c r="AL703" s="84">
        <f>E79</f>
        <v/>
      </c>
      <c r="AM703" s="84">
        <f>MAX(0,AJ703-AK703)</f>
        <v/>
      </c>
      <c r="AN703" s="84">
        <f>IF(AM703=0,AH703,IF(AM703&gt;=AH703,0,AH703-AM703))</f>
        <v/>
      </c>
      <c r="AO703" s="84">
        <f>IF(AM703&gt;=AH703,AI703,AI703*AM703/AH703)</f>
        <v/>
      </c>
      <c r="AP703">
        <f t="array" ref="AP703">INDEX($AU$8:$BB$25,6*(R703-1)+MATCH(AB703,$AS$8:$AS$13,0),MATCH(O703,$AU$7:$BB$7,0))</f>
        <v/>
      </c>
    </row>
    <row r="704" ht="14.25" customHeight="1">
      <c r="O704" s="43" t="inlineStr">
        <is>
          <t>Q2’27</t>
        </is>
      </c>
      <c r="P704" s="43" t="n">
        <v>2</v>
      </c>
      <c r="Q704" s="43" t="n">
        <v>7</v>
      </c>
      <c r="R704" s="43" t="n">
        <v>1</v>
      </c>
      <c r="S704" s="45" t="n">
        <v>3429.440000000001</v>
      </c>
      <c r="T704">
        <f>(S704+S705+S706)=S3</f>
        <v/>
      </c>
      <c r="X704" s="84">
        <f>MAX(S701-S704,0)</f>
        <v/>
      </c>
      <c r="Y704" s="83" t="n">
        <v>0</v>
      </c>
      <c r="AA704" s="84" t="n">
        <v>4</v>
      </c>
      <c r="AB704" s="84" t="inlineStr">
        <is>
          <t>F</t>
        </is>
      </c>
      <c r="AC704" s="84" t="inlineStr">
        <is>
          <t>F+</t>
        </is>
      </c>
      <c r="AD704" s="84" t="n">
        <v>17</v>
      </c>
      <c r="AE704" s="84" t="n">
        <v>15</v>
      </c>
      <c r="AF704" s="84" t="n">
        <v>0.8</v>
      </c>
      <c r="AG704" s="84" t="n">
        <v>0.9</v>
      </c>
      <c r="AH704" s="84" t="n">
        <v>0</v>
      </c>
      <c r="AI704" s="84" t="n">
        <v>0</v>
      </c>
      <c r="AJ704" s="84">
        <f>SUMIFS(AH$8:AH$1039,$O$8:$O$1039,O704,$AB$8:$AB$1039,AB704,$R$8:$R$1039,R704,$AA$8:$AA$1039,"&lt;="&amp;AA704)</f>
        <v/>
      </c>
      <c r="AK704" s="84">
        <f>C73</f>
        <v/>
      </c>
      <c r="AL704" s="84">
        <f>C79</f>
        <v/>
      </c>
      <c r="AM704" s="84">
        <f>MAX(0,AJ704-AK704)</f>
        <v/>
      </c>
      <c r="AN704" s="84">
        <f>IF(AM704=0,AH704,IF(AM704&gt;=AH704,0,AH704-AM704))</f>
        <v/>
      </c>
      <c r="AO704" s="84">
        <f>IF(AM704&gt;=AH704,AI704,AI704*AM704/AH704)</f>
        <v/>
      </c>
      <c r="AP704">
        <f t="array" ref="AP704">INDEX($AU$8:$BB$25,6*(R704-1)+MATCH(AB704,$AS$8:$AS$13,0),MATCH(O704,$AU$7:$BB$7,0))</f>
        <v/>
      </c>
    </row>
    <row r="705" ht="14.25" customHeight="1">
      <c r="O705" s="43" t="inlineStr">
        <is>
          <t>Q2’27</t>
        </is>
      </c>
      <c r="P705" s="43" t="n">
        <v>2</v>
      </c>
      <c r="Q705" s="43" t="n">
        <v>7</v>
      </c>
      <c r="R705" s="43" t="n">
        <v>2</v>
      </c>
      <c r="S705" s="45" t="n">
        <v>600.5599999999999</v>
      </c>
      <c r="T705">
        <f>(S704+S705+S706)=S3</f>
        <v/>
      </c>
      <c r="X705" s="84">
        <f>MAX(S702-S705,0)</f>
        <v/>
      </c>
      <c r="Y705" s="83" t="n">
        <v>0</v>
      </c>
      <c r="AA705" s="84" t="n">
        <v>4</v>
      </c>
      <c r="AB705" s="84" t="inlineStr">
        <is>
          <t>F</t>
        </is>
      </c>
      <c r="AC705" s="84" t="inlineStr">
        <is>
          <t>F+</t>
        </is>
      </c>
      <c r="AD705" s="84" t="n">
        <v>17</v>
      </c>
      <c r="AE705" s="84" t="n">
        <v>15</v>
      </c>
      <c r="AF705" s="84" t="n">
        <v>0.8</v>
      </c>
      <c r="AG705" s="84" t="n">
        <v>0.9</v>
      </c>
      <c r="AH705" s="84" t="n">
        <v>0</v>
      </c>
      <c r="AI705" s="84" t="n">
        <v>0</v>
      </c>
      <c r="AJ705" s="84">
        <f>SUMIFS(AH$8:AH$1039,$O$8:$O$1039,O705,$AB$8:$AB$1039,AB705,$R$8:$R$1039,R705,$AA$8:$AA$1039,"&lt;="&amp;AA705)</f>
        <v/>
      </c>
      <c r="AK705" s="84">
        <f>D73</f>
        <v/>
      </c>
      <c r="AL705" s="84">
        <f>D79</f>
        <v/>
      </c>
      <c r="AM705" s="84">
        <f>MAX(0,AJ705-AK705)</f>
        <v/>
      </c>
      <c r="AN705" s="84">
        <f>IF(AM705=0,AH705,IF(AM705&gt;=AH705,0,AH705-AM705))</f>
        <v/>
      </c>
      <c r="AO705" s="84">
        <f>IF(AM705&gt;=AH705,AI705,AI705*AM705/AH705)</f>
        <v/>
      </c>
      <c r="AP705">
        <f t="array" ref="AP705">INDEX($AU$8:$BB$25,6*(R705-1)+MATCH(AB705,$AS$8:$AS$13,0),MATCH(O705,$AU$7:$BB$7,0))</f>
        <v/>
      </c>
    </row>
    <row r="706" ht="14.25" customHeight="1">
      <c r="O706" s="43" t="inlineStr">
        <is>
          <t>Q2’27</t>
        </is>
      </c>
      <c r="P706" s="43" t="n">
        <v>2</v>
      </c>
      <c r="Q706" s="43" t="n">
        <v>7</v>
      </c>
      <c r="R706" s="43" t="n">
        <v>3</v>
      </c>
      <c r="S706" s="45" t="n">
        <v>0</v>
      </c>
      <c r="T706">
        <f>(S704+S705+S706)=S3</f>
        <v/>
      </c>
      <c r="X706" s="84">
        <f>MAX(S703-S706,0)</f>
        <v/>
      </c>
      <c r="Y706" s="83" t="n">
        <v>0</v>
      </c>
      <c r="AA706" s="84" t="n">
        <v>4</v>
      </c>
      <c r="AB706" s="84" t="inlineStr">
        <is>
          <t>F</t>
        </is>
      </c>
      <c r="AC706" s="84" t="inlineStr">
        <is>
          <t>F+</t>
        </is>
      </c>
      <c r="AD706" s="84" t="n">
        <v>17</v>
      </c>
      <c r="AE706" s="84" t="n">
        <v>15</v>
      </c>
      <c r="AF706" s="84" t="n">
        <v>0.8</v>
      </c>
      <c r="AG706" s="84" t="n">
        <v>0.9</v>
      </c>
      <c r="AH706" s="84" t="n">
        <v>0</v>
      </c>
      <c r="AI706" s="84" t="n">
        <v>0</v>
      </c>
      <c r="AJ706" s="84">
        <f>SUMIFS(AH$8:AH$1039,$O$8:$O$1039,O706,$AB$8:$AB$1039,AB706,$R$8:$R$1039,R706,$AA$8:$AA$1039,"&lt;="&amp;AA706)</f>
        <v/>
      </c>
      <c r="AK706" s="84">
        <f>E73</f>
        <v/>
      </c>
      <c r="AL706" s="84">
        <f>E79</f>
        <v/>
      </c>
      <c r="AM706" s="84">
        <f>MAX(0,AJ706-AK706)</f>
        <v/>
      </c>
      <c r="AN706" s="84">
        <f>IF(AM706=0,AH706,IF(AM706&gt;=AH706,0,AH706-AM706))</f>
        <v/>
      </c>
      <c r="AO706" s="84">
        <f>IF(AM706&gt;=AH706,AI706,AI706*AM706/AH706)</f>
        <v/>
      </c>
      <c r="AP706">
        <f t="array" ref="AP706">INDEX($AU$8:$BB$25,6*(R706-1)+MATCH(AB706,$AS$8:$AS$13,0),MATCH(O706,$AU$7:$BB$7,0))</f>
        <v/>
      </c>
    </row>
    <row r="707" ht="14.25" customHeight="1">
      <c r="O707" s="43" t="inlineStr">
        <is>
          <t>Q2’27</t>
        </is>
      </c>
      <c r="P707" s="43" t="n">
        <v>2</v>
      </c>
      <c r="Q707" s="43" t="n">
        <v>8</v>
      </c>
      <c r="R707" s="43" t="n">
        <v>1</v>
      </c>
      <c r="S707" s="45" t="n">
        <v>3429.440000000001</v>
      </c>
      <c r="T707">
        <f>(S707+S708+S709)=S3</f>
        <v/>
      </c>
      <c r="X707" s="84">
        <f>MAX(S704-S707,0)</f>
        <v/>
      </c>
      <c r="Y707" s="83" t="n">
        <v>0</v>
      </c>
      <c r="AA707" s="84" t="n">
        <v>4</v>
      </c>
      <c r="AB707" s="84" t="inlineStr">
        <is>
          <t>B</t>
        </is>
      </c>
      <c r="AC707" s="84" t="inlineStr">
        <is>
          <t>B+</t>
        </is>
      </c>
      <c r="AD707" s="84" t="n">
        <v>22</v>
      </c>
      <c r="AE707" s="84" t="n">
        <v>16</v>
      </c>
      <c r="AF707" s="84" t="n">
        <v>0.76</v>
      </c>
      <c r="AG707" s="84" t="n">
        <v>0.8100000000000001</v>
      </c>
      <c r="AH707" s="84" t="n">
        <v>0</v>
      </c>
      <c r="AI707" s="84" t="n">
        <v>0</v>
      </c>
      <c r="AJ707" s="84">
        <f>SUMIFS(AH$8:AH$1039,$O$8:$O$1039,O707,$AB$8:$AB$1039,AB707,$R$8:$R$1039,R707,$AA$8:$AA$1039,"&lt;="&amp;AA707)</f>
        <v/>
      </c>
      <c r="AK707" s="84">
        <f>C69</f>
        <v/>
      </c>
      <c r="AL707" s="84">
        <f>C75</f>
        <v/>
      </c>
      <c r="AM707" s="84">
        <f>MAX(0,AJ707-AK707)</f>
        <v/>
      </c>
      <c r="AN707" s="84">
        <f>IF(AM707=0,AH707,IF(AM707&gt;=AH707,0,AH707-AM707))</f>
        <v/>
      </c>
      <c r="AO707" s="84">
        <f>IF(AM707&gt;=AH707,AI707,AI707*AM707/AH707)</f>
        <v/>
      </c>
      <c r="AP707">
        <f t="array" ref="AP707">INDEX($AU$8:$BB$25,6*(R707-1)+MATCH(AB707,$AS$8:$AS$13,0),MATCH(O707,$AU$7:$BB$7,0))</f>
        <v/>
      </c>
    </row>
    <row r="708" ht="14.25" customHeight="1">
      <c r="O708" s="43" t="inlineStr">
        <is>
          <t>Q2’27</t>
        </is>
      </c>
      <c r="P708" s="43" t="n">
        <v>2</v>
      </c>
      <c r="Q708" s="43" t="n">
        <v>8</v>
      </c>
      <c r="R708" s="43" t="n">
        <v>2</v>
      </c>
      <c r="S708" s="45" t="n">
        <v>600.5599999999999</v>
      </c>
      <c r="T708">
        <f>(S707+S708+S709)=S3</f>
        <v/>
      </c>
      <c r="X708" s="84">
        <f>MAX(S705-S708,0)</f>
        <v/>
      </c>
      <c r="Y708" s="83" t="n">
        <v>0</v>
      </c>
      <c r="AA708" s="84" t="n">
        <v>4</v>
      </c>
      <c r="AB708" s="84" t="inlineStr">
        <is>
          <t>B</t>
        </is>
      </c>
      <c r="AC708" s="84" t="inlineStr">
        <is>
          <t>B+</t>
        </is>
      </c>
      <c r="AD708" s="84" t="n">
        <v>22</v>
      </c>
      <c r="AE708" s="84" t="n">
        <v>16</v>
      </c>
      <c r="AF708" s="84" t="n">
        <v>0.76</v>
      </c>
      <c r="AG708" s="84" t="n">
        <v>0.8100000000000001</v>
      </c>
      <c r="AH708" s="84" t="n">
        <v>0</v>
      </c>
      <c r="AI708" s="84" t="n">
        <v>0</v>
      </c>
      <c r="AJ708" s="84">
        <f>SUMIFS(AH$8:AH$1039,$O$8:$O$1039,O708,$AB$8:$AB$1039,AB708,$R$8:$R$1039,R708,$AA$8:$AA$1039,"&lt;="&amp;AA708)</f>
        <v/>
      </c>
      <c r="AK708" s="84">
        <f>D69</f>
        <v/>
      </c>
      <c r="AL708" s="84">
        <f>D75</f>
        <v/>
      </c>
      <c r="AM708" s="84">
        <f>MAX(0,AJ708-AK708)</f>
        <v/>
      </c>
      <c r="AN708" s="84">
        <f>IF(AM708=0,AH708,IF(AM708&gt;=AH708,0,AH708-AM708))</f>
        <v/>
      </c>
      <c r="AO708" s="84">
        <f>IF(AM708&gt;=AH708,AI708,AI708*AM708/AH708)</f>
        <v/>
      </c>
      <c r="AP708">
        <f t="array" ref="AP708">INDEX($AU$8:$BB$25,6*(R708-1)+MATCH(AB708,$AS$8:$AS$13,0),MATCH(O708,$AU$7:$BB$7,0))</f>
        <v/>
      </c>
    </row>
    <row r="709" ht="14.25" customHeight="1">
      <c r="O709" s="43" t="inlineStr">
        <is>
          <t>Q2’27</t>
        </is>
      </c>
      <c r="P709" s="43" t="n">
        <v>2</v>
      </c>
      <c r="Q709" s="43" t="n">
        <v>8</v>
      </c>
      <c r="R709" s="43" t="n">
        <v>3</v>
      </c>
      <c r="S709" s="45" t="n">
        <v>0</v>
      </c>
      <c r="T709">
        <f>(S707+S708+S709)=S3</f>
        <v/>
      </c>
      <c r="X709" s="84">
        <f>MAX(S706-S709,0)</f>
        <v/>
      </c>
      <c r="Y709" s="83" t="n">
        <v>0</v>
      </c>
      <c r="AA709" s="84" t="n">
        <v>4</v>
      </c>
      <c r="AB709" s="84" t="inlineStr">
        <is>
          <t>B</t>
        </is>
      </c>
      <c r="AC709" s="84" t="inlineStr">
        <is>
          <t>B+</t>
        </is>
      </c>
      <c r="AD709" s="84" t="n">
        <v>22</v>
      </c>
      <c r="AE709" s="84" t="n">
        <v>16</v>
      </c>
      <c r="AF709" s="84" t="n">
        <v>0.76</v>
      </c>
      <c r="AG709" s="84" t="n">
        <v>0.8100000000000001</v>
      </c>
      <c r="AH709" s="84" t="n">
        <v>0</v>
      </c>
      <c r="AI709" s="84" t="n">
        <v>0</v>
      </c>
      <c r="AJ709" s="84">
        <f>SUMIFS(AH$8:AH$1039,$O$8:$O$1039,O709,$AB$8:$AB$1039,AB709,$R$8:$R$1039,R709,$AA$8:$AA$1039,"&lt;="&amp;AA709)</f>
        <v/>
      </c>
      <c r="AK709" s="84">
        <f>E69</f>
        <v/>
      </c>
      <c r="AL709" s="84">
        <f>E75</f>
        <v/>
      </c>
      <c r="AM709" s="84">
        <f>MAX(0,AJ709-AK709)</f>
        <v/>
      </c>
      <c r="AN709" s="84">
        <f>IF(AM709=0,AH709,IF(AM709&gt;=AH709,0,AH709-AM709))</f>
        <v/>
      </c>
      <c r="AO709" s="84">
        <f>IF(AM709&gt;=AH709,AI709,AI709*AM709/AH709)</f>
        <v/>
      </c>
      <c r="AP709">
        <f t="array" ref="AP709">INDEX($AU$8:$BB$25,6*(R709-1)+MATCH(AB709,$AS$8:$AS$13,0),MATCH(O709,$AU$7:$BB$7,0))</f>
        <v/>
      </c>
    </row>
    <row r="710" ht="14.25" customHeight="1">
      <c r="O710" s="43" t="inlineStr">
        <is>
          <t>Q2’27</t>
        </is>
      </c>
      <c r="P710" s="43" t="n">
        <v>2</v>
      </c>
      <c r="Q710" s="43" t="n">
        <v>9</v>
      </c>
      <c r="R710" s="43" t="n">
        <v>1</v>
      </c>
      <c r="S710" s="45" t="n">
        <v>3429.440000000001</v>
      </c>
      <c r="T710">
        <f>(S710+S711+S712)=S3</f>
        <v/>
      </c>
      <c r="X710" s="84">
        <f>MAX(S707-S710,0)</f>
        <v/>
      </c>
      <c r="Y710" s="83" t="n">
        <v>0</v>
      </c>
      <c r="AA710" s="84" t="n">
        <v>4</v>
      </c>
      <c r="AB710" s="84" t="inlineStr">
        <is>
          <t>E</t>
        </is>
      </c>
      <c r="AC710" s="84" t="inlineStr">
        <is>
          <t>E+</t>
        </is>
      </c>
      <c r="AD710" s="84" t="n">
        <v>7</v>
      </c>
      <c r="AE710" s="84" t="n">
        <v>6</v>
      </c>
      <c r="AF710" s="84" t="n">
        <v>0.76</v>
      </c>
      <c r="AG710" s="84" t="n">
        <v>0.84</v>
      </c>
      <c r="AH710" s="84" t="n">
        <v>0</v>
      </c>
      <c r="AI710" s="84" t="n">
        <v>0</v>
      </c>
      <c r="AJ710" s="84">
        <f>SUMIFS(AH$8:AH$1039,$O$8:$O$1039,O710,$AB$8:$AB$1039,AB710,$R$8:$R$1039,R710,$AA$8:$AA$1039,"&lt;="&amp;AA710)</f>
        <v/>
      </c>
      <c r="AK710" s="84">
        <f>C72</f>
        <v/>
      </c>
      <c r="AL710" s="84">
        <f>C78</f>
        <v/>
      </c>
      <c r="AM710" s="84">
        <f>MAX(0,AJ710-AK710)</f>
        <v/>
      </c>
      <c r="AN710" s="84">
        <f>IF(AM710=0,AH710,IF(AM710&gt;=AH710,0,AH710-AM710))</f>
        <v/>
      </c>
      <c r="AO710" s="84">
        <f>IF(AM710&gt;=AH710,AI710,AI710*AM710/AH710)</f>
        <v/>
      </c>
      <c r="AP710">
        <f t="array" ref="AP710">INDEX($AU$8:$BB$25,6*(R710-1)+MATCH(AB710,$AS$8:$AS$13,0),MATCH(O710,$AU$7:$BB$7,0))</f>
        <v/>
      </c>
    </row>
    <row r="711" ht="14.25" customHeight="1">
      <c r="O711" s="43" t="inlineStr">
        <is>
          <t>Q2’27</t>
        </is>
      </c>
      <c r="P711" s="43" t="n">
        <v>2</v>
      </c>
      <c r="Q711" s="43" t="n">
        <v>9</v>
      </c>
      <c r="R711" s="43" t="n">
        <v>2</v>
      </c>
      <c r="S711" s="45" t="n">
        <v>600.5599999999999</v>
      </c>
      <c r="T711">
        <f>(S710+S711+S712)=S3</f>
        <v/>
      </c>
      <c r="X711" s="84">
        <f>MAX(S708-S711,0)</f>
        <v/>
      </c>
      <c r="Y711" s="83" t="n">
        <v>0</v>
      </c>
      <c r="AA711" s="84" t="n">
        <v>4</v>
      </c>
      <c r="AB711" s="84" t="inlineStr">
        <is>
          <t>E</t>
        </is>
      </c>
      <c r="AC711" s="84" t="inlineStr">
        <is>
          <t>E+</t>
        </is>
      </c>
      <c r="AD711" s="84" t="n">
        <v>7</v>
      </c>
      <c r="AE711" s="84" t="n">
        <v>6</v>
      </c>
      <c r="AF711" s="84" t="n">
        <v>0.76</v>
      </c>
      <c r="AG711" s="84" t="n">
        <v>0.84</v>
      </c>
      <c r="AH711" s="84" t="n">
        <v>0</v>
      </c>
      <c r="AI711" s="84" t="n">
        <v>0</v>
      </c>
      <c r="AJ711" s="84">
        <f>SUMIFS(AH$8:AH$1039,$O$8:$O$1039,O711,$AB$8:$AB$1039,AB711,$R$8:$R$1039,R711,$AA$8:$AA$1039,"&lt;="&amp;AA711)</f>
        <v/>
      </c>
      <c r="AK711" s="84">
        <f>D72</f>
        <v/>
      </c>
      <c r="AL711" s="84">
        <f>D78</f>
        <v/>
      </c>
      <c r="AM711" s="84">
        <f>MAX(0,AJ711-AK711)</f>
        <v/>
      </c>
      <c r="AN711" s="84">
        <f>IF(AM711=0,AH711,IF(AM711&gt;=AH711,0,AH711-AM711))</f>
        <v/>
      </c>
      <c r="AO711" s="84">
        <f>IF(AM711&gt;=AH711,AI711,AI711*AM711/AH711)</f>
        <v/>
      </c>
      <c r="AP711">
        <f t="array" ref="AP711">INDEX($AU$8:$BB$25,6*(R711-1)+MATCH(AB711,$AS$8:$AS$13,0),MATCH(O711,$AU$7:$BB$7,0))</f>
        <v/>
      </c>
    </row>
    <row r="712" ht="14.25" customHeight="1">
      <c r="O712" s="43" t="inlineStr">
        <is>
          <t>Q2’27</t>
        </is>
      </c>
      <c r="P712" s="43" t="n">
        <v>2</v>
      </c>
      <c r="Q712" s="43" t="n">
        <v>9</v>
      </c>
      <c r="R712" s="43" t="n">
        <v>3</v>
      </c>
      <c r="S712" s="45" t="n">
        <v>-0</v>
      </c>
      <c r="T712">
        <f>(S710+S711+S712)=S3</f>
        <v/>
      </c>
      <c r="X712" s="84">
        <f>MAX(S709-S712,0)</f>
        <v/>
      </c>
      <c r="Y712" s="83" t="n">
        <v>0</v>
      </c>
      <c r="AA712" s="84" t="n">
        <v>4</v>
      </c>
      <c r="AB712" s="84" t="inlineStr">
        <is>
          <t>E</t>
        </is>
      </c>
      <c r="AC712" s="84" t="inlineStr">
        <is>
          <t>E+</t>
        </is>
      </c>
      <c r="AD712" s="84" t="n">
        <v>7</v>
      </c>
      <c r="AE712" s="84" t="n">
        <v>6</v>
      </c>
      <c r="AF712" s="84" t="n">
        <v>0.76</v>
      </c>
      <c r="AG712" s="84" t="n">
        <v>0.84</v>
      </c>
      <c r="AH712" s="84" t="n">
        <v>0</v>
      </c>
      <c r="AI712" s="84" t="n">
        <v>0</v>
      </c>
      <c r="AJ712" s="84">
        <f>SUMIFS(AH$8:AH$1039,$O$8:$O$1039,O712,$AB$8:$AB$1039,AB712,$R$8:$R$1039,R712,$AA$8:$AA$1039,"&lt;="&amp;AA712)</f>
        <v/>
      </c>
      <c r="AK712" s="84">
        <f>E72</f>
        <v/>
      </c>
      <c r="AL712" s="84">
        <f>E78</f>
        <v/>
      </c>
      <c r="AM712" s="84">
        <f>MAX(0,AJ712-AK712)</f>
        <v/>
      </c>
      <c r="AN712" s="84">
        <f>IF(AM712=0,AH712,IF(AM712&gt;=AH712,0,AH712-AM712))</f>
        <v/>
      </c>
      <c r="AO712" s="84">
        <f>IF(AM712&gt;=AH712,AI712,AI712*AM712/AH712)</f>
        <v/>
      </c>
      <c r="AP712">
        <f t="array" ref="AP712">INDEX($AU$8:$BB$25,6*(R712-1)+MATCH(AB712,$AS$8:$AS$13,0),MATCH(O712,$AU$7:$BB$7,0))</f>
        <v/>
      </c>
    </row>
    <row r="713" ht="14.25" customHeight="1">
      <c r="O713" s="43" t="inlineStr">
        <is>
          <t>Q2’27</t>
        </is>
      </c>
      <c r="P713" s="43" t="n">
        <v>2</v>
      </c>
      <c r="Q713" s="43" t="n">
        <v>10</v>
      </c>
      <c r="R713" s="43" t="n">
        <v>1</v>
      </c>
      <c r="S713" s="45" t="n">
        <v>3429.440000000001</v>
      </c>
      <c r="T713">
        <f>(S713+S714+S715)=S3</f>
        <v/>
      </c>
      <c r="X713" s="84">
        <f>MAX(S710-S713,0)</f>
        <v/>
      </c>
      <c r="Y713" s="83" t="n">
        <v>0</v>
      </c>
      <c r="AA713" s="84" t="n">
        <v>6</v>
      </c>
      <c r="AB713" s="84" t="inlineStr">
        <is>
          <t>E</t>
        </is>
      </c>
      <c r="AC713" s="84" t="inlineStr">
        <is>
          <t>E+</t>
        </is>
      </c>
      <c r="AD713" s="84" t="n">
        <v>9</v>
      </c>
      <c r="AE713" s="84" t="n">
        <v>7</v>
      </c>
      <c r="AF713" s="84" t="n">
        <v>0.76</v>
      </c>
      <c r="AG713" s="84" t="n">
        <v>0.84</v>
      </c>
      <c r="AH713" s="84" t="n">
        <v>0</v>
      </c>
      <c r="AI713" s="84" t="n">
        <v>0</v>
      </c>
      <c r="AJ713" s="84">
        <f>SUMIFS(AH$8:AH$1039,$O$8:$O$1039,O713,$AB$8:$AB$1039,AB713,$R$8:$R$1039,R713,$AA$8:$AA$1039,"&lt;="&amp;AA713)</f>
        <v/>
      </c>
      <c r="AK713" s="84">
        <f>C72</f>
        <v/>
      </c>
      <c r="AL713" s="84">
        <f>C78</f>
        <v/>
      </c>
      <c r="AM713" s="84">
        <f>MAX(0,AJ713-AK713)</f>
        <v/>
      </c>
      <c r="AN713" s="84">
        <f>IF(AM713=0,AH713,IF(AM713&gt;=AH713,0,AH713-AM713))</f>
        <v/>
      </c>
      <c r="AO713" s="84">
        <f>IF(AM713&gt;=AH713,AI713,AI713*AM713/AH713)</f>
        <v/>
      </c>
      <c r="AP713">
        <f t="array" ref="AP713">INDEX($AU$8:$BB$25,6*(R713-1)+MATCH(AB713,$AS$8:$AS$13,0),MATCH(O713,$AU$7:$BB$7,0))</f>
        <v/>
      </c>
    </row>
    <row r="714" ht="14.25" customHeight="1">
      <c r="O714" s="43" t="inlineStr">
        <is>
          <t>Q2’27</t>
        </is>
      </c>
      <c r="P714" s="43" t="n">
        <v>2</v>
      </c>
      <c r="Q714" s="43" t="n">
        <v>10</v>
      </c>
      <c r="R714" s="43" t="n">
        <v>2</v>
      </c>
      <c r="S714" s="45" t="n">
        <v>600.5599999999999</v>
      </c>
      <c r="T714">
        <f>(S713+S714+S715)=S3</f>
        <v/>
      </c>
      <c r="X714" s="84">
        <f>MAX(S711-S714,0)</f>
        <v/>
      </c>
      <c r="Y714" s="83" t="n">
        <v>0</v>
      </c>
      <c r="AA714" s="84" t="n">
        <v>6</v>
      </c>
      <c r="AB714" s="84" t="inlineStr">
        <is>
          <t>E</t>
        </is>
      </c>
      <c r="AC714" s="84" t="inlineStr">
        <is>
          <t>E+</t>
        </is>
      </c>
      <c r="AD714" s="84" t="n">
        <v>9</v>
      </c>
      <c r="AE714" s="84" t="n">
        <v>7</v>
      </c>
      <c r="AF714" s="84" t="n">
        <v>0.76</v>
      </c>
      <c r="AG714" s="84" t="n">
        <v>0.84</v>
      </c>
      <c r="AH714" s="84" t="n">
        <v>0</v>
      </c>
      <c r="AI714" s="84" t="n">
        <v>0</v>
      </c>
      <c r="AJ714" s="84">
        <f>SUMIFS(AH$8:AH$1039,$O$8:$O$1039,O714,$AB$8:$AB$1039,AB714,$R$8:$R$1039,R714,$AA$8:$AA$1039,"&lt;="&amp;AA714)</f>
        <v/>
      </c>
      <c r="AK714" s="84">
        <f>D72</f>
        <v/>
      </c>
      <c r="AL714" s="84">
        <f>D78</f>
        <v/>
      </c>
      <c r="AM714" s="84">
        <f>MAX(0,AJ714-AK714)</f>
        <v/>
      </c>
      <c r="AN714" s="84">
        <f>IF(AM714=0,AH714,IF(AM714&gt;=AH714,0,AH714-AM714))</f>
        <v/>
      </c>
      <c r="AO714" s="84">
        <f>IF(AM714&gt;=AH714,AI714,AI714*AM714/AH714)</f>
        <v/>
      </c>
      <c r="AP714">
        <f t="array" ref="AP714">INDEX($AU$8:$BB$25,6*(R714-1)+MATCH(AB714,$AS$8:$AS$13,0),MATCH(O714,$AU$7:$BB$7,0))</f>
        <v/>
      </c>
    </row>
    <row r="715" ht="14.25" customHeight="1">
      <c r="O715" s="43" t="inlineStr">
        <is>
          <t>Q2’27</t>
        </is>
      </c>
      <c r="P715" s="43" t="n">
        <v>2</v>
      </c>
      <c r="Q715" s="43" t="n">
        <v>10</v>
      </c>
      <c r="R715" s="43" t="n">
        <v>3</v>
      </c>
      <c r="S715" s="45" t="n">
        <v>-0</v>
      </c>
      <c r="T715">
        <f>(S713+S714+S715)=S3</f>
        <v/>
      </c>
      <c r="X715" s="84">
        <f>MAX(S712-S715,0)</f>
        <v/>
      </c>
      <c r="Y715" s="83" t="n">
        <v>0</v>
      </c>
      <c r="AA715" s="84" t="n">
        <v>6</v>
      </c>
      <c r="AB715" s="84" t="inlineStr">
        <is>
          <t>E</t>
        </is>
      </c>
      <c r="AC715" s="84" t="inlineStr">
        <is>
          <t>E+</t>
        </is>
      </c>
      <c r="AD715" s="84" t="n">
        <v>9</v>
      </c>
      <c r="AE715" s="84" t="n">
        <v>7</v>
      </c>
      <c r="AF715" s="84" t="n">
        <v>0.76</v>
      </c>
      <c r="AG715" s="84" t="n">
        <v>0.84</v>
      </c>
      <c r="AH715" s="84" t="n">
        <v>0</v>
      </c>
      <c r="AI715" s="84" t="n">
        <v>0</v>
      </c>
      <c r="AJ715" s="84">
        <f>SUMIFS(AH$8:AH$1039,$O$8:$O$1039,O715,$AB$8:$AB$1039,AB715,$R$8:$R$1039,R715,$AA$8:$AA$1039,"&lt;="&amp;AA715)</f>
        <v/>
      </c>
      <c r="AK715" s="84">
        <f>E72</f>
        <v/>
      </c>
      <c r="AL715" s="84">
        <f>E78</f>
        <v/>
      </c>
      <c r="AM715" s="84">
        <f>MAX(0,AJ715-AK715)</f>
        <v/>
      </c>
      <c r="AN715" s="84">
        <f>IF(AM715=0,AH715,IF(AM715&gt;=AH715,0,AH715-AM715))</f>
        <v/>
      </c>
      <c r="AO715" s="84">
        <f>IF(AM715&gt;=AH715,AI715,AI715*AM715/AH715)</f>
        <v/>
      </c>
      <c r="AP715">
        <f t="array" ref="AP715">INDEX($AU$8:$BB$25,6*(R715-1)+MATCH(AB715,$AS$8:$AS$13,0),MATCH(O715,$AU$7:$BB$7,0))</f>
        <v/>
      </c>
    </row>
    <row r="716" ht="14.25" customHeight="1">
      <c r="O716" s="43" t="inlineStr">
        <is>
          <t>Q2’27</t>
        </is>
      </c>
      <c r="P716" s="43" t="n">
        <v>2</v>
      </c>
      <c r="Q716" s="43" t="n">
        <v>11</v>
      </c>
      <c r="R716" s="43" t="n">
        <v>1</v>
      </c>
      <c r="S716" s="45" t="n">
        <v>3429.440000000001</v>
      </c>
      <c r="T716">
        <f>(S716+S717+S718)=S3</f>
        <v/>
      </c>
      <c r="X716" s="84">
        <f>MAX(S713-S716,0)</f>
        <v/>
      </c>
      <c r="Y716" s="83" t="n">
        <v>0</v>
      </c>
      <c r="AA716" s="84" t="n">
        <v>2</v>
      </c>
      <c r="AB716" s="84" t="inlineStr">
        <is>
          <t>E</t>
        </is>
      </c>
      <c r="AC716" s="84" t="inlineStr">
        <is>
          <t>E+</t>
        </is>
      </c>
      <c r="AD716" s="84" t="n">
        <v>20</v>
      </c>
      <c r="AE716" s="84" t="n">
        <v>19</v>
      </c>
      <c r="AF716" s="84" t="n">
        <v>0.76</v>
      </c>
      <c r="AG716" s="84" t="n">
        <v>0.84</v>
      </c>
      <c r="AH716" s="84" t="n">
        <v>0</v>
      </c>
      <c r="AI716" s="84" t="n">
        <v>0</v>
      </c>
      <c r="AJ716" s="84">
        <f>SUMIFS(AH$8:AH$1039,$O$8:$O$1039,O716,$AB$8:$AB$1039,AB716,$R$8:$R$1039,R716,$AA$8:$AA$1039,"&lt;="&amp;AA716)</f>
        <v/>
      </c>
      <c r="AK716" s="84">
        <f>C72</f>
        <v/>
      </c>
      <c r="AL716" s="84">
        <f>C78</f>
        <v/>
      </c>
      <c r="AM716" s="84">
        <f>MAX(0,AJ716-AK716)</f>
        <v/>
      </c>
      <c r="AN716" s="84">
        <f>IF(AM716=0,AH716,IF(AM716&gt;=AH716,0,AH716-AM716))</f>
        <v/>
      </c>
      <c r="AO716" s="84">
        <f>IF(AM716&gt;=AH716,AI716,AI716*AM716/AH716)</f>
        <v/>
      </c>
      <c r="AP716">
        <f t="array" ref="AP716">INDEX($AU$8:$BB$25,6*(R716-1)+MATCH(AB716,$AS$8:$AS$13,0),MATCH(O716,$AU$7:$BB$7,0))</f>
        <v/>
      </c>
    </row>
    <row r="717" ht="14.25" customHeight="1">
      <c r="O717" s="43" t="inlineStr">
        <is>
          <t>Q2’27</t>
        </is>
      </c>
      <c r="P717" s="43" t="n">
        <v>2</v>
      </c>
      <c r="Q717" s="43" t="n">
        <v>11</v>
      </c>
      <c r="R717" s="43" t="n">
        <v>2</v>
      </c>
      <c r="S717" s="45" t="n">
        <v>600.5599999999999</v>
      </c>
      <c r="T717">
        <f>(S716+S717+S718)=S3</f>
        <v/>
      </c>
      <c r="X717" s="84">
        <f>MAX(S714-S717,0)</f>
        <v/>
      </c>
      <c r="Y717" s="83" t="n">
        <v>0</v>
      </c>
      <c r="AA717" s="84" t="n">
        <v>2</v>
      </c>
      <c r="AB717" s="84" t="inlineStr">
        <is>
          <t>E</t>
        </is>
      </c>
      <c r="AC717" s="84" t="inlineStr">
        <is>
          <t>E+</t>
        </is>
      </c>
      <c r="AD717" s="84" t="n">
        <v>20</v>
      </c>
      <c r="AE717" s="84" t="n">
        <v>19</v>
      </c>
      <c r="AF717" s="84" t="n">
        <v>0.76</v>
      </c>
      <c r="AG717" s="84" t="n">
        <v>0.84</v>
      </c>
      <c r="AH717" s="84" t="n">
        <v>0</v>
      </c>
      <c r="AI717" s="84" t="n">
        <v>0</v>
      </c>
      <c r="AJ717" s="84">
        <f>SUMIFS(AH$8:AH$1039,$O$8:$O$1039,O717,$AB$8:$AB$1039,AB717,$R$8:$R$1039,R717,$AA$8:$AA$1039,"&lt;="&amp;AA717)</f>
        <v/>
      </c>
      <c r="AK717" s="84">
        <f>D72</f>
        <v/>
      </c>
      <c r="AL717" s="84">
        <f>D78</f>
        <v/>
      </c>
      <c r="AM717" s="84">
        <f>MAX(0,AJ717-AK717)</f>
        <v/>
      </c>
      <c r="AN717" s="84">
        <f>IF(AM717=0,AH717,IF(AM717&gt;=AH717,0,AH717-AM717))</f>
        <v/>
      </c>
      <c r="AO717" s="84">
        <f>IF(AM717&gt;=AH717,AI717,AI717*AM717/AH717)</f>
        <v/>
      </c>
      <c r="AP717">
        <f t="array" ref="AP717">INDEX($AU$8:$BB$25,6*(R717-1)+MATCH(AB717,$AS$8:$AS$13,0),MATCH(O717,$AU$7:$BB$7,0))</f>
        <v/>
      </c>
    </row>
    <row r="718" ht="14.25" customHeight="1">
      <c r="O718" s="43" t="inlineStr">
        <is>
          <t>Q2’27</t>
        </is>
      </c>
      <c r="P718" s="43" t="n">
        <v>2</v>
      </c>
      <c r="Q718" s="43" t="n">
        <v>11</v>
      </c>
      <c r="R718" s="43" t="n">
        <v>3</v>
      </c>
      <c r="S718" s="45" t="n">
        <v>0</v>
      </c>
      <c r="T718">
        <f>(S716+S717+S718)=S3</f>
        <v/>
      </c>
      <c r="X718" s="84">
        <f>MAX(S715-S718,0)</f>
        <v/>
      </c>
      <c r="Y718" s="83" t="n">
        <v>0</v>
      </c>
      <c r="AA718" s="84" t="n">
        <v>2</v>
      </c>
      <c r="AB718" s="84" t="inlineStr">
        <is>
          <t>E</t>
        </is>
      </c>
      <c r="AC718" s="84" t="inlineStr">
        <is>
          <t>E+</t>
        </is>
      </c>
      <c r="AD718" s="84" t="n">
        <v>20</v>
      </c>
      <c r="AE718" s="84" t="n">
        <v>19</v>
      </c>
      <c r="AF718" s="84" t="n">
        <v>0.76</v>
      </c>
      <c r="AG718" s="84" t="n">
        <v>0.84</v>
      </c>
      <c r="AH718" s="84" t="n">
        <v>0</v>
      </c>
      <c r="AI718" s="84" t="n">
        <v>0</v>
      </c>
      <c r="AJ718" s="84">
        <f>SUMIFS(AH$8:AH$1039,$O$8:$O$1039,O718,$AB$8:$AB$1039,AB718,$R$8:$R$1039,R718,$AA$8:$AA$1039,"&lt;="&amp;AA718)</f>
        <v/>
      </c>
      <c r="AK718" s="84">
        <f>E72</f>
        <v/>
      </c>
      <c r="AL718" s="84">
        <f>E78</f>
        <v/>
      </c>
      <c r="AM718" s="84">
        <f>MAX(0,AJ718-AK718)</f>
        <v/>
      </c>
      <c r="AN718" s="84">
        <f>IF(AM718=0,AH718,IF(AM718&gt;=AH718,0,AH718-AM718))</f>
        <v/>
      </c>
      <c r="AO718" s="84">
        <f>IF(AM718&gt;=AH718,AI718,AI718*AM718/AH718)</f>
        <v/>
      </c>
      <c r="AP718">
        <f t="array" ref="AP718">INDEX($AU$8:$BB$25,6*(R718-1)+MATCH(AB718,$AS$8:$AS$13,0),MATCH(O718,$AU$7:$BB$7,0))</f>
        <v/>
      </c>
    </row>
    <row r="719" ht="14.25" customHeight="1">
      <c r="O719" s="43" t="inlineStr">
        <is>
          <t>Q2’27</t>
        </is>
      </c>
      <c r="P719" s="43" t="n">
        <v>2</v>
      </c>
      <c r="Q719" s="43" t="n">
        <v>12</v>
      </c>
      <c r="R719" s="43" t="n">
        <v>1</v>
      </c>
      <c r="S719" s="45" t="n">
        <v>3429.440000000001</v>
      </c>
      <c r="T719">
        <f>(S719+S720+S721)=S3</f>
        <v/>
      </c>
      <c r="X719" s="84">
        <f>MAX(S716-S719,0)</f>
        <v/>
      </c>
      <c r="Y719" s="83" t="n">
        <v>0</v>
      </c>
      <c r="AA719" s="84" t="n">
        <v>7</v>
      </c>
      <c r="AB719" s="84" t="inlineStr">
        <is>
          <t>F</t>
        </is>
      </c>
      <c r="AC719" s="84" t="inlineStr">
        <is>
          <t>F+</t>
        </is>
      </c>
      <c r="AD719" s="84" t="n">
        <v>21</v>
      </c>
      <c r="AE719" s="84" t="n">
        <v>18</v>
      </c>
      <c r="AF719" s="84" t="n">
        <v>0.8</v>
      </c>
      <c r="AG719" s="84" t="n">
        <v>0.9</v>
      </c>
      <c r="AH719" s="84" t="n">
        <v>0</v>
      </c>
      <c r="AI719" s="84" t="n">
        <v>0</v>
      </c>
      <c r="AJ719" s="84">
        <f>SUMIFS(AH$8:AH$1039,$O$8:$O$1039,O719,$AB$8:$AB$1039,AB719,$R$8:$R$1039,R719,$AA$8:$AA$1039,"&lt;="&amp;AA719)</f>
        <v/>
      </c>
      <c r="AK719" s="84">
        <f>C73</f>
        <v/>
      </c>
      <c r="AL719" s="84">
        <f>C79</f>
        <v/>
      </c>
      <c r="AM719" s="84">
        <f>MAX(0,AJ719-AK719)</f>
        <v/>
      </c>
      <c r="AN719" s="84">
        <f>IF(AM719=0,AH719,IF(AM719&gt;=AH719,0,AH719-AM719))</f>
        <v/>
      </c>
      <c r="AO719" s="84">
        <f>IF(AM719&gt;=AH719,AI719,AI719*AM719/AH719)</f>
        <v/>
      </c>
      <c r="AP719">
        <f t="array" ref="AP719">INDEX($AU$8:$BB$25,6*(R719-1)+MATCH(AB719,$AS$8:$AS$13,0),MATCH(O719,$AU$7:$BB$7,0))</f>
        <v/>
      </c>
    </row>
    <row r="720" ht="14.25" customHeight="1">
      <c r="O720" s="43" t="inlineStr">
        <is>
          <t>Q2’27</t>
        </is>
      </c>
      <c r="P720" s="43" t="n">
        <v>2</v>
      </c>
      <c r="Q720" s="43" t="n">
        <v>12</v>
      </c>
      <c r="R720" s="43" t="n">
        <v>2</v>
      </c>
      <c r="S720" s="45" t="n">
        <v>600.5599999999999</v>
      </c>
      <c r="T720">
        <f>(S719+S720+S721)=S3</f>
        <v/>
      </c>
      <c r="X720" s="84">
        <f>MAX(S717-S720,0)</f>
        <v/>
      </c>
      <c r="Y720" s="83" t="n">
        <v>0</v>
      </c>
      <c r="AA720" s="84" t="n">
        <v>7</v>
      </c>
      <c r="AB720" s="84" t="inlineStr">
        <is>
          <t>F</t>
        </is>
      </c>
      <c r="AC720" s="84" t="inlineStr">
        <is>
          <t>F+</t>
        </is>
      </c>
      <c r="AD720" s="84" t="n">
        <v>21</v>
      </c>
      <c r="AE720" s="84" t="n">
        <v>18</v>
      </c>
      <c r="AF720" s="84" t="n">
        <v>0.8</v>
      </c>
      <c r="AG720" s="84" t="n">
        <v>0.9</v>
      </c>
      <c r="AH720" s="84" t="n">
        <v>0</v>
      </c>
      <c r="AI720" s="84" t="n">
        <v>0</v>
      </c>
      <c r="AJ720" s="84">
        <f>SUMIFS(AH$8:AH$1039,$O$8:$O$1039,O720,$AB$8:$AB$1039,AB720,$R$8:$R$1039,R720,$AA$8:$AA$1039,"&lt;="&amp;AA720)</f>
        <v/>
      </c>
      <c r="AK720" s="84">
        <f>D73</f>
        <v/>
      </c>
      <c r="AL720" s="84">
        <f>D79</f>
        <v/>
      </c>
      <c r="AM720" s="84">
        <f>MAX(0,AJ720-AK720)</f>
        <v/>
      </c>
      <c r="AN720" s="84">
        <f>IF(AM720=0,AH720,IF(AM720&gt;=AH720,0,AH720-AM720))</f>
        <v/>
      </c>
      <c r="AO720" s="84">
        <f>IF(AM720&gt;=AH720,AI720,AI720*AM720/AH720)</f>
        <v/>
      </c>
      <c r="AP720">
        <f t="array" ref="AP720">INDEX($AU$8:$BB$25,6*(R720-1)+MATCH(AB720,$AS$8:$AS$13,0),MATCH(O720,$AU$7:$BB$7,0))</f>
        <v/>
      </c>
    </row>
    <row r="721" ht="14.25" customHeight="1">
      <c r="O721" s="43" t="inlineStr">
        <is>
          <t>Q2’27</t>
        </is>
      </c>
      <c r="P721" s="43" t="n">
        <v>2</v>
      </c>
      <c r="Q721" s="43" t="n">
        <v>12</v>
      </c>
      <c r="R721" s="43" t="n">
        <v>3</v>
      </c>
      <c r="S721" s="45" t="n">
        <v>-0</v>
      </c>
      <c r="T721">
        <f>(S719+S720+S721)=S3</f>
        <v/>
      </c>
      <c r="X721" s="84">
        <f>MAX(S718-S721,0)</f>
        <v/>
      </c>
      <c r="Y721" s="83" t="n">
        <v>0</v>
      </c>
      <c r="AA721" s="84" t="n">
        <v>7</v>
      </c>
      <c r="AB721" s="84" t="inlineStr">
        <is>
          <t>F</t>
        </is>
      </c>
      <c r="AC721" s="84" t="inlineStr">
        <is>
          <t>F+</t>
        </is>
      </c>
      <c r="AD721" s="84" t="n">
        <v>21</v>
      </c>
      <c r="AE721" s="84" t="n">
        <v>18</v>
      </c>
      <c r="AF721" s="84" t="n">
        <v>0.8</v>
      </c>
      <c r="AG721" s="84" t="n">
        <v>0.9</v>
      </c>
      <c r="AH721" s="84" t="n">
        <v>0</v>
      </c>
      <c r="AI721" s="84" t="n">
        <v>0</v>
      </c>
      <c r="AJ721" s="84">
        <f>SUMIFS(AH$8:AH$1039,$O$8:$O$1039,O721,$AB$8:$AB$1039,AB721,$R$8:$R$1039,R721,$AA$8:$AA$1039,"&lt;="&amp;AA721)</f>
        <v/>
      </c>
      <c r="AK721" s="84">
        <f>E73</f>
        <v/>
      </c>
      <c r="AL721" s="84">
        <f>E79</f>
        <v/>
      </c>
      <c r="AM721" s="84">
        <f>MAX(0,AJ721-AK721)</f>
        <v/>
      </c>
      <c r="AN721" s="84">
        <f>IF(AM721=0,AH721,IF(AM721&gt;=AH721,0,AH721-AM721))</f>
        <v/>
      </c>
      <c r="AO721" s="84">
        <f>IF(AM721&gt;=AH721,AI721,AI721*AM721/AH721)</f>
        <v/>
      </c>
      <c r="AP721">
        <f t="array" ref="AP721">INDEX($AU$8:$BB$25,6*(R721-1)+MATCH(AB721,$AS$8:$AS$13,0),MATCH(O721,$AU$7:$BB$7,0))</f>
        <v/>
      </c>
    </row>
    <row r="722" ht="14.25" customHeight="1">
      <c r="O722" s="43" t="inlineStr">
        <is>
          <t>Q2’27</t>
        </is>
      </c>
      <c r="P722" s="43" t="n">
        <v>2</v>
      </c>
      <c r="Q722" s="43" t="n">
        <v>13</v>
      </c>
      <c r="R722" s="43" t="n">
        <v>1</v>
      </c>
      <c r="S722" s="45" t="n">
        <v>3429.440000000001</v>
      </c>
      <c r="T722">
        <f>(S722+S723+S724)=S3</f>
        <v/>
      </c>
      <c r="X722" s="84">
        <f>MAX(S719-S722,0)</f>
        <v/>
      </c>
      <c r="Y722" s="83" t="n">
        <v>0</v>
      </c>
      <c r="AA722" s="84" t="n">
        <v>8</v>
      </c>
      <c r="AB722" s="84" t="inlineStr">
        <is>
          <t>E</t>
        </is>
      </c>
      <c r="AC722" s="84" t="inlineStr">
        <is>
          <t>E+</t>
        </is>
      </c>
      <c r="AD722" s="84" t="n">
        <v>12</v>
      </c>
      <c r="AE722" s="84" t="n">
        <v>9</v>
      </c>
      <c r="AF722" s="84" t="n">
        <v>0.76</v>
      </c>
      <c r="AG722" s="84" t="n">
        <v>0.84</v>
      </c>
      <c r="AH722" s="84" t="n">
        <v>0</v>
      </c>
      <c r="AI722" s="84" t="n">
        <v>0</v>
      </c>
      <c r="AJ722" s="84">
        <f>SUMIFS(AH$8:AH$1039,$O$8:$O$1039,O722,$AB$8:$AB$1039,AB722,$R$8:$R$1039,R722,$AA$8:$AA$1039,"&lt;="&amp;AA722)</f>
        <v/>
      </c>
      <c r="AK722" s="84">
        <f>C72</f>
        <v/>
      </c>
      <c r="AL722" s="84">
        <f>C78</f>
        <v/>
      </c>
      <c r="AM722" s="84">
        <f>MAX(0,AJ722-AK722)</f>
        <v/>
      </c>
      <c r="AN722" s="84">
        <f>IF(AM722=0,AH722,IF(AM722&gt;=AH722,0,AH722-AM722))</f>
        <v/>
      </c>
      <c r="AO722" s="84">
        <f>IF(AM722&gt;=AH722,AI722,AI722*AM722/AH722)</f>
        <v/>
      </c>
      <c r="AP722">
        <f t="array" ref="AP722">INDEX($AU$8:$BB$25,6*(R722-1)+MATCH(AB722,$AS$8:$AS$13,0),MATCH(O722,$AU$7:$BB$7,0))</f>
        <v/>
      </c>
    </row>
    <row r="723" ht="14.25" customHeight="1">
      <c r="O723" s="43" t="inlineStr">
        <is>
          <t>Q2’27</t>
        </is>
      </c>
      <c r="P723" s="43" t="n">
        <v>2</v>
      </c>
      <c r="Q723" s="43" t="n">
        <v>13</v>
      </c>
      <c r="R723" s="43" t="n">
        <v>2</v>
      </c>
      <c r="S723" s="45" t="n">
        <v>600.559999999999</v>
      </c>
      <c r="T723">
        <f>(S722+S723+S724)=S3</f>
        <v/>
      </c>
      <c r="X723" s="84">
        <f>MAX(S720-S723,0)</f>
        <v/>
      </c>
      <c r="Y723" s="83" t="n">
        <v>0</v>
      </c>
      <c r="AA723" s="84" t="n">
        <v>8</v>
      </c>
      <c r="AB723" s="84" t="inlineStr">
        <is>
          <t>E</t>
        </is>
      </c>
      <c r="AC723" s="84" t="inlineStr">
        <is>
          <t>E+</t>
        </is>
      </c>
      <c r="AD723" s="84" t="n">
        <v>12</v>
      </c>
      <c r="AE723" s="84" t="n">
        <v>9</v>
      </c>
      <c r="AF723" s="84" t="n">
        <v>0.76</v>
      </c>
      <c r="AG723" s="84" t="n">
        <v>0.84</v>
      </c>
      <c r="AH723" s="84" t="n">
        <v>0</v>
      </c>
      <c r="AI723" s="84" t="n">
        <v>0</v>
      </c>
      <c r="AJ723" s="84">
        <f>SUMIFS(AH$8:AH$1039,$O$8:$O$1039,O723,$AB$8:$AB$1039,AB723,$R$8:$R$1039,R723,$AA$8:$AA$1039,"&lt;="&amp;AA723)</f>
        <v/>
      </c>
      <c r="AK723" s="84">
        <f>D72</f>
        <v/>
      </c>
      <c r="AL723" s="84">
        <f>D78</f>
        <v/>
      </c>
      <c r="AM723" s="84">
        <f>MAX(0,AJ723-AK723)</f>
        <v/>
      </c>
      <c r="AN723" s="84">
        <f>IF(AM723=0,AH723,IF(AM723&gt;=AH723,0,AH723-AM723))</f>
        <v/>
      </c>
      <c r="AO723" s="84">
        <f>IF(AM723&gt;=AH723,AI723,AI723*AM723/AH723)</f>
        <v/>
      </c>
      <c r="AP723">
        <f t="array" ref="AP723">INDEX($AU$8:$BB$25,6*(R723-1)+MATCH(AB723,$AS$8:$AS$13,0),MATCH(O723,$AU$7:$BB$7,0))</f>
        <v/>
      </c>
    </row>
    <row r="724" ht="14.25" customHeight="1">
      <c r="O724" s="43" t="inlineStr">
        <is>
          <t>Q2’27</t>
        </is>
      </c>
      <c r="P724" s="43" t="n">
        <v>2</v>
      </c>
      <c r="Q724" s="43" t="n">
        <v>13</v>
      </c>
      <c r="R724" s="43" t="n">
        <v>3</v>
      </c>
      <c r="S724" s="45" t="n">
        <v>0</v>
      </c>
      <c r="T724">
        <f>(S722+S723+S724)=S3</f>
        <v/>
      </c>
      <c r="X724" s="84">
        <f>MAX(S721-S724,0)</f>
        <v/>
      </c>
      <c r="Y724" s="83" t="n">
        <v>0</v>
      </c>
      <c r="AA724" s="84" t="n">
        <v>8</v>
      </c>
      <c r="AB724" s="84" t="inlineStr">
        <is>
          <t>E</t>
        </is>
      </c>
      <c r="AC724" s="84" t="inlineStr">
        <is>
          <t>E+</t>
        </is>
      </c>
      <c r="AD724" s="84" t="n">
        <v>12</v>
      </c>
      <c r="AE724" s="84" t="n">
        <v>9</v>
      </c>
      <c r="AF724" s="84" t="n">
        <v>0.76</v>
      </c>
      <c r="AG724" s="84" t="n">
        <v>0.84</v>
      </c>
      <c r="AH724" s="84" t="n">
        <v>0</v>
      </c>
      <c r="AI724" s="84" t="n">
        <v>0</v>
      </c>
      <c r="AJ724" s="84">
        <f>SUMIFS(AH$8:AH$1039,$O$8:$O$1039,O724,$AB$8:$AB$1039,AB724,$R$8:$R$1039,R724,$AA$8:$AA$1039,"&lt;="&amp;AA724)</f>
        <v/>
      </c>
      <c r="AK724" s="84">
        <f>E72</f>
        <v/>
      </c>
      <c r="AL724" s="84">
        <f>E78</f>
        <v/>
      </c>
      <c r="AM724" s="84">
        <f>MAX(0,AJ724-AK724)</f>
        <v/>
      </c>
      <c r="AN724" s="84">
        <f>IF(AM724=0,AH724,IF(AM724&gt;=AH724,0,AH724-AM724))</f>
        <v/>
      </c>
      <c r="AO724" s="84">
        <f>IF(AM724&gt;=AH724,AI724,AI724*AM724/AH724)</f>
        <v/>
      </c>
      <c r="AP724">
        <f t="array" ref="AP724">INDEX($AU$8:$BB$25,6*(R724-1)+MATCH(AB724,$AS$8:$AS$13,0),MATCH(O724,$AU$7:$BB$7,0))</f>
        <v/>
      </c>
    </row>
    <row r="725" ht="14.25" customHeight="1">
      <c r="O725" s="43" t="inlineStr">
        <is>
          <t>Q2’27</t>
        </is>
      </c>
      <c r="P725" s="43" t="n">
        <v>2</v>
      </c>
      <c r="Q725" s="43" t="n">
        <v>14</v>
      </c>
      <c r="R725" s="43" t="n">
        <v>1</v>
      </c>
      <c r="S725" s="45" t="n">
        <v>3429.440000000001</v>
      </c>
      <c r="T725">
        <f>(S725+S726+S727)=S3</f>
        <v/>
      </c>
      <c r="X725" s="84">
        <f>MAX(S722-S725,0)</f>
        <v/>
      </c>
      <c r="Y725" s="83" t="n">
        <v>0</v>
      </c>
      <c r="AA725" s="84" t="n">
        <v>5</v>
      </c>
      <c r="AB725" s="84" t="inlineStr">
        <is>
          <t>E</t>
        </is>
      </c>
      <c r="AC725" s="84" t="inlineStr">
        <is>
          <t>E+</t>
        </is>
      </c>
      <c r="AD725" s="84" t="n">
        <v>15</v>
      </c>
      <c r="AE725" s="84" t="n">
        <v>12</v>
      </c>
      <c r="AF725" s="84" t="n">
        <v>0.76</v>
      </c>
      <c r="AG725" s="84" t="n">
        <v>0.84</v>
      </c>
      <c r="AH725" s="84" t="n">
        <v>0</v>
      </c>
      <c r="AI725" s="84" t="n">
        <v>0</v>
      </c>
      <c r="AJ725" s="84">
        <f>SUMIFS(AH$8:AH$1039,$O$8:$O$1039,O725,$AB$8:$AB$1039,AB725,$R$8:$R$1039,R725,$AA$8:$AA$1039,"&lt;="&amp;AA725)</f>
        <v/>
      </c>
      <c r="AK725" s="84">
        <f>C72</f>
        <v/>
      </c>
      <c r="AL725" s="84">
        <f>C78</f>
        <v/>
      </c>
      <c r="AM725" s="84">
        <f>MAX(0,AJ725-AK725)</f>
        <v/>
      </c>
      <c r="AN725" s="84">
        <f>IF(AM725=0,AH725,IF(AM725&gt;=AH725,0,AH725-AM725))</f>
        <v/>
      </c>
      <c r="AO725" s="84">
        <f>IF(AM725&gt;=AH725,AI725,AI725*AM725/AH725)</f>
        <v/>
      </c>
      <c r="AP725">
        <f t="array" ref="AP725">INDEX($AU$8:$BB$25,6*(R725-1)+MATCH(AB725,$AS$8:$AS$13,0),MATCH(O725,$AU$7:$BB$7,0))</f>
        <v/>
      </c>
    </row>
    <row r="726" ht="14.25" customHeight="1">
      <c r="O726" s="43" t="inlineStr">
        <is>
          <t>Q2’27</t>
        </is>
      </c>
      <c r="P726" s="43" t="n">
        <v>2</v>
      </c>
      <c r="Q726" s="43" t="n">
        <v>14</v>
      </c>
      <c r="R726" s="43" t="n">
        <v>2</v>
      </c>
      <c r="S726" s="45" t="n">
        <v>600.559999999999</v>
      </c>
      <c r="T726">
        <f>(S725+S726+S727)=S3</f>
        <v/>
      </c>
      <c r="X726" s="84">
        <f>MAX(S723-S726,0)</f>
        <v/>
      </c>
      <c r="Y726" s="83" t="n">
        <v>0</v>
      </c>
      <c r="AA726" s="84" t="n">
        <v>5</v>
      </c>
      <c r="AB726" s="84" t="inlineStr">
        <is>
          <t>E</t>
        </is>
      </c>
      <c r="AC726" s="84" t="inlineStr">
        <is>
          <t>E+</t>
        </is>
      </c>
      <c r="AD726" s="84" t="n">
        <v>15</v>
      </c>
      <c r="AE726" s="84" t="n">
        <v>12</v>
      </c>
      <c r="AF726" s="84" t="n">
        <v>0.76</v>
      </c>
      <c r="AG726" s="84" t="n">
        <v>0.84</v>
      </c>
      <c r="AH726" s="84" t="n">
        <v>0</v>
      </c>
      <c r="AI726" s="84" t="n">
        <v>0</v>
      </c>
      <c r="AJ726" s="84">
        <f>SUMIFS(AH$8:AH$1039,$O$8:$O$1039,O726,$AB$8:$AB$1039,AB726,$R$8:$R$1039,R726,$AA$8:$AA$1039,"&lt;="&amp;AA726)</f>
        <v/>
      </c>
      <c r="AK726" s="84">
        <f>D72</f>
        <v/>
      </c>
      <c r="AL726" s="84">
        <f>D78</f>
        <v/>
      </c>
      <c r="AM726" s="84">
        <f>MAX(0,AJ726-AK726)</f>
        <v/>
      </c>
      <c r="AN726" s="84">
        <f>IF(AM726=0,AH726,IF(AM726&gt;=AH726,0,AH726-AM726))</f>
        <v/>
      </c>
      <c r="AO726" s="84">
        <f>IF(AM726&gt;=AH726,AI726,AI726*AM726/AH726)</f>
        <v/>
      </c>
      <c r="AP726">
        <f t="array" ref="AP726">INDEX($AU$8:$BB$25,6*(R726-1)+MATCH(AB726,$AS$8:$AS$13,0),MATCH(O726,$AU$7:$BB$7,0))</f>
        <v/>
      </c>
    </row>
    <row r="727" ht="14.25" customHeight="1">
      <c r="O727" s="43" t="inlineStr">
        <is>
          <t>Q2’27</t>
        </is>
      </c>
      <c r="P727" s="43" t="n">
        <v>2</v>
      </c>
      <c r="Q727" s="43" t="n">
        <v>14</v>
      </c>
      <c r="R727" s="43" t="n">
        <v>3</v>
      </c>
      <c r="S727" s="45" t="n">
        <v>-0</v>
      </c>
      <c r="T727">
        <f>(S725+S726+S727)=S3</f>
        <v/>
      </c>
      <c r="X727" s="84">
        <f>MAX(S724-S727,0)</f>
        <v/>
      </c>
      <c r="Y727" s="83" t="n">
        <v>0</v>
      </c>
      <c r="AA727" s="84" t="n">
        <v>5</v>
      </c>
      <c r="AB727" s="84" t="inlineStr">
        <is>
          <t>E</t>
        </is>
      </c>
      <c r="AC727" s="84" t="inlineStr">
        <is>
          <t>E+</t>
        </is>
      </c>
      <c r="AD727" s="84" t="n">
        <v>15</v>
      </c>
      <c r="AE727" s="84" t="n">
        <v>12</v>
      </c>
      <c r="AF727" s="84" t="n">
        <v>0.76</v>
      </c>
      <c r="AG727" s="84" t="n">
        <v>0.84</v>
      </c>
      <c r="AH727" s="84" t="n">
        <v>0</v>
      </c>
      <c r="AI727" s="84" t="n">
        <v>0</v>
      </c>
      <c r="AJ727" s="84">
        <f>SUMIFS(AH$8:AH$1039,$O$8:$O$1039,O727,$AB$8:$AB$1039,AB727,$R$8:$R$1039,R727,$AA$8:$AA$1039,"&lt;="&amp;AA727)</f>
        <v/>
      </c>
      <c r="AK727" s="84">
        <f>E72</f>
        <v/>
      </c>
      <c r="AL727" s="84">
        <f>E78</f>
        <v/>
      </c>
      <c r="AM727" s="84">
        <f>MAX(0,AJ727-AK727)</f>
        <v/>
      </c>
      <c r="AN727" s="84">
        <f>IF(AM727=0,AH727,IF(AM727&gt;=AH727,0,AH727-AM727))</f>
        <v/>
      </c>
      <c r="AO727" s="84">
        <f>IF(AM727&gt;=AH727,AI727,AI727*AM727/AH727)</f>
        <v/>
      </c>
      <c r="AP727">
        <f t="array" ref="AP727">INDEX($AU$8:$BB$25,6*(R727-1)+MATCH(AB727,$AS$8:$AS$13,0),MATCH(O727,$AU$7:$BB$7,0))</f>
        <v/>
      </c>
    </row>
    <row r="728" ht="14.25" customHeight="1">
      <c r="O728" s="43" t="inlineStr">
        <is>
          <t>Q2’27</t>
        </is>
      </c>
      <c r="P728" s="43" t="n">
        <v>2</v>
      </c>
      <c r="Q728" s="43" t="n">
        <v>15</v>
      </c>
      <c r="R728" s="43" t="n">
        <v>1</v>
      </c>
      <c r="S728" s="45" t="n">
        <v>3429.440000000001</v>
      </c>
      <c r="T728">
        <f>(S728+S729+S730)=S3</f>
        <v/>
      </c>
      <c r="X728" s="84">
        <f>MAX(S725-S728,0)</f>
        <v/>
      </c>
      <c r="Y728" s="83" t="n">
        <v>0</v>
      </c>
      <c r="AA728" s="84" t="n">
        <v>7</v>
      </c>
      <c r="AB728" s="84" t="inlineStr">
        <is>
          <t>E</t>
        </is>
      </c>
      <c r="AC728" s="84" t="inlineStr">
        <is>
          <t>E+</t>
        </is>
      </c>
      <c r="AD728" s="84" t="n">
        <v>13</v>
      </c>
      <c r="AE728" s="84" t="n">
        <v>10</v>
      </c>
      <c r="AF728" s="84" t="n">
        <v>0.76</v>
      </c>
      <c r="AG728" s="84" t="n">
        <v>0.84</v>
      </c>
      <c r="AH728" s="84" t="n">
        <v>0</v>
      </c>
      <c r="AI728" s="84" t="n">
        <v>0</v>
      </c>
      <c r="AJ728" s="84">
        <f>SUMIFS(AH$8:AH$1039,$O$8:$O$1039,O728,$AB$8:$AB$1039,AB728,$R$8:$R$1039,R728,$AA$8:$AA$1039,"&lt;="&amp;AA728)</f>
        <v/>
      </c>
      <c r="AK728" s="84">
        <f>C72</f>
        <v/>
      </c>
      <c r="AL728" s="84">
        <f>C78</f>
        <v/>
      </c>
      <c r="AM728" s="84">
        <f>MAX(0,AJ728-AK728)</f>
        <v/>
      </c>
      <c r="AN728" s="84">
        <f>IF(AM728=0,AH728,IF(AM728&gt;=AH728,0,AH728-AM728))</f>
        <v/>
      </c>
      <c r="AO728" s="84">
        <f>IF(AM728&gt;=AH728,AI728,AI728*AM728/AH728)</f>
        <v/>
      </c>
      <c r="AP728">
        <f t="array" ref="AP728">INDEX($AU$8:$BB$25,6*(R728-1)+MATCH(AB728,$AS$8:$AS$13,0),MATCH(O728,$AU$7:$BB$7,0))</f>
        <v/>
      </c>
    </row>
    <row r="729" ht="14.25" customHeight="1">
      <c r="O729" s="43" t="inlineStr">
        <is>
          <t>Q2’27</t>
        </is>
      </c>
      <c r="P729" s="43" t="n">
        <v>2</v>
      </c>
      <c r="Q729" s="43" t="n">
        <v>15</v>
      </c>
      <c r="R729" s="43" t="n">
        <v>2</v>
      </c>
      <c r="S729" s="45" t="n">
        <v>600.559999999999</v>
      </c>
      <c r="T729">
        <f>(S728+S729+S730)=S3</f>
        <v/>
      </c>
      <c r="X729" s="84">
        <f>MAX(S726-S729,0)</f>
        <v/>
      </c>
      <c r="Y729" s="83" t="n">
        <v>0</v>
      </c>
      <c r="AA729" s="84" t="n">
        <v>7</v>
      </c>
      <c r="AB729" s="84" t="inlineStr">
        <is>
          <t>E</t>
        </is>
      </c>
      <c r="AC729" s="84" t="inlineStr">
        <is>
          <t>E+</t>
        </is>
      </c>
      <c r="AD729" s="84" t="n">
        <v>13</v>
      </c>
      <c r="AE729" s="84" t="n">
        <v>10</v>
      </c>
      <c r="AF729" s="84" t="n">
        <v>0.76</v>
      </c>
      <c r="AG729" s="84" t="n">
        <v>0.84</v>
      </c>
      <c r="AH729" s="84" t="n">
        <v>0</v>
      </c>
      <c r="AI729" s="84" t="n">
        <v>0</v>
      </c>
      <c r="AJ729" s="84">
        <f>SUMIFS(AH$8:AH$1039,$O$8:$O$1039,O729,$AB$8:$AB$1039,AB729,$R$8:$R$1039,R729,$AA$8:$AA$1039,"&lt;="&amp;AA729)</f>
        <v/>
      </c>
      <c r="AK729" s="84">
        <f>D72</f>
        <v/>
      </c>
      <c r="AL729" s="84">
        <f>D78</f>
        <v/>
      </c>
      <c r="AM729" s="84">
        <f>MAX(0,AJ729-AK729)</f>
        <v/>
      </c>
      <c r="AN729" s="84">
        <f>IF(AM729=0,AH729,IF(AM729&gt;=AH729,0,AH729-AM729))</f>
        <v/>
      </c>
      <c r="AO729" s="84">
        <f>IF(AM729&gt;=AH729,AI729,AI729*AM729/AH729)</f>
        <v/>
      </c>
      <c r="AP729">
        <f t="array" ref="AP729">INDEX($AU$8:$BB$25,6*(R729-1)+MATCH(AB729,$AS$8:$AS$13,0),MATCH(O729,$AU$7:$BB$7,0))</f>
        <v/>
      </c>
    </row>
    <row r="730" ht="14.25" customHeight="1">
      <c r="O730" s="43" t="inlineStr">
        <is>
          <t>Q2’27</t>
        </is>
      </c>
      <c r="P730" s="43" t="n">
        <v>2</v>
      </c>
      <c r="Q730" s="43" t="n">
        <v>15</v>
      </c>
      <c r="R730" s="43" t="n">
        <v>3</v>
      </c>
      <c r="S730" s="45" t="n">
        <v>-0</v>
      </c>
      <c r="T730">
        <f>(S728+S729+S730)=S3</f>
        <v/>
      </c>
      <c r="X730" s="84">
        <f>MAX(S727-S730,0)</f>
        <v/>
      </c>
      <c r="Y730" s="83" t="n">
        <v>0</v>
      </c>
      <c r="AA730" s="84" t="n">
        <v>7</v>
      </c>
      <c r="AB730" s="84" t="inlineStr">
        <is>
          <t>E</t>
        </is>
      </c>
      <c r="AC730" s="84" t="inlineStr">
        <is>
          <t>E+</t>
        </is>
      </c>
      <c r="AD730" s="84" t="n">
        <v>13</v>
      </c>
      <c r="AE730" s="84" t="n">
        <v>10</v>
      </c>
      <c r="AF730" s="84" t="n">
        <v>0.76</v>
      </c>
      <c r="AG730" s="84" t="n">
        <v>0.84</v>
      </c>
      <c r="AH730" s="84" t="n">
        <v>0</v>
      </c>
      <c r="AI730" s="84" t="n">
        <v>0</v>
      </c>
      <c r="AJ730" s="84">
        <f>SUMIFS(AH$8:AH$1039,$O$8:$O$1039,O730,$AB$8:$AB$1039,AB730,$R$8:$R$1039,R730,$AA$8:$AA$1039,"&lt;="&amp;AA730)</f>
        <v/>
      </c>
      <c r="AK730" s="84">
        <f>E72</f>
        <v/>
      </c>
      <c r="AL730" s="84">
        <f>E78</f>
        <v/>
      </c>
      <c r="AM730" s="84">
        <f>MAX(0,AJ730-AK730)</f>
        <v/>
      </c>
      <c r="AN730" s="84">
        <f>IF(AM730=0,AH730,IF(AM730&gt;=AH730,0,AH730-AM730))</f>
        <v/>
      </c>
      <c r="AO730" s="84">
        <f>IF(AM730&gt;=AH730,AI730,AI730*AM730/AH730)</f>
        <v/>
      </c>
      <c r="AP730">
        <f t="array" ref="AP730">INDEX($AU$8:$BB$25,6*(R730-1)+MATCH(AB730,$AS$8:$AS$13,0),MATCH(O730,$AU$7:$BB$7,0))</f>
        <v/>
      </c>
    </row>
    <row r="731" ht="14.25" customHeight="1">
      <c r="O731" s="43" t="inlineStr">
        <is>
          <t>Q2’27</t>
        </is>
      </c>
      <c r="P731" s="43" t="n">
        <v>3</v>
      </c>
      <c r="Q731" s="43" t="n">
        <v>1</v>
      </c>
      <c r="R731" s="43" t="n">
        <v>1</v>
      </c>
      <c r="S731" s="45" t="n">
        <v>2039.717647058824</v>
      </c>
      <c r="T731">
        <f>(S731+S732+S733)=S4</f>
        <v/>
      </c>
      <c r="X731" s="84" t="n">
        <v>0</v>
      </c>
      <c r="Y731" s="83" t="n">
        <v>0</v>
      </c>
      <c r="AA731" s="84" t="n">
        <v>1</v>
      </c>
      <c r="AB731" s="84" t="inlineStr">
        <is>
          <t>C</t>
        </is>
      </c>
      <c r="AC731" s="84" t="inlineStr">
        <is>
          <t>C+</t>
        </is>
      </c>
      <c r="AD731" s="84" t="n">
        <v>21</v>
      </c>
      <c r="AE731" s="84" t="n">
        <v>20</v>
      </c>
      <c r="AF731" s="84" t="n">
        <v>0.8</v>
      </c>
      <c r="AG731" s="84" t="n">
        <v>0.86</v>
      </c>
      <c r="AH731" s="84" t="n">
        <v>0</v>
      </c>
      <c r="AI731" s="84" t="n">
        <v>0</v>
      </c>
      <c r="AJ731" s="84">
        <f>SUMIFS(AH$8:AH$1039,$O$8:$O$1039,O731,$AB$8:$AB$1039,AB731,$R$8:$R$1039,R731,$AA$8:$AA$1039,"&lt;="&amp;AA731)</f>
        <v/>
      </c>
      <c r="AK731" s="84">
        <f>C70</f>
        <v/>
      </c>
      <c r="AL731" s="84">
        <f>C76</f>
        <v/>
      </c>
      <c r="AM731" s="84">
        <f>MAX(0,AJ731-AK731)</f>
        <v/>
      </c>
      <c r="AN731" s="84">
        <f>IF(AM731=0,AH731,IF(AM731&gt;=AH731,0,AH731-AM731))</f>
        <v/>
      </c>
      <c r="AO731" s="84">
        <f>IF(AM731&gt;=AH731,AI731,AI731*AM731/AH731)</f>
        <v/>
      </c>
      <c r="AP731">
        <f t="array" ref="AP731">INDEX($AU$8:$BB$25,6*(R731-1)+MATCH(AB731,$AS$8:$AS$13,0),MATCH(O731,$AU$7:$BB$7,0))</f>
        <v/>
      </c>
    </row>
    <row r="732" ht="14.25" customHeight="1">
      <c r="O732" s="43" t="inlineStr">
        <is>
          <t>Q2’27</t>
        </is>
      </c>
      <c r="P732" s="43" t="n">
        <v>3</v>
      </c>
      <c r="Q732" s="43" t="n">
        <v>1</v>
      </c>
      <c r="R732" s="43" t="n">
        <v>2</v>
      </c>
      <c r="S732" s="45" t="n">
        <v>3671.491764705882</v>
      </c>
      <c r="T732">
        <f>(S731+S732+S733)=S4</f>
        <v/>
      </c>
      <c r="X732" s="84" t="n">
        <v>0</v>
      </c>
      <c r="Y732" s="83" t="n">
        <v>0</v>
      </c>
      <c r="AA732" s="84" t="n">
        <v>1</v>
      </c>
      <c r="AB732" s="84" t="inlineStr">
        <is>
          <t>C</t>
        </is>
      </c>
      <c r="AC732" s="84" t="inlineStr">
        <is>
          <t>C+</t>
        </is>
      </c>
      <c r="AD732" s="84" t="n">
        <v>21</v>
      </c>
      <c r="AE732" s="84" t="n">
        <v>20</v>
      </c>
      <c r="AF732" s="84" t="n">
        <v>0.8</v>
      </c>
      <c r="AG732" s="84" t="n">
        <v>0.86</v>
      </c>
      <c r="AH732" s="84" t="n">
        <v>0</v>
      </c>
      <c r="AI732" s="84" t="n">
        <v>0</v>
      </c>
      <c r="AJ732" s="84">
        <f>SUMIFS(AH$8:AH$1039,$O$8:$O$1039,O732,$AB$8:$AB$1039,AB732,$R$8:$R$1039,R732,$AA$8:$AA$1039,"&lt;="&amp;AA732)</f>
        <v/>
      </c>
      <c r="AK732" s="84">
        <f>D70</f>
        <v/>
      </c>
      <c r="AL732" s="84">
        <f>D76</f>
        <v/>
      </c>
      <c r="AM732" s="84">
        <f>MAX(0,AJ732-AK732)</f>
        <v/>
      </c>
      <c r="AN732" s="84">
        <f>IF(AM732=0,AH732,IF(AM732&gt;=AH732,0,AH732-AM732))</f>
        <v/>
      </c>
      <c r="AO732" s="84">
        <f>IF(AM732&gt;=AH732,AI732,AI732*AM732/AH732)</f>
        <v/>
      </c>
      <c r="AP732">
        <f t="array" ref="AP732">INDEX($AU$8:$BB$25,6*(R732-1)+MATCH(AB732,$AS$8:$AS$13,0),MATCH(O732,$AU$7:$BB$7,0))</f>
        <v/>
      </c>
    </row>
    <row r="733" ht="14.25" customHeight="1">
      <c r="O733" s="43" t="inlineStr">
        <is>
          <t>Q2’27</t>
        </is>
      </c>
      <c r="P733" s="43" t="n">
        <v>3</v>
      </c>
      <c r="Q733" s="43" t="n">
        <v>1</v>
      </c>
      <c r="R733" s="43" t="n">
        <v>3</v>
      </c>
      <c r="S733" s="45" t="n">
        <v>1108.790588235294</v>
      </c>
      <c r="T733">
        <f>(S731+S732+S733)=S4</f>
        <v/>
      </c>
      <c r="X733" s="84" t="n">
        <v>0</v>
      </c>
      <c r="Y733" s="83" t="n">
        <v>0</v>
      </c>
      <c r="AA733" s="84" t="n">
        <v>1</v>
      </c>
      <c r="AB733" s="84" t="inlineStr">
        <is>
          <t>C</t>
        </is>
      </c>
      <c r="AC733" s="84" t="inlineStr">
        <is>
          <t>C+</t>
        </is>
      </c>
      <c r="AD733" s="84" t="n">
        <v>21</v>
      </c>
      <c r="AE733" s="84" t="n">
        <v>20</v>
      </c>
      <c r="AF733" s="84" t="n">
        <v>0.8</v>
      </c>
      <c r="AG733" s="84" t="n">
        <v>0.86</v>
      </c>
      <c r="AH733" s="84" t="n">
        <v>0</v>
      </c>
      <c r="AI733" s="84" t="n">
        <v>0</v>
      </c>
      <c r="AJ733" s="84">
        <f>SUMIFS(AH$8:AH$1039,$O$8:$O$1039,O733,$AB$8:$AB$1039,AB733,$R$8:$R$1039,R733,$AA$8:$AA$1039,"&lt;="&amp;AA733)</f>
        <v/>
      </c>
      <c r="AK733" s="84">
        <f>E70</f>
        <v/>
      </c>
      <c r="AL733" s="84">
        <f>E76</f>
        <v/>
      </c>
      <c r="AM733" s="84">
        <f>MAX(0,AJ733-AK733)</f>
        <v/>
      </c>
      <c r="AN733" s="84">
        <f>IF(AM733=0,AH733,IF(AM733&gt;=AH733,0,AH733-AM733))</f>
        <v/>
      </c>
      <c r="AO733" s="84">
        <f>IF(AM733&gt;=AH733,AI733,AI733*AM733/AH733)</f>
        <v/>
      </c>
      <c r="AP733">
        <f t="array" ref="AP733">INDEX($AU$8:$BB$25,6*(R733-1)+MATCH(AB733,$AS$8:$AS$13,0),MATCH(O733,$AU$7:$BB$7,0))</f>
        <v/>
      </c>
    </row>
    <row r="734" ht="14.25" customHeight="1">
      <c r="O734" s="43" t="inlineStr">
        <is>
          <t>Q2’27</t>
        </is>
      </c>
      <c r="P734" s="43" t="n">
        <v>3</v>
      </c>
      <c r="Q734" s="43" t="n">
        <v>2</v>
      </c>
      <c r="R734" s="43" t="n">
        <v>1</v>
      </c>
      <c r="S734" s="45" t="n">
        <v>2039.717647058824</v>
      </c>
      <c r="T734">
        <f>(S734+S735+S736)=S4</f>
        <v/>
      </c>
      <c r="X734" s="84">
        <f>MAX(S731-S734,0)</f>
        <v/>
      </c>
      <c r="Y734" s="83" t="n">
        <v>0</v>
      </c>
      <c r="AA734" s="84" t="n">
        <v>8</v>
      </c>
      <c r="AB734" s="84" t="inlineStr">
        <is>
          <t>D</t>
        </is>
      </c>
      <c r="AC734" s="84" t="inlineStr">
        <is>
          <t>D+</t>
        </is>
      </c>
      <c r="AD734" s="84" t="n">
        <v>9</v>
      </c>
      <c r="AE734" s="84" t="n">
        <v>7</v>
      </c>
      <c r="AF734" s="84" t="n">
        <v>0.8</v>
      </c>
      <c r="AG734" s="84" t="n">
        <v>0.88</v>
      </c>
      <c r="AH734" s="84" t="n">
        <v>0</v>
      </c>
      <c r="AI734" s="84" t="n">
        <v>0</v>
      </c>
      <c r="AJ734" s="84">
        <f>SUMIFS(AH$8:AH$1039,$O$8:$O$1039,O734,$AB$8:$AB$1039,AB734,$R$8:$R$1039,R734,$AA$8:$AA$1039,"&lt;="&amp;AA734)</f>
        <v/>
      </c>
      <c r="AK734" s="84">
        <f>C71</f>
        <v/>
      </c>
      <c r="AL734" s="84">
        <f>C77</f>
        <v/>
      </c>
      <c r="AM734" s="84">
        <f>MAX(0,AJ734-AK734)</f>
        <v/>
      </c>
      <c r="AN734" s="84">
        <f>IF(AM734=0,AH734,IF(AM734&gt;=AH734,0,AH734-AM734))</f>
        <v/>
      </c>
      <c r="AO734" s="84">
        <f>IF(AM734&gt;=AH734,AI734,AI734*AM734/AH734)</f>
        <v/>
      </c>
      <c r="AP734">
        <f t="array" ref="AP734">INDEX($AU$8:$BB$25,6*(R734-1)+MATCH(AB734,$AS$8:$AS$13,0),MATCH(O734,$AU$7:$BB$7,0))</f>
        <v/>
      </c>
    </row>
    <row r="735" ht="14.25" customHeight="1">
      <c r="O735" s="43" t="inlineStr">
        <is>
          <t>Q2’27</t>
        </is>
      </c>
      <c r="P735" s="43" t="n">
        <v>3</v>
      </c>
      <c r="Q735" s="43" t="n">
        <v>2</v>
      </c>
      <c r="R735" s="43" t="n">
        <v>2</v>
      </c>
      <c r="S735" s="45" t="n">
        <v>3671.491764705882</v>
      </c>
      <c r="T735">
        <f>(S734+S735+S736)=S4</f>
        <v/>
      </c>
      <c r="X735" s="84">
        <f>MAX(S732-S735,0)</f>
        <v/>
      </c>
      <c r="Y735" s="83" t="n">
        <v>0</v>
      </c>
      <c r="AA735" s="84" t="n">
        <v>8</v>
      </c>
      <c r="AB735" s="84" t="inlineStr">
        <is>
          <t>D</t>
        </is>
      </c>
      <c r="AC735" s="84" t="inlineStr">
        <is>
          <t>D+</t>
        </is>
      </c>
      <c r="AD735" s="84" t="n">
        <v>9</v>
      </c>
      <c r="AE735" s="84" t="n">
        <v>7</v>
      </c>
      <c r="AF735" s="84" t="n">
        <v>0.8</v>
      </c>
      <c r="AG735" s="84" t="n">
        <v>0.88</v>
      </c>
      <c r="AH735" s="84" t="n">
        <v>0</v>
      </c>
      <c r="AI735" s="84" t="n">
        <v>0</v>
      </c>
      <c r="AJ735" s="84">
        <f>SUMIFS(AH$8:AH$1039,$O$8:$O$1039,O735,$AB$8:$AB$1039,AB735,$R$8:$R$1039,R735,$AA$8:$AA$1039,"&lt;="&amp;AA735)</f>
        <v/>
      </c>
      <c r="AK735" s="84">
        <f>D71</f>
        <v/>
      </c>
      <c r="AL735" s="84">
        <f>D77</f>
        <v/>
      </c>
      <c r="AM735" s="84">
        <f>MAX(0,AJ735-AK735)</f>
        <v/>
      </c>
      <c r="AN735" s="84">
        <f>IF(AM735=0,AH735,IF(AM735&gt;=AH735,0,AH735-AM735))</f>
        <v/>
      </c>
      <c r="AO735" s="84">
        <f>IF(AM735&gt;=AH735,AI735,AI735*AM735/AH735)</f>
        <v/>
      </c>
      <c r="AP735">
        <f t="array" ref="AP735">INDEX($AU$8:$BB$25,6*(R735-1)+MATCH(AB735,$AS$8:$AS$13,0),MATCH(O735,$AU$7:$BB$7,0))</f>
        <v/>
      </c>
    </row>
    <row r="736" ht="14.25" customHeight="1">
      <c r="O736" s="43" t="inlineStr">
        <is>
          <t>Q2’27</t>
        </is>
      </c>
      <c r="P736" s="43" t="n">
        <v>3</v>
      </c>
      <c r="Q736" s="43" t="n">
        <v>2</v>
      </c>
      <c r="R736" s="43" t="n">
        <v>3</v>
      </c>
      <c r="S736" s="45" t="n">
        <v>1108.790588235294</v>
      </c>
      <c r="T736">
        <f>(S734+S735+S736)=S4</f>
        <v/>
      </c>
      <c r="X736" s="84">
        <f>MAX(S733-S736,0)</f>
        <v/>
      </c>
      <c r="Y736" s="83" t="n">
        <v>0</v>
      </c>
      <c r="AA736" s="84" t="n">
        <v>8</v>
      </c>
      <c r="AB736" s="84" t="inlineStr">
        <is>
          <t>D</t>
        </is>
      </c>
      <c r="AC736" s="84" t="inlineStr">
        <is>
          <t>D+</t>
        </is>
      </c>
      <c r="AD736" s="84" t="n">
        <v>9</v>
      </c>
      <c r="AE736" s="84" t="n">
        <v>7</v>
      </c>
      <c r="AF736" s="84" t="n">
        <v>0.8</v>
      </c>
      <c r="AG736" s="84" t="n">
        <v>0.88</v>
      </c>
      <c r="AH736" s="84" t="n">
        <v>0</v>
      </c>
      <c r="AI736" s="84" t="n">
        <v>0</v>
      </c>
      <c r="AJ736" s="84">
        <f>SUMIFS(AH$8:AH$1039,$O$8:$O$1039,O736,$AB$8:$AB$1039,AB736,$R$8:$R$1039,R736,$AA$8:$AA$1039,"&lt;="&amp;AA736)</f>
        <v/>
      </c>
      <c r="AK736" s="84">
        <f>E71</f>
        <v/>
      </c>
      <c r="AL736" s="84">
        <f>E77</f>
        <v/>
      </c>
      <c r="AM736" s="84">
        <f>MAX(0,AJ736-AK736)</f>
        <v/>
      </c>
      <c r="AN736" s="84">
        <f>IF(AM736=0,AH736,IF(AM736&gt;=AH736,0,AH736-AM736))</f>
        <v/>
      </c>
      <c r="AO736" s="84">
        <f>IF(AM736&gt;=AH736,AI736,AI736*AM736/AH736)</f>
        <v/>
      </c>
      <c r="AP736">
        <f t="array" ref="AP736">INDEX($AU$8:$BB$25,6*(R736-1)+MATCH(AB736,$AS$8:$AS$13,0),MATCH(O736,$AU$7:$BB$7,0))</f>
        <v/>
      </c>
    </row>
    <row r="737" ht="14.25" customHeight="1">
      <c r="O737" s="43" t="inlineStr">
        <is>
          <t>Q2’27</t>
        </is>
      </c>
      <c r="P737" s="43" t="n">
        <v>3</v>
      </c>
      <c r="Q737" s="43" t="n">
        <v>3</v>
      </c>
      <c r="R737" s="43" t="n">
        <v>1</v>
      </c>
      <c r="S737" s="45" t="n">
        <v>2039.717647058824</v>
      </c>
      <c r="T737">
        <f>(S737+S738+S739)=S4</f>
        <v/>
      </c>
      <c r="X737" s="84">
        <f>MAX(S734-S737,0)</f>
        <v/>
      </c>
      <c r="Y737" s="83" t="n">
        <v>0</v>
      </c>
      <c r="AA737" s="84" t="n">
        <v>1</v>
      </c>
      <c r="AB737" s="84" t="inlineStr">
        <is>
          <t>E</t>
        </is>
      </c>
      <c r="AC737" s="84" t="inlineStr">
        <is>
          <t>E+</t>
        </is>
      </c>
      <c r="AD737" s="84" t="n">
        <v>24</v>
      </c>
      <c r="AE737" s="84" t="n">
        <v>23</v>
      </c>
      <c r="AF737" s="84" t="n">
        <v>0.76</v>
      </c>
      <c r="AG737" s="84" t="n">
        <v>0.84</v>
      </c>
      <c r="AH737" s="84" t="n">
        <v>0</v>
      </c>
      <c r="AI737" s="84" t="n">
        <v>0</v>
      </c>
      <c r="AJ737" s="84">
        <f>SUMIFS(AH$8:AH$1039,$O$8:$O$1039,O737,$AB$8:$AB$1039,AB737,$R$8:$R$1039,R737,$AA$8:$AA$1039,"&lt;="&amp;AA737)</f>
        <v/>
      </c>
      <c r="AK737" s="84">
        <f>C72</f>
        <v/>
      </c>
      <c r="AL737" s="84">
        <f>C78</f>
        <v/>
      </c>
      <c r="AM737" s="84">
        <f>MAX(0,AJ737-AK737)</f>
        <v/>
      </c>
      <c r="AN737" s="84">
        <f>IF(AM737=0,AH737,IF(AM737&gt;=AH737,0,AH737-AM737))</f>
        <v/>
      </c>
      <c r="AO737" s="84">
        <f>IF(AM737&gt;=AH737,AI737,AI737*AM737/AH737)</f>
        <v/>
      </c>
      <c r="AP737">
        <f t="array" ref="AP737">INDEX($AU$8:$BB$25,6*(R737-1)+MATCH(AB737,$AS$8:$AS$13,0),MATCH(O737,$AU$7:$BB$7,0))</f>
        <v/>
      </c>
    </row>
    <row r="738" ht="14.25" customHeight="1">
      <c r="O738" s="43" t="inlineStr">
        <is>
          <t>Q2’27</t>
        </is>
      </c>
      <c r="P738" s="43" t="n">
        <v>3</v>
      </c>
      <c r="Q738" s="43" t="n">
        <v>3</v>
      </c>
      <c r="R738" s="43" t="n">
        <v>2</v>
      </c>
      <c r="S738" s="45" t="n">
        <v>3671.491764705882</v>
      </c>
      <c r="T738">
        <f>(S737+S738+S739)=S4</f>
        <v/>
      </c>
      <c r="X738" s="84">
        <f>MAX(S735-S738,0)</f>
        <v/>
      </c>
      <c r="Y738" s="83" t="n">
        <v>0</v>
      </c>
      <c r="AA738" s="84" t="n">
        <v>1</v>
      </c>
      <c r="AB738" s="84" t="inlineStr">
        <is>
          <t>E</t>
        </is>
      </c>
      <c r="AC738" s="84" t="inlineStr">
        <is>
          <t>E+</t>
        </is>
      </c>
      <c r="AD738" s="84" t="n">
        <v>24</v>
      </c>
      <c r="AE738" s="84" t="n">
        <v>23</v>
      </c>
      <c r="AF738" s="84" t="n">
        <v>0.76</v>
      </c>
      <c r="AG738" s="84" t="n">
        <v>0.84</v>
      </c>
      <c r="AH738" s="84" t="n">
        <v>0</v>
      </c>
      <c r="AI738" s="84" t="n">
        <v>0</v>
      </c>
      <c r="AJ738" s="84">
        <f>SUMIFS(AH$8:AH$1039,$O$8:$O$1039,O738,$AB$8:$AB$1039,AB738,$R$8:$R$1039,R738,$AA$8:$AA$1039,"&lt;="&amp;AA738)</f>
        <v/>
      </c>
      <c r="AK738" s="84">
        <f>D72</f>
        <v/>
      </c>
      <c r="AL738" s="84">
        <f>D78</f>
        <v/>
      </c>
      <c r="AM738" s="84">
        <f>MAX(0,AJ738-AK738)</f>
        <v/>
      </c>
      <c r="AN738" s="84">
        <f>IF(AM738=0,AH738,IF(AM738&gt;=AH738,0,AH738-AM738))</f>
        <v/>
      </c>
      <c r="AO738" s="84">
        <f>IF(AM738&gt;=AH738,AI738,AI738*AM738/AH738)</f>
        <v/>
      </c>
      <c r="AP738">
        <f t="array" ref="AP738">INDEX($AU$8:$BB$25,6*(R738-1)+MATCH(AB738,$AS$8:$AS$13,0),MATCH(O738,$AU$7:$BB$7,0))</f>
        <v/>
      </c>
    </row>
    <row r="739" ht="14.25" customHeight="1">
      <c r="O739" s="43" t="inlineStr">
        <is>
          <t>Q2’27</t>
        </is>
      </c>
      <c r="P739" s="43" t="n">
        <v>3</v>
      </c>
      <c r="Q739" s="43" t="n">
        <v>3</v>
      </c>
      <c r="R739" s="43" t="n">
        <v>3</v>
      </c>
      <c r="S739" s="45" t="n">
        <v>1108.790588235294</v>
      </c>
      <c r="T739">
        <f>(S737+S738+S739)=S4</f>
        <v/>
      </c>
      <c r="X739" s="84">
        <f>MAX(S736-S739,0)</f>
        <v/>
      </c>
      <c r="Y739" s="83" t="n">
        <v>0</v>
      </c>
      <c r="AA739" s="84" t="n">
        <v>1</v>
      </c>
      <c r="AB739" s="84" t="inlineStr">
        <is>
          <t>E</t>
        </is>
      </c>
      <c r="AC739" s="84" t="inlineStr">
        <is>
          <t>E+</t>
        </is>
      </c>
      <c r="AD739" s="84" t="n">
        <v>24</v>
      </c>
      <c r="AE739" s="84" t="n">
        <v>23</v>
      </c>
      <c r="AF739" s="84" t="n">
        <v>0.76</v>
      </c>
      <c r="AG739" s="84" t="n">
        <v>0.84</v>
      </c>
      <c r="AH739" s="84" t="n">
        <v>0</v>
      </c>
      <c r="AI739" s="84" t="n">
        <v>0</v>
      </c>
      <c r="AJ739" s="84">
        <f>SUMIFS(AH$8:AH$1039,$O$8:$O$1039,O739,$AB$8:$AB$1039,AB739,$R$8:$R$1039,R739,$AA$8:$AA$1039,"&lt;="&amp;AA739)</f>
        <v/>
      </c>
      <c r="AK739" s="84">
        <f>E72</f>
        <v/>
      </c>
      <c r="AL739" s="84">
        <f>E78</f>
        <v/>
      </c>
      <c r="AM739" s="84">
        <f>MAX(0,AJ739-AK739)</f>
        <v/>
      </c>
      <c r="AN739" s="84">
        <f>IF(AM739=0,AH739,IF(AM739&gt;=AH739,0,AH739-AM739))</f>
        <v/>
      </c>
      <c r="AO739" s="84">
        <f>IF(AM739&gt;=AH739,AI739,AI739*AM739/AH739)</f>
        <v/>
      </c>
      <c r="AP739">
        <f t="array" ref="AP739">INDEX($AU$8:$BB$25,6*(R739-1)+MATCH(AB739,$AS$8:$AS$13,0),MATCH(O739,$AU$7:$BB$7,0))</f>
        <v/>
      </c>
    </row>
    <row r="740" ht="14.25" customHeight="1">
      <c r="O740" s="43" t="inlineStr">
        <is>
          <t>Q2’27</t>
        </is>
      </c>
      <c r="P740" s="43" t="n">
        <v>3</v>
      </c>
      <c r="Q740" s="43" t="n">
        <v>4</v>
      </c>
      <c r="R740" s="43" t="n">
        <v>1</v>
      </c>
      <c r="S740" s="45" t="n">
        <v>2039.717647058824</v>
      </c>
      <c r="T740">
        <f>(S740+S741+S742)=S4</f>
        <v/>
      </c>
      <c r="X740" s="84">
        <f>MAX(S737-S740,0)</f>
        <v/>
      </c>
      <c r="Y740" s="83" t="n">
        <v>0</v>
      </c>
      <c r="AA740" s="84" t="n">
        <v>9</v>
      </c>
      <c r="AB740" s="84" t="inlineStr">
        <is>
          <t>E</t>
        </is>
      </c>
      <c r="AC740" s="84" t="inlineStr">
        <is>
          <t>E+</t>
        </is>
      </c>
      <c r="AD740" s="84" t="n">
        <v>15</v>
      </c>
      <c r="AE740" s="84" t="n">
        <v>11</v>
      </c>
      <c r="AF740" s="84" t="n">
        <v>0.76</v>
      </c>
      <c r="AG740" s="84" t="n">
        <v>0.84</v>
      </c>
      <c r="AH740" s="84" t="n">
        <v>0</v>
      </c>
      <c r="AI740" s="84" t="n">
        <v>0</v>
      </c>
      <c r="AJ740" s="84">
        <f>SUMIFS(AH$8:AH$1039,$O$8:$O$1039,O740,$AB$8:$AB$1039,AB740,$R$8:$R$1039,R740,$AA$8:$AA$1039,"&lt;="&amp;AA740)</f>
        <v/>
      </c>
      <c r="AK740" s="84">
        <f>C72</f>
        <v/>
      </c>
      <c r="AL740" s="84">
        <f>C78</f>
        <v/>
      </c>
      <c r="AM740" s="84">
        <f>MAX(0,AJ740-AK740)</f>
        <v/>
      </c>
      <c r="AN740" s="84">
        <f>IF(AM740=0,AH740,IF(AM740&gt;=AH740,0,AH740-AM740))</f>
        <v/>
      </c>
      <c r="AO740" s="84">
        <f>IF(AM740&gt;=AH740,AI740,AI740*AM740/AH740)</f>
        <v/>
      </c>
      <c r="AP740">
        <f t="array" ref="AP740">INDEX($AU$8:$BB$25,6*(R740-1)+MATCH(AB740,$AS$8:$AS$13,0),MATCH(O740,$AU$7:$BB$7,0))</f>
        <v/>
      </c>
    </row>
    <row r="741" ht="14.25" customHeight="1">
      <c r="O741" s="43" t="inlineStr">
        <is>
          <t>Q2’27</t>
        </is>
      </c>
      <c r="P741" s="43" t="n">
        <v>3</v>
      </c>
      <c r="Q741" s="43" t="n">
        <v>4</v>
      </c>
      <c r="R741" s="43" t="n">
        <v>2</v>
      </c>
      <c r="S741" s="45" t="n">
        <v>3671.491764705882</v>
      </c>
      <c r="T741">
        <f>(S740+S741+S742)=S4</f>
        <v/>
      </c>
      <c r="X741" s="84">
        <f>MAX(S738-S741,0)</f>
        <v/>
      </c>
      <c r="Y741" s="83" t="n">
        <v>0</v>
      </c>
      <c r="AA741" s="84" t="n">
        <v>9</v>
      </c>
      <c r="AB741" s="84" t="inlineStr">
        <is>
          <t>E</t>
        </is>
      </c>
      <c r="AC741" s="84" t="inlineStr">
        <is>
          <t>E+</t>
        </is>
      </c>
      <c r="AD741" s="84" t="n">
        <v>15</v>
      </c>
      <c r="AE741" s="84" t="n">
        <v>11</v>
      </c>
      <c r="AF741" s="84" t="n">
        <v>0.76</v>
      </c>
      <c r="AG741" s="84" t="n">
        <v>0.84</v>
      </c>
      <c r="AH741" s="84" t="n">
        <v>0</v>
      </c>
      <c r="AI741" s="84" t="n">
        <v>0</v>
      </c>
      <c r="AJ741" s="84">
        <f>SUMIFS(AH$8:AH$1039,$O$8:$O$1039,O741,$AB$8:$AB$1039,AB741,$R$8:$R$1039,R741,$AA$8:$AA$1039,"&lt;="&amp;AA741)</f>
        <v/>
      </c>
      <c r="AK741" s="84">
        <f>D72</f>
        <v/>
      </c>
      <c r="AL741" s="84">
        <f>D78</f>
        <v/>
      </c>
      <c r="AM741" s="84">
        <f>MAX(0,AJ741-AK741)</f>
        <v/>
      </c>
      <c r="AN741" s="84">
        <f>IF(AM741=0,AH741,IF(AM741&gt;=AH741,0,AH741-AM741))</f>
        <v/>
      </c>
      <c r="AO741" s="84">
        <f>IF(AM741&gt;=AH741,AI741,AI741*AM741/AH741)</f>
        <v/>
      </c>
      <c r="AP741">
        <f t="array" ref="AP741">INDEX($AU$8:$BB$25,6*(R741-1)+MATCH(AB741,$AS$8:$AS$13,0),MATCH(O741,$AU$7:$BB$7,0))</f>
        <v/>
      </c>
    </row>
    <row r="742" ht="14.25" customHeight="1">
      <c r="O742" s="43" t="inlineStr">
        <is>
          <t>Q2’27</t>
        </is>
      </c>
      <c r="P742" s="43" t="n">
        <v>3</v>
      </c>
      <c r="Q742" s="43" t="n">
        <v>4</v>
      </c>
      <c r="R742" s="43" t="n">
        <v>3</v>
      </c>
      <c r="S742" s="45" t="n">
        <v>1108.790588235294</v>
      </c>
      <c r="T742">
        <f>(S740+S741+S742)=S4</f>
        <v/>
      </c>
      <c r="X742" s="84">
        <f>MAX(S739-S742,0)</f>
        <v/>
      </c>
      <c r="Y742" s="83" t="n">
        <v>0</v>
      </c>
      <c r="AA742" s="84" t="n">
        <v>9</v>
      </c>
      <c r="AB742" s="84" t="inlineStr">
        <is>
          <t>E</t>
        </is>
      </c>
      <c r="AC742" s="84" t="inlineStr">
        <is>
          <t>E+</t>
        </is>
      </c>
      <c r="AD742" s="84" t="n">
        <v>15</v>
      </c>
      <c r="AE742" s="84" t="n">
        <v>11</v>
      </c>
      <c r="AF742" s="84" t="n">
        <v>0.76</v>
      </c>
      <c r="AG742" s="84" t="n">
        <v>0.84</v>
      </c>
      <c r="AH742" s="84" t="n">
        <v>0</v>
      </c>
      <c r="AI742" s="84" t="n">
        <v>0</v>
      </c>
      <c r="AJ742" s="84">
        <f>SUMIFS(AH$8:AH$1039,$O$8:$O$1039,O742,$AB$8:$AB$1039,AB742,$R$8:$R$1039,R742,$AA$8:$AA$1039,"&lt;="&amp;AA742)</f>
        <v/>
      </c>
      <c r="AK742" s="84">
        <f>E72</f>
        <v/>
      </c>
      <c r="AL742" s="84">
        <f>E78</f>
        <v/>
      </c>
      <c r="AM742" s="84">
        <f>MAX(0,AJ742-AK742)</f>
        <v/>
      </c>
      <c r="AN742" s="84">
        <f>IF(AM742=0,AH742,IF(AM742&gt;=AH742,0,AH742-AM742))</f>
        <v/>
      </c>
      <c r="AO742" s="84">
        <f>IF(AM742&gt;=AH742,AI742,AI742*AM742/AH742)</f>
        <v/>
      </c>
      <c r="AP742">
        <f t="array" ref="AP742">INDEX($AU$8:$BB$25,6*(R742-1)+MATCH(AB742,$AS$8:$AS$13,0),MATCH(O742,$AU$7:$BB$7,0))</f>
        <v/>
      </c>
    </row>
    <row r="743" ht="14.25" customHeight="1">
      <c r="O743" s="43" t="inlineStr">
        <is>
          <t>Q2’27</t>
        </is>
      </c>
      <c r="P743" s="43" t="n">
        <v>3</v>
      </c>
      <c r="Q743" s="43" t="n">
        <v>5</v>
      </c>
      <c r="R743" s="43" t="n">
        <v>1</v>
      </c>
      <c r="S743" s="45" t="n">
        <v>2039.717647058824</v>
      </c>
      <c r="T743">
        <f>(S743+S744+S745)=S4</f>
        <v/>
      </c>
      <c r="X743" s="84">
        <f>MAX(S740-S743,0)</f>
        <v/>
      </c>
      <c r="Y743" s="83" t="n">
        <v>0</v>
      </c>
      <c r="AA743" s="84" t="n">
        <v>6</v>
      </c>
      <c r="AB743" s="84" t="inlineStr">
        <is>
          <t>F</t>
        </is>
      </c>
      <c r="AC743" s="84" t="inlineStr">
        <is>
          <t>F+</t>
        </is>
      </c>
      <c r="AD743" s="84" t="n">
        <v>16</v>
      </c>
      <c r="AE743" s="84" t="n">
        <v>14</v>
      </c>
      <c r="AF743" s="84" t="n">
        <v>0.8</v>
      </c>
      <c r="AG743" s="84" t="n">
        <v>0.9</v>
      </c>
      <c r="AH743" s="84" t="n">
        <v>0</v>
      </c>
      <c r="AI743" s="84" t="n">
        <v>0</v>
      </c>
      <c r="AJ743" s="84">
        <f>SUMIFS(AH$8:AH$1039,$O$8:$O$1039,O743,$AB$8:$AB$1039,AB743,$R$8:$R$1039,R743,$AA$8:$AA$1039,"&lt;="&amp;AA743)</f>
        <v/>
      </c>
      <c r="AK743" s="84">
        <f>C73</f>
        <v/>
      </c>
      <c r="AL743" s="84">
        <f>C79</f>
        <v/>
      </c>
      <c r="AM743" s="84">
        <f>MAX(0,AJ743-AK743)</f>
        <v/>
      </c>
      <c r="AN743" s="84">
        <f>IF(AM743=0,AH743,IF(AM743&gt;=AH743,0,AH743-AM743))</f>
        <v/>
      </c>
      <c r="AO743" s="84">
        <f>IF(AM743&gt;=AH743,AI743,AI743*AM743/AH743)</f>
        <v/>
      </c>
      <c r="AP743">
        <f t="array" ref="AP743">INDEX($AU$8:$BB$25,6*(R743-1)+MATCH(AB743,$AS$8:$AS$13,0),MATCH(O743,$AU$7:$BB$7,0))</f>
        <v/>
      </c>
    </row>
    <row r="744" ht="14.25" customHeight="1">
      <c r="O744" s="43" t="inlineStr">
        <is>
          <t>Q2’27</t>
        </is>
      </c>
      <c r="P744" s="43" t="n">
        <v>3</v>
      </c>
      <c r="Q744" s="43" t="n">
        <v>5</v>
      </c>
      <c r="R744" s="43" t="n">
        <v>2</v>
      </c>
      <c r="S744" s="45" t="n">
        <v>3671.491764705882</v>
      </c>
      <c r="T744">
        <f>(S743+S744+S745)=S4</f>
        <v/>
      </c>
      <c r="X744" s="84">
        <f>MAX(S741-S744,0)</f>
        <v/>
      </c>
      <c r="Y744" s="83" t="n">
        <v>0</v>
      </c>
      <c r="AA744" s="84" t="n">
        <v>6</v>
      </c>
      <c r="AB744" s="84" t="inlineStr">
        <is>
          <t>F</t>
        </is>
      </c>
      <c r="AC744" s="84" t="inlineStr">
        <is>
          <t>F+</t>
        </is>
      </c>
      <c r="AD744" s="84" t="n">
        <v>16</v>
      </c>
      <c r="AE744" s="84" t="n">
        <v>14</v>
      </c>
      <c r="AF744" s="84" t="n">
        <v>0.8</v>
      </c>
      <c r="AG744" s="84" t="n">
        <v>0.9</v>
      </c>
      <c r="AH744" s="84" t="n">
        <v>0</v>
      </c>
      <c r="AI744" s="84" t="n">
        <v>0</v>
      </c>
      <c r="AJ744" s="84">
        <f>SUMIFS(AH$8:AH$1039,$O$8:$O$1039,O744,$AB$8:$AB$1039,AB744,$R$8:$R$1039,R744,$AA$8:$AA$1039,"&lt;="&amp;AA744)</f>
        <v/>
      </c>
      <c r="AK744" s="84">
        <f>D73</f>
        <v/>
      </c>
      <c r="AL744" s="84">
        <f>D79</f>
        <v/>
      </c>
      <c r="AM744" s="84">
        <f>MAX(0,AJ744-AK744)</f>
        <v/>
      </c>
      <c r="AN744" s="84">
        <f>IF(AM744=0,AH744,IF(AM744&gt;=AH744,0,AH744-AM744))</f>
        <v/>
      </c>
      <c r="AO744" s="84">
        <f>IF(AM744&gt;=AH744,AI744,AI744*AM744/AH744)</f>
        <v/>
      </c>
      <c r="AP744">
        <f t="array" ref="AP744">INDEX($AU$8:$BB$25,6*(R744-1)+MATCH(AB744,$AS$8:$AS$13,0),MATCH(O744,$AU$7:$BB$7,0))</f>
        <v/>
      </c>
    </row>
    <row r="745" ht="14.25" customHeight="1">
      <c r="O745" s="43" t="inlineStr">
        <is>
          <t>Q2’27</t>
        </is>
      </c>
      <c r="P745" s="43" t="n">
        <v>3</v>
      </c>
      <c r="Q745" s="43" t="n">
        <v>5</v>
      </c>
      <c r="R745" s="43" t="n">
        <v>3</v>
      </c>
      <c r="S745" s="45" t="n">
        <v>1108.790588235294</v>
      </c>
      <c r="T745">
        <f>(S743+S744+S745)=S4</f>
        <v/>
      </c>
      <c r="X745" s="84">
        <f>MAX(S742-S745,0)</f>
        <v/>
      </c>
      <c r="Y745" s="83" t="n">
        <v>0</v>
      </c>
      <c r="AA745" s="84" t="n">
        <v>6</v>
      </c>
      <c r="AB745" s="84" t="inlineStr">
        <is>
          <t>F</t>
        </is>
      </c>
      <c r="AC745" s="84" t="inlineStr">
        <is>
          <t>F+</t>
        </is>
      </c>
      <c r="AD745" s="84" t="n">
        <v>16</v>
      </c>
      <c r="AE745" s="84" t="n">
        <v>14</v>
      </c>
      <c r="AF745" s="84" t="n">
        <v>0.8</v>
      </c>
      <c r="AG745" s="84" t="n">
        <v>0.9</v>
      </c>
      <c r="AH745" s="84" t="n">
        <v>0</v>
      </c>
      <c r="AI745" s="84" t="n">
        <v>0</v>
      </c>
      <c r="AJ745" s="84">
        <f>SUMIFS(AH$8:AH$1039,$O$8:$O$1039,O745,$AB$8:$AB$1039,AB745,$R$8:$R$1039,R745,$AA$8:$AA$1039,"&lt;="&amp;AA745)</f>
        <v/>
      </c>
      <c r="AK745" s="84">
        <f>E73</f>
        <v/>
      </c>
      <c r="AL745" s="84">
        <f>E79</f>
        <v/>
      </c>
      <c r="AM745" s="84">
        <f>MAX(0,AJ745-AK745)</f>
        <v/>
      </c>
      <c r="AN745" s="84">
        <f>IF(AM745=0,AH745,IF(AM745&gt;=AH745,0,AH745-AM745))</f>
        <v/>
      </c>
      <c r="AO745" s="84">
        <f>IF(AM745&gt;=AH745,AI745,AI745*AM745/AH745)</f>
        <v/>
      </c>
      <c r="AP745">
        <f t="array" ref="AP745">INDEX($AU$8:$BB$25,6*(R745-1)+MATCH(AB745,$AS$8:$AS$13,0),MATCH(O745,$AU$7:$BB$7,0))</f>
        <v/>
      </c>
    </row>
    <row r="746" ht="14.25" customHeight="1">
      <c r="O746" s="43" t="inlineStr">
        <is>
          <t>Q2’27</t>
        </is>
      </c>
      <c r="P746" s="43" t="n">
        <v>3</v>
      </c>
      <c r="Q746" s="43" t="n">
        <v>6</v>
      </c>
      <c r="R746" s="43" t="n">
        <v>1</v>
      </c>
      <c r="S746" s="45" t="n">
        <v>2039.717647058824</v>
      </c>
      <c r="T746">
        <f>(S746+S747+S748)=S4</f>
        <v/>
      </c>
      <c r="X746" s="84">
        <f>MAX(S743-S746,0)</f>
        <v/>
      </c>
      <c r="Y746" s="83" t="n">
        <v>0</v>
      </c>
      <c r="AA746" s="84" t="n">
        <v>1</v>
      </c>
      <c r="AB746" s="84" t="inlineStr">
        <is>
          <t>D</t>
        </is>
      </c>
      <c r="AC746" s="84" t="inlineStr">
        <is>
          <t>D+</t>
        </is>
      </c>
      <c r="AD746" s="84" t="n">
        <v>12</v>
      </c>
      <c r="AE746" s="84" t="n">
        <v>11</v>
      </c>
      <c r="AF746" s="84" t="n">
        <v>0.8</v>
      </c>
      <c r="AG746" s="84" t="n">
        <v>0.88</v>
      </c>
      <c r="AH746" s="84" t="n">
        <v>0</v>
      </c>
      <c r="AI746" s="84" t="n">
        <v>0</v>
      </c>
      <c r="AJ746" s="84">
        <f>SUMIFS(AH$8:AH$1039,$O$8:$O$1039,O746,$AB$8:$AB$1039,AB746,$R$8:$R$1039,R746,$AA$8:$AA$1039,"&lt;="&amp;AA746)</f>
        <v/>
      </c>
      <c r="AK746" s="84">
        <f>C71</f>
        <v/>
      </c>
      <c r="AL746" s="84">
        <f>C77</f>
        <v/>
      </c>
      <c r="AM746" s="84">
        <f>MAX(0,AJ746-AK746)</f>
        <v/>
      </c>
      <c r="AN746" s="84">
        <f>IF(AM746=0,AH746,IF(AM746&gt;=AH746,0,AH746-AM746))</f>
        <v/>
      </c>
      <c r="AO746" s="84">
        <f>IF(AM746&gt;=AH746,AI746,AI746*AM746/AH746)</f>
        <v/>
      </c>
      <c r="AP746">
        <f t="array" ref="AP746">INDEX($AU$8:$BB$25,6*(R746-1)+MATCH(AB746,$AS$8:$AS$13,0),MATCH(O746,$AU$7:$BB$7,0))</f>
        <v/>
      </c>
    </row>
    <row r="747" ht="14.25" customHeight="1">
      <c r="O747" s="43" t="inlineStr">
        <is>
          <t>Q2’27</t>
        </is>
      </c>
      <c r="P747" s="43" t="n">
        <v>3</v>
      </c>
      <c r="Q747" s="43" t="n">
        <v>6</v>
      </c>
      <c r="R747" s="43" t="n">
        <v>2</v>
      </c>
      <c r="S747" s="45" t="n">
        <v>3671.491764705882</v>
      </c>
      <c r="T747">
        <f>(S746+S747+S748)=S4</f>
        <v/>
      </c>
      <c r="X747" s="84">
        <f>MAX(S744-S747,0)</f>
        <v/>
      </c>
      <c r="Y747" s="83" t="n">
        <v>0</v>
      </c>
      <c r="AA747" s="84" t="n">
        <v>1</v>
      </c>
      <c r="AB747" s="84" t="inlineStr">
        <is>
          <t>D</t>
        </is>
      </c>
      <c r="AC747" s="84" t="inlineStr">
        <is>
          <t>D+</t>
        </is>
      </c>
      <c r="AD747" s="84" t="n">
        <v>12</v>
      </c>
      <c r="AE747" s="84" t="n">
        <v>11</v>
      </c>
      <c r="AF747" s="84" t="n">
        <v>0.8</v>
      </c>
      <c r="AG747" s="84" t="n">
        <v>0.88</v>
      </c>
      <c r="AH747" s="84" t="n">
        <v>0</v>
      </c>
      <c r="AI747" s="84" t="n">
        <v>0</v>
      </c>
      <c r="AJ747" s="84">
        <f>SUMIFS(AH$8:AH$1039,$O$8:$O$1039,O747,$AB$8:$AB$1039,AB747,$R$8:$R$1039,R747,$AA$8:$AA$1039,"&lt;="&amp;AA747)</f>
        <v/>
      </c>
      <c r="AK747" s="84">
        <f>D71</f>
        <v/>
      </c>
      <c r="AL747" s="84">
        <f>D77</f>
        <v/>
      </c>
      <c r="AM747" s="84">
        <f>MAX(0,AJ747-AK747)</f>
        <v/>
      </c>
      <c r="AN747" s="84">
        <f>IF(AM747=0,AH747,IF(AM747&gt;=AH747,0,AH747-AM747))</f>
        <v/>
      </c>
      <c r="AO747" s="84">
        <f>IF(AM747&gt;=AH747,AI747,AI747*AM747/AH747)</f>
        <v/>
      </c>
      <c r="AP747">
        <f t="array" ref="AP747">INDEX($AU$8:$BB$25,6*(R747-1)+MATCH(AB747,$AS$8:$AS$13,0),MATCH(O747,$AU$7:$BB$7,0))</f>
        <v/>
      </c>
    </row>
    <row r="748" ht="14.25" customHeight="1">
      <c r="O748" s="43" t="inlineStr">
        <is>
          <t>Q2’27</t>
        </is>
      </c>
      <c r="P748" s="43" t="n">
        <v>3</v>
      </c>
      <c r="Q748" s="43" t="n">
        <v>6</v>
      </c>
      <c r="R748" s="43" t="n">
        <v>3</v>
      </c>
      <c r="S748" s="45" t="n">
        <v>1108.790588235294</v>
      </c>
      <c r="T748">
        <f>(S746+S747+S748)=S4</f>
        <v/>
      </c>
      <c r="X748" s="84">
        <f>MAX(S745-S748,0)</f>
        <v/>
      </c>
      <c r="Y748" s="83" t="n">
        <v>0</v>
      </c>
      <c r="AA748" s="84" t="n">
        <v>1</v>
      </c>
      <c r="AB748" s="84" t="inlineStr">
        <is>
          <t>D</t>
        </is>
      </c>
      <c r="AC748" s="84" t="inlineStr">
        <is>
          <t>D+</t>
        </is>
      </c>
      <c r="AD748" s="84" t="n">
        <v>12</v>
      </c>
      <c r="AE748" s="84" t="n">
        <v>11</v>
      </c>
      <c r="AF748" s="84" t="n">
        <v>0.8</v>
      </c>
      <c r="AG748" s="84" t="n">
        <v>0.88</v>
      </c>
      <c r="AH748" s="84" t="n">
        <v>0</v>
      </c>
      <c r="AI748" s="84" t="n">
        <v>0</v>
      </c>
      <c r="AJ748" s="84">
        <f>SUMIFS(AH$8:AH$1039,$O$8:$O$1039,O748,$AB$8:$AB$1039,AB748,$R$8:$R$1039,R748,$AA$8:$AA$1039,"&lt;="&amp;AA748)</f>
        <v/>
      </c>
      <c r="AK748" s="84">
        <f>E71</f>
        <v/>
      </c>
      <c r="AL748" s="84">
        <f>E77</f>
        <v/>
      </c>
      <c r="AM748" s="84">
        <f>MAX(0,AJ748-AK748)</f>
        <v/>
      </c>
      <c r="AN748" s="84">
        <f>IF(AM748=0,AH748,IF(AM748&gt;=AH748,0,AH748-AM748))</f>
        <v/>
      </c>
      <c r="AO748" s="84">
        <f>IF(AM748&gt;=AH748,AI748,AI748*AM748/AH748)</f>
        <v/>
      </c>
      <c r="AP748">
        <f t="array" ref="AP748">INDEX($AU$8:$BB$25,6*(R748-1)+MATCH(AB748,$AS$8:$AS$13,0),MATCH(O748,$AU$7:$BB$7,0))</f>
        <v/>
      </c>
    </row>
    <row r="749" ht="14.25" customHeight="1">
      <c r="O749" s="43" t="inlineStr">
        <is>
          <t>Q2’27</t>
        </is>
      </c>
      <c r="P749" s="43" t="n">
        <v>3</v>
      </c>
      <c r="Q749" s="43" t="n">
        <v>7</v>
      </c>
      <c r="R749" s="43" t="n">
        <v>1</v>
      </c>
      <c r="S749" s="45" t="n">
        <v>2039.717647058824</v>
      </c>
      <c r="T749">
        <f>(S749+S750+S751)=S4</f>
        <v/>
      </c>
      <c r="X749" s="84">
        <f>MAX(S746-S749,0)</f>
        <v/>
      </c>
      <c r="Y749" s="83" t="n">
        <v>0</v>
      </c>
      <c r="AA749" s="84" t="n">
        <v>3</v>
      </c>
      <c r="AB749" s="84" t="inlineStr">
        <is>
          <t>C</t>
        </is>
      </c>
      <c r="AC749" s="84" t="inlineStr">
        <is>
          <t>C+</t>
        </is>
      </c>
      <c r="AD749" s="84" t="n">
        <v>24</v>
      </c>
      <c r="AE749" s="84" t="n">
        <v>21</v>
      </c>
      <c r="AF749" s="84" t="n">
        <v>0.8</v>
      </c>
      <c r="AG749" s="84" t="n">
        <v>0.86</v>
      </c>
      <c r="AH749" s="84" t="n">
        <v>0</v>
      </c>
      <c r="AI749" s="84" t="n">
        <v>0</v>
      </c>
      <c r="AJ749" s="84">
        <f>SUMIFS(AH$8:AH$1039,$O$8:$O$1039,O749,$AB$8:$AB$1039,AB749,$R$8:$R$1039,R749,$AA$8:$AA$1039,"&lt;="&amp;AA749)</f>
        <v/>
      </c>
      <c r="AK749" s="84">
        <f>C70</f>
        <v/>
      </c>
      <c r="AL749" s="84">
        <f>C76</f>
        <v/>
      </c>
      <c r="AM749" s="84">
        <f>MAX(0,AJ749-AK749)</f>
        <v/>
      </c>
      <c r="AN749" s="84">
        <f>IF(AM749=0,AH749,IF(AM749&gt;=AH749,0,AH749-AM749))</f>
        <v/>
      </c>
      <c r="AO749" s="84">
        <f>IF(AM749&gt;=AH749,AI749,AI749*AM749/AH749)</f>
        <v/>
      </c>
      <c r="AP749">
        <f t="array" ref="AP749">INDEX($AU$8:$BB$25,6*(R749-1)+MATCH(AB749,$AS$8:$AS$13,0),MATCH(O749,$AU$7:$BB$7,0))</f>
        <v/>
      </c>
    </row>
    <row r="750" ht="14.25" customHeight="1">
      <c r="O750" s="43" t="inlineStr">
        <is>
          <t>Q2’27</t>
        </is>
      </c>
      <c r="P750" s="43" t="n">
        <v>3</v>
      </c>
      <c r="Q750" s="43" t="n">
        <v>7</v>
      </c>
      <c r="R750" s="43" t="n">
        <v>2</v>
      </c>
      <c r="S750" s="45" t="n">
        <v>3671.491764705882</v>
      </c>
      <c r="T750">
        <f>(S749+S750+S751)=S4</f>
        <v/>
      </c>
      <c r="X750" s="84">
        <f>MAX(S747-S750,0)</f>
        <v/>
      </c>
      <c r="Y750" s="83" t="n">
        <v>0</v>
      </c>
      <c r="AA750" s="84" t="n">
        <v>3</v>
      </c>
      <c r="AB750" s="84" t="inlineStr">
        <is>
          <t>C</t>
        </is>
      </c>
      <c r="AC750" s="84" t="inlineStr">
        <is>
          <t>C+</t>
        </is>
      </c>
      <c r="AD750" s="84" t="n">
        <v>24</v>
      </c>
      <c r="AE750" s="84" t="n">
        <v>21</v>
      </c>
      <c r="AF750" s="84" t="n">
        <v>0.8</v>
      </c>
      <c r="AG750" s="84" t="n">
        <v>0.86</v>
      </c>
      <c r="AH750" s="84" t="n">
        <v>0</v>
      </c>
      <c r="AI750" s="84" t="n">
        <v>0</v>
      </c>
      <c r="AJ750" s="84">
        <f>SUMIFS(AH$8:AH$1039,$O$8:$O$1039,O750,$AB$8:$AB$1039,AB750,$R$8:$R$1039,R750,$AA$8:$AA$1039,"&lt;="&amp;AA750)</f>
        <v/>
      </c>
      <c r="AK750" s="84">
        <f>D70</f>
        <v/>
      </c>
      <c r="AL750" s="84">
        <f>D76</f>
        <v/>
      </c>
      <c r="AM750" s="84">
        <f>MAX(0,AJ750-AK750)</f>
        <v/>
      </c>
      <c r="AN750" s="84">
        <f>IF(AM750=0,AH750,IF(AM750&gt;=AH750,0,AH750-AM750))</f>
        <v/>
      </c>
      <c r="AO750" s="84">
        <f>IF(AM750&gt;=AH750,AI750,AI750*AM750/AH750)</f>
        <v/>
      </c>
      <c r="AP750">
        <f t="array" ref="AP750">INDEX($AU$8:$BB$25,6*(R750-1)+MATCH(AB750,$AS$8:$AS$13,0),MATCH(O750,$AU$7:$BB$7,0))</f>
        <v/>
      </c>
    </row>
    <row r="751" ht="14.25" customHeight="1">
      <c r="O751" s="43" t="inlineStr">
        <is>
          <t>Q2’27</t>
        </is>
      </c>
      <c r="P751" s="43" t="n">
        <v>3</v>
      </c>
      <c r="Q751" s="43" t="n">
        <v>7</v>
      </c>
      <c r="R751" s="43" t="n">
        <v>3</v>
      </c>
      <c r="S751" s="45" t="n">
        <v>1108.790588235294</v>
      </c>
      <c r="T751">
        <f>(S749+S750+S751)=S4</f>
        <v/>
      </c>
      <c r="X751" s="84">
        <f>MAX(S748-S751,0)</f>
        <v/>
      </c>
      <c r="Y751" s="83" t="n">
        <v>0</v>
      </c>
      <c r="AA751" s="84" t="n">
        <v>3</v>
      </c>
      <c r="AB751" s="84" t="inlineStr">
        <is>
          <t>C</t>
        </is>
      </c>
      <c r="AC751" s="84" t="inlineStr">
        <is>
          <t>C+</t>
        </is>
      </c>
      <c r="AD751" s="84" t="n">
        <v>24</v>
      </c>
      <c r="AE751" s="84" t="n">
        <v>21</v>
      </c>
      <c r="AF751" s="84" t="n">
        <v>0.8</v>
      </c>
      <c r="AG751" s="84" t="n">
        <v>0.86</v>
      </c>
      <c r="AH751" s="84" t="n">
        <v>0</v>
      </c>
      <c r="AI751" s="84" t="n">
        <v>0</v>
      </c>
      <c r="AJ751" s="84">
        <f>SUMIFS(AH$8:AH$1039,$O$8:$O$1039,O751,$AB$8:$AB$1039,AB751,$R$8:$R$1039,R751,$AA$8:$AA$1039,"&lt;="&amp;AA751)</f>
        <v/>
      </c>
      <c r="AK751" s="84">
        <f>E70</f>
        <v/>
      </c>
      <c r="AL751" s="84">
        <f>E76</f>
        <v/>
      </c>
      <c r="AM751" s="84">
        <f>MAX(0,AJ751-AK751)</f>
        <v/>
      </c>
      <c r="AN751" s="84">
        <f>IF(AM751=0,AH751,IF(AM751&gt;=AH751,0,AH751-AM751))</f>
        <v/>
      </c>
      <c r="AO751" s="84">
        <f>IF(AM751&gt;=AH751,AI751,AI751*AM751/AH751)</f>
        <v/>
      </c>
      <c r="AP751">
        <f t="array" ref="AP751">INDEX($AU$8:$BB$25,6*(R751-1)+MATCH(AB751,$AS$8:$AS$13,0),MATCH(O751,$AU$7:$BB$7,0))</f>
        <v/>
      </c>
    </row>
    <row r="752" ht="14.25" customHeight="1">
      <c r="O752" s="43" t="inlineStr">
        <is>
          <t>Q2’27</t>
        </is>
      </c>
      <c r="P752" s="43" t="n">
        <v>3</v>
      </c>
      <c r="Q752" s="43" t="n">
        <v>8</v>
      </c>
      <c r="R752" s="43" t="n">
        <v>1</v>
      </c>
      <c r="S752" s="45" t="n">
        <v>2039.717647058824</v>
      </c>
      <c r="T752">
        <f>(S752+S753+S754)=S4</f>
        <v/>
      </c>
      <c r="X752" s="84">
        <f>MAX(S749-S752,0)</f>
        <v/>
      </c>
      <c r="Y752" s="83" t="n">
        <v>0</v>
      </c>
      <c r="AA752" s="84" t="n">
        <v>5</v>
      </c>
      <c r="AB752" s="84" t="inlineStr">
        <is>
          <t>C</t>
        </is>
      </c>
      <c r="AC752" s="84" t="inlineStr">
        <is>
          <t>C+</t>
        </is>
      </c>
      <c r="AD752" s="84" t="n">
        <v>19</v>
      </c>
      <c r="AE752" s="84" t="n">
        <v>13</v>
      </c>
      <c r="AF752" s="84" t="n">
        <v>0.8</v>
      </c>
      <c r="AG752" s="84" t="n">
        <v>0.86</v>
      </c>
      <c r="AH752" s="84" t="n">
        <v>0</v>
      </c>
      <c r="AI752" s="84" t="n">
        <v>0</v>
      </c>
      <c r="AJ752" s="84">
        <f>SUMIFS(AH$8:AH$1039,$O$8:$O$1039,O752,$AB$8:$AB$1039,AB752,$R$8:$R$1039,R752,$AA$8:$AA$1039,"&lt;="&amp;AA752)</f>
        <v/>
      </c>
      <c r="AK752" s="84">
        <f>C70</f>
        <v/>
      </c>
      <c r="AL752" s="84">
        <f>C76</f>
        <v/>
      </c>
      <c r="AM752" s="84">
        <f>MAX(0,AJ752-AK752)</f>
        <v/>
      </c>
      <c r="AN752" s="84">
        <f>IF(AM752=0,AH752,IF(AM752&gt;=AH752,0,AH752-AM752))</f>
        <v/>
      </c>
      <c r="AO752" s="84">
        <f>IF(AM752&gt;=AH752,AI752,AI752*AM752/AH752)</f>
        <v/>
      </c>
      <c r="AP752">
        <f t="array" ref="AP752">INDEX($AU$8:$BB$25,6*(R752-1)+MATCH(AB752,$AS$8:$AS$13,0),MATCH(O752,$AU$7:$BB$7,0))</f>
        <v/>
      </c>
    </row>
    <row r="753" ht="14.25" customHeight="1">
      <c r="O753" s="43" t="inlineStr">
        <is>
          <t>Q2’27</t>
        </is>
      </c>
      <c r="P753" s="43" t="n">
        <v>3</v>
      </c>
      <c r="Q753" s="43" t="n">
        <v>8</v>
      </c>
      <c r="R753" s="43" t="n">
        <v>2</v>
      </c>
      <c r="S753" s="45" t="n">
        <v>3671.491764705882</v>
      </c>
      <c r="T753">
        <f>(S752+S753+S754)=S4</f>
        <v/>
      </c>
      <c r="X753" s="84">
        <f>MAX(S750-S753,0)</f>
        <v/>
      </c>
      <c r="Y753" s="83" t="n">
        <v>0</v>
      </c>
      <c r="AA753" s="84" t="n">
        <v>5</v>
      </c>
      <c r="AB753" s="84" t="inlineStr">
        <is>
          <t>C</t>
        </is>
      </c>
      <c r="AC753" s="84" t="inlineStr">
        <is>
          <t>C+</t>
        </is>
      </c>
      <c r="AD753" s="84" t="n">
        <v>19</v>
      </c>
      <c r="AE753" s="84" t="n">
        <v>13</v>
      </c>
      <c r="AF753" s="84" t="n">
        <v>0.8</v>
      </c>
      <c r="AG753" s="84" t="n">
        <v>0.86</v>
      </c>
      <c r="AH753" s="84" t="n">
        <v>0</v>
      </c>
      <c r="AI753" s="84" t="n">
        <v>0</v>
      </c>
      <c r="AJ753" s="84">
        <f>SUMIFS(AH$8:AH$1039,$O$8:$O$1039,O753,$AB$8:$AB$1039,AB753,$R$8:$R$1039,R753,$AA$8:$AA$1039,"&lt;="&amp;AA753)</f>
        <v/>
      </c>
      <c r="AK753" s="84">
        <f>D70</f>
        <v/>
      </c>
      <c r="AL753" s="84">
        <f>D76</f>
        <v/>
      </c>
      <c r="AM753" s="84">
        <f>MAX(0,AJ753-AK753)</f>
        <v/>
      </c>
      <c r="AN753" s="84">
        <f>IF(AM753=0,AH753,IF(AM753&gt;=AH753,0,AH753-AM753))</f>
        <v/>
      </c>
      <c r="AO753" s="84">
        <f>IF(AM753&gt;=AH753,AI753,AI753*AM753/AH753)</f>
        <v/>
      </c>
      <c r="AP753">
        <f t="array" ref="AP753">INDEX($AU$8:$BB$25,6*(R753-1)+MATCH(AB753,$AS$8:$AS$13,0),MATCH(O753,$AU$7:$BB$7,0))</f>
        <v/>
      </c>
    </row>
    <row r="754" ht="14.25" customHeight="1">
      <c r="O754" s="43" t="inlineStr">
        <is>
          <t>Q2’27</t>
        </is>
      </c>
      <c r="P754" s="43" t="n">
        <v>3</v>
      </c>
      <c r="Q754" s="43" t="n">
        <v>8</v>
      </c>
      <c r="R754" s="43" t="n">
        <v>3</v>
      </c>
      <c r="S754" s="45" t="n">
        <v>1108.790588235294</v>
      </c>
      <c r="T754">
        <f>(S752+S753+S754)=S4</f>
        <v/>
      </c>
      <c r="X754" s="84">
        <f>MAX(S751-S754,0)</f>
        <v/>
      </c>
      <c r="Y754" s="83" t="n">
        <v>0</v>
      </c>
      <c r="AA754" s="84" t="n">
        <v>5</v>
      </c>
      <c r="AB754" s="84" t="inlineStr">
        <is>
          <t>C</t>
        </is>
      </c>
      <c r="AC754" s="84" t="inlineStr">
        <is>
          <t>C+</t>
        </is>
      </c>
      <c r="AD754" s="84" t="n">
        <v>19</v>
      </c>
      <c r="AE754" s="84" t="n">
        <v>13</v>
      </c>
      <c r="AF754" s="84" t="n">
        <v>0.8</v>
      </c>
      <c r="AG754" s="84" t="n">
        <v>0.86</v>
      </c>
      <c r="AH754" s="84" t="n">
        <v>0</v>
      </c>
      <c r="AI754" s="84" t="n">
        <v>0</v>
      </c>
      <c r="AJ754" s="84">
        <f>SUMIFS(AH$8:AH$1039,$O$8:$O$1039,O754,$AB$8:$AB$1039,AB754,$R$8:$R$1039,R754,$AA$8:$AA$1039,"&lt;="&amp;AA754)</f>
        <v/>
      </c>
      <c r="AK754" s="84">
        <f>E70</f>
        <v/>
      </c>
      <c r="AL754" s="84">
        <f>E76</f>
        <v/>
      </c>
      <c r="AM754" s="84">
        <f>MAX(0,AJ754-AK754)</f>
        <v/>
      </c>
      <c r="AN754" s="84">
        <f>IF(AM754=0,AH754,IF(AM754&gt;=AH754,0,AH754-AM754))</f>
        <v/>
      </c>
      <c r="AO754" s="84">
        <f>IF(AM754&gt;=AH754,AI754,AI754*AM754/AH754)</f>
        <v/>
      </c>
      <c r="AP754">
        <f t="array" ref="AP754">INDEX($AU$8:$BB$25,6*(R754-1)+MATCH(AB754,$AS$8:$AS$13,0),MATCH(O754,$AU$7:$BB$7,0))</f>
        <v/>
      </c>
    </row>
    <row r="755" ht="14.25" customHeight="1">
      <c r="O755" s="43" t="inlineStr">
        <is>
          <t>Q2’27</t>
        </is>
      </c>
      <c r="P755" s="43" t="n">
        <v>3</v>
      </c>
      <c r="Q755" s="43" t="n">
        <v>9</v>
      </c>
      <c r="R755" s="43" t="n">
        <v>1</v>
      </c>
      <c r="S755" s="45" t="n">
        <v>2039.717647058824</v>
      </c>
      <c r="T755">
        <f>(S755+S756+S757)=S4</f>
        <v/>
      </c>
      <c r="X755" s="84">
        <f>MAX(S752-S755,0)</f>
        <v/>
      </c>
      <c r="Y755" s="83" t="n">
        <v>0</v>
      </c>
      <c r="AA755" s="84" t="n">
        <v>3</v>
      </c>
      <c r="AB755" s="84" t="inlineStr">
        <is>
          <t>D</t>
        </is>
      </c>
      <c r="AC755" s="84" t="inlineStr">
        <is>
          <t>D+</t>
        </is>
      </c>
      <c r="AD755" s="84" t="n">
        <v>15</v>
      </c>
      <c r="AE755" s="84" t="n">
        <v>13</v>
      </c>
      <c r="AF755" s="84" t="n">
        <v>0.8</v>
      </c>
      <c r="AG755" s="84" t="n">
        <v>0.88</v>
      </c>
      <c r="AH755" s="84" t="n">
        <v>0</v>
      </c>
      <c r="AI755" s="84" t="n">
        <v>0</v>
      </c>
      <c r="AJ755" s="84">
        <f>SUMIFS(AH$8:AH$1039,$O$8:$O$1039,O755,$AB$8:$AB$1039,AB755,$R$8:$R$1039,R755,$AA$8:$AA$1039,"&lt;="&amp;AA755)</f>
        <v/>
      </c>
      <c r="AK755" s="84">
        <f>C71</f>
        <v/>
      </c>
      <c r="AL755" s="84">
        <f>C77</f>
        <v/>
      </c>
      <c r="AM755" s="84">
        <f>MAX(0,AJ755-AK755)</f>
        <v/>
      </c>
      <c r="AN755" s="84">
        <f>IF(AM755=0,AH755,IF(AM755&gt;=AH755,0,AH755-AM755))</f>
        <v/>
      </c>
      <c r="AO755" s="84">
        <f>IF(AM755&gt;=AH755,AI755,AI755*AM755/AH755)</f>
        <v/>
      </c>
      <c r="AP755">
        <f t="array" ref="AP755">INDEX($AU$8:$BB$25,6*(R755-1)+MATCH(AB755,$AS$8:$AS$13,0),MATCH(O755,$AU$7:$BB$7,0))</f>
        <v/>
      </c>
    </row>
    <row r="756" ht="14.25" customHeight="1">
      <c r="O756" s="43" t="inlineStr">
        <is>
          <t>Q2’27</t>
        </is>
      </c>
      <c r="P756" s="43" t="n">
        <v>3</v>
      </c>
      <c r="Q756" s="43" t="n">
        <v>9</v>
      </c>
      <c r="R756" s="43" t="n">
        <v>2</v>
      </c>
      <c r="S756" s="45" t="n">
        <v>3671.491764705882</v>
      </c>
      <c r="T756">
        <f>(S755+S756+S757)=S4</f>
        <v/>
      </c>
      <c r="X756" s="84">
        <f>MAX(S753-S756,0)</f>
        <v/>
      </c>
      <c r="Y756" s="83" t="n">
        <v>0</v>
      </c>
      <c r="AA756" s="84" t="n">
        <v>3</v>
      </c>
      <c r="AB756" s="84" t="inlineStr">
        <is>
          <t>D</t>
        </is>
      </c>
      <c r="AC756" s="84" t="inlineStr">
        <is>
          <t>D+</t>
        </is>
      </c>
      <c r="AD756" s="84" t="n">
        <v>15</v>
      </c>
      <c r="AE756" s="84" t="n">
        <v>13</v>
      </c>
      <c r="AF756" s="84" t="n">
        <v>0.8</v>
      </c>
      <c r="AG756" s="84" t="n">
        <v>0.88</v>
      </c>
      <c r="AH756" s="84" t="n">
        <v>0</v>
      </c>
      <c r="AI756" s="84" t="n">
        <v>0</v>
      </c>
      <c r="AJ756" s="84">
        <f>SUMIFS(AH$8:AH$1039,$O$8:$O$1039,O756,$AB$8:$AB$1039,AB756,$R$8:$R$1039,R756,$AA$8:$AA$1039,"&lt;="&amp;AA756)</f>
        <v/>
      </c>
      <c r="AK756" s="84">
        <f>D71</f>
        <v/>
      </c>
      <c r="AL756" s="84">
        <f>D77</f>
        <v/>
      </c>
      <c r="AM756" s="84">
        <f>MAX(0,AJ756-AK756)</f>
        <v/>
      </c>
      <c r="AN756" s="84">
        <f>IF(AM756=0,AH756,IF(AM756&gt;=AH756,0,AH756-AM756))</f>
        <v/>
      </c>
      <c r="AO756" s="84">
        <f>IF(AM756&gt;=AH756,AI756,AI756*AM756/AH756)</f>
        <v/>
      </c>
      <c r="AP756">
        <f t="array" ref="AP756">INDEX($AU$8:$BB$25,6*(R756-1)+MATCH(AB756,$AS$8:$AS$13,0),MATCH(O756,$AU$7:$BB$7,0))</f>
        <v/>
      </c>
    </row>
    <row r="757" ht="14.25" customHeight="1">
      <c r="O757" s="43" t="inlineStr">
        <is>
          <t>Q2’27</t>
        </is>
      </c>
      <c r="P757" s="43" t="n">
        <v>3</v>
      </c>
      <c r="Q757" s="43" t="n">
        <v>9</v>
      </c>
      <c r="R757" s="43" t="n">
        <v>3</v>
      </c>
      <c r="S757" s="45" t="n">
        <v>1108.790588235294</v>
      </c>
      <c r="T757">
        <f>(S755+S756+S757)=S4</f>
        <v/>
      </c>
      <c r="X757" s="84">
        <f>MAX(S754-S757,0)</f>
        <v/>
      </c>
      <c r="Y757" s="83" t="n">
        <v>0</v>
      </c>
      <c r="AA757" s="84" t="n">
        <v>3</v>
      </c>
      <c r="AB757" s="84" t="inlineStr">
        <is>
          <t>D</t>
        </is>
      </c>
      <c r="AC757" s="84" t="inlineStr">
        <is>
          <t>D+</t>
        </is>
      </c>
      <c r="AD757" s="84" t="n">
        <v>15</v>
      </c>
      <c r="AE757" s="84" t="n">
        <v>13</v>
      </c>
      <c r="AF757" s="84" t="n">
        <v>0.8</v>
      </c>
      <c r="AG757" s="84" t="n">
        <v>0.88</v>
      </c>
      <c r="AH757" s="84" t="n">
        <v>0</v>
      </c>
      <c r="AI757" s="84" t="n">
        <v>0</v>
      </c>
      <c r="AJ757" s="84">
        <f>SUMIFS(AH$8:AH$1039,$O$8:$O$1039,O757,$AB$8:$AB$1039,AB757,$R$8:$R$1039,R757,$AA$8:$AA$1039,"&lt;="&amp;AA757)</f>
        <v/>
      </c>
      <c r="AK757" s="84">
        <f>E71</f>
        <v/>
      </c>
      <c r="AL757" s="84">
        <f>E77</f>
        <v/>
      </c>
      <c r="AM757" s="84">
        <f>MAX(0,AJ757-AK757)</f>
        <v/>
      </c>
      <c r="AN757" s="84">
        <f>IF(AM757=0,AH757,IF(AM757&gt;=AH757,0,AH757-AM757))</f>
        <v/>
      </c>
      <c r="AO757" s="84">
        <f>IF(AM757&gt;=AH757,AI757,AI757*AM757/AH757)</f>
        <v/>
      </c>
      <c r="AP757">
        <f t="array" ref="AP757">INDEX($AU$8:$BB$25,6*(R757-1)+MATCH(AB757,$AS$8:$AS$13,0),MATCH(O757,$AU$7:$BB$7,0))</f>
        <v/>
      </c>
    </row>
    <row r="758" ht="14.25" customHeight="1">
      <c r="O758" s="43" t="inlineStr">
        <is>
          <t>Q2’27</t>
        </is>
      </c>
      <c r="P758" s="43" t="n">
        <v>3</v>
      </c>
      <c r="Q758" s="43" t="n">
        <v>10</v>
      </c>
      <c r="R758" s="43" t="n">
        <v>1</v>
      </c>
      <c r="S758" s="45" t="n">
        <v>2039.717647058824</v>
      </c>
      <c r="T758">
        <f>(S758+S759+S760)=S4</f>
        <v/>
      </c>
      <c r="X758" s="84">
        <f>MAX(S755-S758,0)</f>
        <v/>
      </c>
      <c r="Y758" s="83" t="n">
        <v>0</v>
      </c>
      <c r="AA758" s="84" t="n">
        <v>5</v>
      </c>
      <c r="AB758" s="84" t="inlineStr">
        <is>
          <t>D</t>
        </is>
      </c>
      <c r="AC758" s="84" t="inlineStr">
        <is>
          <t>D+</t>
        </is>
      </c>
      <c r="AD758" s="84" t="n">
        <v>24</v>
      </c>
      <c r="AE758" s="84" t="n">
        <v>20</v>
      </c>
      <c r="AF758" s="84" t="n">
        <v>0.8</v>
      </c>
      <c r="AG758" s="84" t="n">
        <v>0.88</v>
      </c>
      <c r="AH758" s="84" t="n">
        <v>0</v>
      </c>
      <c r="AI758" s="84" t="n">
        <v>0</v>
      </c>
      <c r="AJ758" s="84">
        <f>SUMIFS(AH$8:AH$1039,$O$8:$O$1039,O758,$AB$8:$AB$1039,AB758,$R$8:$R$1039,R758,$AA$8:$AA$1039,"&lt;="&amp;AA758)</f>
        <v/>
      </c>
      <c r="AK758" s="84">
        <f>C71</f>
        <v/>
      </c>
      <c r="AL758" s="84">
        <f>C77</f>
        <v/>
      </c>
      <c r="AM758" s="84">
        <f>MAX(0,AJ758-AK758)</f>
        <v/>
      </c>
      <c r="AN758" s="84">
        <f>IF(AM758=0,AH758,IF(AM758&gt;=AH758,0,AH758-AM758))</f>
        <v/>
      </c>
      <c r="AO758" s="84">
        <f>IF(AM758&gt;=AH758,AI758,AI758*AM758/AH758)</f>
        <v/>
      </c>
      <c r="AP758">
        <f t="array" ref="AP758">INDEX($AU$8:$BB$25,6*(R758-1)+MATCH(AB758,$AS$8:$AS$13,0),MATCH(O758,$AU$7:$BB$7,0))</f>
        <v/>
      </c>
    </row>
    <row r="759" ht="14.25" customHeight="1">
      <c r="O759" s="43" t="inlineStr">
        <is>
          <t>Q2’27</t>
        </is>
      </c>
      <c r="P759" s="43" t="n">
        <v>3</v>
      </c>
      <c r="Q759" s="43" t="n">
        <v>10</v>
      </c>
      <c r="R759" s="43" t="n">
        <v>2</v>
      </c>
      <c r="S759" s="45" t="n">
        <v>3671.491764705882</v>
      </c>
      <c r="T759">
        <f>(S758+S759+S760)=S4</f>
        <v/>
      </c>
      <c r="X759" s="84">
        <f>MAX(S756-S759,0)</f>
        <v/>
      </c>
      <c r="Y759" s="83" t="n">
        <v>0</v>
      </c>
      <c r="AA759" s="84" t="n">
        <v>5</v>
      </c>
      <c r="AB759" s="84" t="inlineStr">
        <is>
          <t>D</t>
        </is>
      </c>
      <c r="AC759" s="84" t="inlineStr">
        <is>
          <t>D+</t>
        </is>
      </c>
      <c r="AD759" s="84" t="n">
        <v>24</v>
      </c>
      <c r="AE759" s="84" t="n">
        <v>20</v>
      </c>
      <c r="AF759" s="84" t="n">
        <v>0.8</v>
      </c>
      <c r="AG759" s="84" t="n">
        <v>0.88</v>
      </c>
      <c r="AH759" s="84" t="n">
        <v>0</v>
      </c>
      <c r="AI759" s="84" t="n">
        <v>0</v>
      </c>
      <c r="AJ759" s="84">
        <f>SUMIFS(AH$8:AH$1039,$O$8:$O$1039,O759,$AB$8:$AB$1039,AB759,$R$8:$R$1039,R759,$AA$8:$AA$1039,"&lt;="&amp;AA759)</f>
        <v/>
      </c>
      <c r="AK759" s="84">
        <f>D71</f>
        <v/>
      </c>
      <c r="AL759" s="84">
        <f>D77</f>
        <v/>
      </c>
      <c r="AM759" s="84">
        <f>MAX(0,AJ759-AK759)</f>
        <v/>
      </c>
      <c r="AN759" s="84">
        <f>IF(AM759=0,AH759,IF(AM759&gt;=AH759,0,AH759-AM759))</f>
        <v/>
      </c>
      <c r="AO759" s="84">
        <f>IF(AM759&gt;=AH759,AI759,AI759*AM759/AH759)</f>
        <v/>
      </c>
      <c r="AP759">
        <f t="array" ref="AP759">INDEX($AU$8:$BB$25,6*(R759-1)+MATCH(AB759,$AS$8:$AS$13,0),MATCH(O759,$AU$7:$BB$7,0))</f>
        <v/>
      </c>
    </row>
    <row r="760" ht="14.25" customHeight="1">
      <c r="O760" s="43" t="inlineStr">
        <is>
          <t>Q2’27</t>
        </is>
      </c>
      <c r="P760" s="43" t="n">
        <v>3</v>
      </c>
      <c r="Q760" s="43" t="n">
        <v>10</v>
      </c>
      <c r="R760" s="43" t="n">
        <v>3</v>
      </c>
      <c r="S760" s="45" t="n">
        <v>1108.790588235294</v>
      </c>
      <c r="T760">
        <f>(S758+S759+S760)=S4</f>
        <v/>
      </c>
      <c r="X760" s="84">
        <f>MAX(S757-S760,0)</f>
        <v/>
      </c>
      <c r="Y760" s="83" t="n">
        <v>0</v>
      </c>
      <c r="AA760" s="84" t="n">
        <v>5</v>
      </c>
      <c r="AB760" s="84" t="inlineStr">
        <is>
          <t>D</t>
        </is>
      </c>
      <c r="AC760" s="84" t="inlineStr">
        <is>
          <t>D+</t>
        </is>
      </c>
      <c r="AD760" s="84" t="n">
        <v>24</v>
      </c>
      <c r="AE760" s="84" t="n">
        <v>20</v>
      </c>
      <c r="AF760" s="84" t="n">
        <v>0.8</v>
      </c>
      <c r="AG760" s="84" t="n">
        <v>0.88</v>
      </c>
      <c r="AH760" s="84" t="n">
        <v>0</v>
      </c>
      <c r="AI760" s="84" t="n">
        <v>0</v>
      </c>
      <c r="AJ760" s="84">
        <f>SUMIFS(AH$8:AH$1039,$O$8:$O$1039,O760,$AB$8:$AB$1039,AB760,$R$8:$R$1039,R760,$AA$8:$AA$1039,"&lt;="&amp;AA760)</f>
        <v/>
      </c>
      <c r="AK760" s="84">
        <f>E71</f>
        <v/>
      </c>
      <c r="AL760" s="84">
        <f>E77</f>
        <v/>
      </c>
      <c r="AM760" s="84">
        <f>MAX(0,AJ760-AK760)</f>
        <v/>
      </c>
      <c r="AN760" s="84">
        <f>IF(AM760=0,AH760,IF(AM760&gt;=AH760,0,AH760-AM760))</f>
        <v/>
      </c>
      <c r="AO760" s="84">
        <f>IF(AM760&gt;=AH760,AI760,AI760*AM760/AH760)</f>
        <v/>
      </c>
      <c r="AP760">
        <f t="array" ref="AP760">INDEX($AU$8:$BB$25,6*(R760-1)+MATCH(AB760,$AS$8:$AS$13,0),MATCH(O760,$AU$7:$BB$7,0))</f>
        <v/>
      </c>
    </row>
    <row r="761" ht="14.25" customHeight="1">
      <c r="O761" s="43" t="inlineStr">
        <is>
          <t>Q2’27</t>
        </is>
      </c>
      <c r="P761" s="43" t="n">
        <v>3</v>
      </c>
      <c r="Q761" s="43" t="n">
        <v>11</v>
      </c>
      <c r="R761" s="43" t="n">
        <v>1</v>
      </c>
      <c r="S761" s="45" t="n">
        <v>2039.717647058824</v>
      </c>
      <c r="T761">
        <f>(S761+S762+S763)=S4</f>
        <v/>
      </c>
      <c r="X761" s="84">
        <f>MAX(S758-S761,0)</f>
        <v/>
      </c>
      <c r="Y761" s="83" t="n">
        <v>0</v>
      </c>
      <c r="AA761" s="84" t="n">
        <v>3</v>
      </c>
      <c r="AB761" s="84" t="inlineStr">
        <is>
          <t>E</t>
        </is>
      </c>
      <c r="AC761" s="84" t="inlineStr">
        <is>
          <t>E+</t>
        </is>
      </c>
      <c r="AD761" s="84" t="n">
        <v>17</v>
      </c>
      <c r="AE761" s="84" t="n">
        <v>15</v>
      </c>
      <c r="AF761" s="84" t="n">
        <v>0.76</v>
      </c>
      <c r="AG761" s="84" t="n">
        <v>0.84</v>
      </c>
      <c r="AH761" s="84" t="n">
        <v>0</v>
      </c>
      <c r="AI761" s="84" t="n">
        <v>0</v>
      </c>
      <c r="AJ761" s="84">
        <f>SUMIFS(AH$8:AH$1039,$O$8:$O$1039,O761,$AB$8:$AB$1039,AB761,$R$8:$R$1039,R761,$AA$8:$AA$1039,"&lt;="&amp;AA761)</f>
        <v/>
      </c>
      <c r="AK761" s="84">
        <f>C72</f>
        <v/>
      </c>
      <c r="AL761" s="84">
        <f>C78</f>
        <v/>
      </c>
      <c r="AM761" s="84">
        <f>MAX(0,AJ761-AK761)</f>
        <v/>
      </c>
      <c r="AN761" s="84">
        <f>IF(AM761=0,AH761,IF(AM761&gt;=AH761,0,AH761-AM761))</f>
        <v/>
      </c>
      <c r="AO761" s="84">
        <f>IF(AM761&gt;=AH761,AI761,AI761*AM761/AH761)</f>
        <v/>
      </c>
      <c r="AP761">
        <f t="array" ref="AP761">INDEX($AU$8:$BB$25,6*(R761-1)+MATCH(AB761,$AS$8:$AS$13,0),MATCH(O761,$AU$7:$BB$7,0))</f>
        <v/>
      </c>
    </row>
    <row r="762" ht="14.25" customHeight="1">
      <c r="O762" s="43" t="inlineStr">
        <is>
          <t>Q2’27</t>
        </is>
      </c>
      <c r="P762" s="43" t="n">
        <v>3</v>
      </c>
      <c r="Q762" s="43" t="n">
        <v>11</v>
      </c>
      <c r="R762" s="43" t="n">
        <v>2</v>
      </c>
      <c r="S762" s="45" t="n">
        <v>3671.491764705882</v>
      </c>
      <c r="T762">
        <f>(S761+S762+S763)=S4</f>
        <v/>
      </c>
      <c r="X762" s="84">
        <f>MAX(S759-S762,0)</f>
        <v/>
      </c>
      <c r="Y762" s="83" t="n">
        <v>0</v>
      </c>
      <c r="AA762" s="84" t="n">
        <v>3</v>
      </c>
      <c r="AB762" s="84" t="inlineStr">
        <is>
          <t>E</t>
        </is>
      </c>
      <c r="AC762" s="84" t="inlineStr">
        <is>
          <t>E+</t>
        </is>
      </c>
      <c r="AD762" s="84" t="n">
        <v>17</v>
      </c>
      <c r="AE762" s="84" t="n">
        <v>15</v>
      </c>
      <c r="AF762" s="84" t="n">
        <v>0.76</v>
      </c>
      <c r="AG762" s="84" t="n">
        <v>0.84</v>
      </c>
      <c r="AH762" s="84" t="n">
        <v>0</v>
      </c>
      <c r="AI762" s="84" t="n">
        <v>0</v>
      </c>
      <c r="AJ762" s="84">
        <f>SUMIFS(AH$8:AH$1039,$O$8:$O$1039,O762,$AB$8:$AB$1039,AB762,$R$8:$R$1039,R762,$AA$8:$AA$1039,"&lt;="&amp;AA762)</f>
        <v/>
      </c>
      <c r="AK762" s="84">
        <f>D72</f>
        <v/>
      </c>
      <c r="AL762" s="84">
        <f>D78</f>
        <v/>
      </c>
      <c r="AM762" s="84">
        <f>MAX(0,AJ762-AK762)</f>
        <v/>
      </c>
      <c r="AN762" s="84">
        <f>IF(AM762=0,AH762,IF(AM762&gt;=AH762,0,AH762-AM762))</f>
        <v/>
      </c>
      <c r="AO762" s="84">
        <f>IF(AM762&gt;=AH762,AI762,AI762*AM762/AH762)</f>
        <v/>
      </c>
      <c r="AP762">
        <f t="array" ref="AP762">INDEX($AU$8:$BB$25,6*(R762-1)+MATCH(AB762,$AS$8:$AS$13,0),MATCH(O762,$AU$7:$BB$7,0))</f>
        <v/>
      </c>
    </row>
    <row r="763" ht="14.25" customHeight="1">
      <c r="O763" s="43" t="inlineStr">
        <is>
          <t>Q2’27</t>
        </is>
      </c>
      <c r="P763" s="43" t="n">
        <v>3</v>
      </c>
      <c r="Q763" s="43" t="n">
        <v>11</v>
      </c>
      <c r="R763" s="43" t="n">
        <v>3</v>
      </c>
      <c r="S763" s="45" t="n">
        <v>1108.790588235294</v>
      </c>
      <c r="T763">
        <f>(S761+S762+S763)=S4</f>
        <v/>
      </c>
      <c r="X763" s="84">
        <f>MAX(S760-S763,0)</f>
        <v/>
      </c>
      <c r="Y763" s="83" t="n">
        <v>0</v>
      </c>
      <c r="AA763" s="84" t="n">
        <v>3</v>
      </c>
      <c r="AB763" s="84" t="inlineStr">
        <is>
          <t>E</t>
        </is>
      </c>
      <c r="AC763" s="84" t="inlineStr">
        <is>
          <t>E+</t>
        </is>
      </c>
      <c r="AD763" s="84" t="n">
        <v>17</v>
      </c>
      <c r="AE763" s="84" t="n">
        <v>15</v>
      </c>
      <c r="AF763" s="84" t="n">
        <v>0.76</v>
      </c>
      <c r="AG763" s="84" t="n">
        <v>0.84</v>
      </c>
      <c r="AH763" s="84" t="n">
        <v>0</v>
      </c>
      <c r="AI763" s="84" t="n">
        <v>0</v>
      </c>
      <c r="AJ763" s="84">
        <f>SUMIFS(AH$8:AH$1039,$O$8:$O$1039,O763,$AB$8:$AB$1039,AB763,$R$8:$R$1039,R763,$AA$8:$AA$1039,"&lt;="&amp;AA763)</f>
        <v/>
      </c>
      <c r="AK763" s="84">
        <f>E72</f>
        <v/>
      </c>
      <c r="AL763" s="84">
        <f>E78</f>
        <v/>
      </c>
      <c r="AM763" s="84">
        <f>MAX(0,AJ763-AK763)</f>
        <v/>
      </c>
      <c r="AN763" s="84">
        <f>IF(AM763=0,AH763,IF(AM763&gt;=AH763,0,AH763-AM763))</f>
        <v/>
      </c>
      <c r="AO763" s="84">
        <f>IF(AM763&gt;=AH763,AI763,AI763*AM763/AH763)</f>
        <v/>
      </c>
      <c r="AP763">
        <f t="array" ref="AP763">INDEX($AU$8:$BB$25,6*(R763-1)+MATCH(AB763,$AS$8:$AS$13,0),MATCH(O763,$AU$7:$BB$7,0))</f>
        <v/>
      </c>
    </row>
    <row r="764" ht="14.25" customHeight="1">
      <c r="O764" s="43" t="inlineStr">
        <is>
          <t>Q2’27</t>
        </is>
      </c>
      <c r="P764" s="43" t="n">
        <v>3</v>
      </c>
      <c r="Q764" s="43" t="n">
        <v>12</v>
      </c>
      <c r="R764" s="43" t="n">
        <v>1</v>
      </c>
      <c r="S764" s="45" t="n">
        <v>2039.717647058824</v>
      </c>
      <c r="T764">
        <f>(S764+S765+S766)=S4</f>
        <v/>
      </c>
      <c r="X764" s="84">
        <f>MAX(S761-S764,0)</f>
        <v/>
      </c>
      <c r="Y764" s="83" t="n">
        <v>0</v>
      </c>
      <c r="AA764" s="84" t="n">
        <v>10</v>
      </c>
      <c r="AB764" s="84" t="inlineStr">
        <is>
          <t>E</t>
        </is>
      </c>
      <c r="AC764" s="84" t="inlineStr">
        <is>
          <t>E+</t>
        </is>
      </c>
      <c r="AD764" s="84" t="n">
        <v>18</v>
      </c>
      <c r="AE764" s="84" t="n">
        <v>13</v>
      </c>
      <c r="AF764" s="84" t="n">
        <v>0.76</v>
      </c>
      <c r="AG764" s="84" t="n">
        <v>0.84</v>
      </c>
      <c r="AH764" s="84" t="n">
        <v>0</v>
      </c>
      <c r="AI764" s="84" t="n">
        <v>0</v>
      </c>
      <c r="AJ764" s="84">
        <f>SUMIFS(AH$8:AH$1039,$O$8:$O$1039,O764,$AB$8:$AB$1039,AB764,$R$8:$R$1039,R764,$AA$8:$AA$1039,"&lt;="&amp;AA764)</f>
        <v/>
      </c>
      <c r="AK764" s="84">
        <f>C72</f>
        <v/>
      </c>
      <c r="AL764" s="84">
        <f>C78</f>
        <v/>
      </c>
      <c r="AM764" s="84">
        <f>MAX(0,AJ764-AK764)</f>
        <v/>
      </c>
      <c r="AN764" s="84">
        <f>IF(AM764=0,AH764,IF(AM764&gt;=AH764,0,AH764-AM764))</f>
        <v/>
      </c>
      <c r="AO764" s="84">
        <f>IF(AM764&gt;=AH764,AI764,AI764*AM764/AH764)</f>
        <v/>
      </c>
      <c r="AP764">
        <f t="array" ref="AP764">INDEX($AU$8:$BB$25,6*(R764-1)+MATCH(AB764,$AS$8:$AS$13,0),MATCH(O764,$AU$7:$BB$7,0))</f>
        <v/>
      </c>
    </row>
    <row r="765" ht="14.25" customHeight="1">
      <c r="O765" s="43" t="inlineStr">
        <is>
          <t>Q2’27</t>
        </is>
      </c>
      <c r="P765" s="43" t="n">
        <v>3</v>
      </c>
      <c r="Q765" s="43" t="n">
        <v>12</v>
      </c>
      <c r="R765" s="43" t="n">
        <v>2</v>
      </c>
      <c r="S765" s="45" t="n">
        <v>3671.491764705882</v>
      </c>
      <c r="T765">
        <f>(S764+S765+S766)=S4</f>
        <v/>
      </c>
      <c r="X765" s="84">
        <f>MAX(S762-S765,0)</f>
        <v/>
      </c>
      <c r="Y765" s="83" t="n">
        <v>0</v>
      </c>
      <c r="AA765" s="84" t="n">
        <v>10</v>
      </c>
      <c r="AB765" s="84" t="inlineStr">
        <is>
          <t>E</t>
        </is>
      </c>
      <c r="AC765" s="84" t="inlineStr">
        <is>
          <t>E+</t>
        </is>
      </c>
      <c r="AD765" s="84" t="n">
        <v>18</v>
      </c>
      <c r="AE765" s="84" t="n">
        <v>13</v>
      </c>
      <c r="AF765" s="84" t="n">
        <v>0.76</v>
      </c>
      <c r="AG765" s="84" t="n">
        <v>0.84</v>
      </c>
      <c r="AH765" s="84" t="n">
        <v>0</v>
      </c>
      <c r="AI765" s="84" t="n">
        <v>0</v>
      </c>
      <c r="AJ765" s="84">
        <f>SUMIFS(AH$8:AH$1039,$O$8:$O$1039,O765,$AB$8:$AB$1039,AB765,$R$8:$R$1039,R765,$AA$8:$AA$1039,"&lt;="&amp;AA765)</f>
        <v/>
      </c>
      <c r="AK765" s="84">
        <f>D72</f>
        <v/>
      </c>
      <c r="AL765" s="84">
        <f>D78</f>
        <v/>
      </c>
      <c r="AM765" s="84">
        <f>MAX(0,AJ765-AK765)</f>
        <v/>
      </c>
      <c r="AN765" s="84">
        <f>IF(AM765=0,AH765,IF(AM765&gt;=AH765,0,AH765-AM765))</f>
        <v/>
      </c>
      <c r="AO765" s="84">
        <f>IF(AM765&gt;=AH765,AI765,AI765*AM765/AH765)</f>
        <v/>
      </c>
      <c r="AP765">
        <f t="array" ref="AP765">INDEX($AU$8:$BB$25,6*(R765-1)+MATCH(AB765,$AS$8:$AS$13,0),MATCH(O765,$AU$7:$BB$7,0))</f>
        <v/>
      </c>
    </row>
    <row r="766" ht="14.25" customHeight="1">
      <c r="O766" s="43" t="inlineStr">
        <is>
          <t>Q2’27</t>
        </is>
      </c>
      <c r="P766" s="43" t="n">
        <v>3</v>
      </c>
      <c r="Q766" s="43" t="n">
        <v>12</v>
      </c>
      <c r="R766" s="43" t="n">
        <v>3</v>
      </c>
      <c r="S766" s="45" t="n">
        <v>1108.790588235294</v>
      </c>
      <c r="T766">
        <f>(S764+S765+S766)=S4</f>
        <v/>
      </c>
      <c r="X766" s="84">
        <f>MAX(S763-S766,0)</f>
        <v/>
      </c>
      <c r="Y766" s="83" t="n">
        <v>0</v>
      </c>
      <c r="AA766" s="84" t="n">
        <v>10</v>
      </c>
      <c r="AB766" s="84" t="inlineStr">
        <is>
          <t>E</t>
        </is>
      </c>
      <c r="AC766" s="84" t="inlineStr">
        <is>
          <t>E+</t>
        </is>
      </c>
      <c r="AD766" s="84" t="n">
        <v>18</v>
      </c>
      <c r="AE766" s="84" t="n">
        <v>13</v>
      </c>
      <c r="AF766" s="84" t="n">
        <v>0.76</v>
      </c>
      <c r="AG766" s="84" t="n">
        <v>0.84</v>
      </c>
      <c r="AH766" s="84" t="n">
        <v>0</v>
      </c>
      <c r="AI766" s="84" t="n">
        <v>0</v>
      </c>
      <c r="AJ766" s="84">
        <f>SUMIFS(AH$8:AH$1039,$O$8:$O$1039,O766,$AB$8:$AB$1039,AB766,$R$8:$R$1039,R766,$AA$8:$AA$1039,"&lt;="&amp;AA766)</f>
        <v/>
      </c>
      <c r="AK766" s="84">
        <f>E72</f>
        <v/>
      </c>
      <c r="AL766" s="84">
        <f>E78</f>
        <v/>
      </c>
      <c r="AM766" s="84">
        <f>MAX(0,AJ766-AK766)</f>
        <v/>
      </c>
      <c r="AN766" s="84">
        <f>IF(AM766=0,AH766,IF(AM766&gt;=AH766,0,AH766-AM766))</f>
        <v/>
      </c>
      <c r="AO766" s="84">
        <f>IF(AM766&gt;=AH766,AI766,AI766*AM766/AH766)</f>
        <v/>
      </c>
      <c r="AP766">
        <f t="array" ref="AP766">INDEX($AU$8:$BB$25,6*(R766-1)+MATCH(AB766,$AS$8:$AS$13,0),MATCH(O766,$AU$7:$BB$7,0))</f>
        <v/>
      </c>
    </row>
    <row r="767" ht="14.25" customHeight="1">
      <c r="O767" s="43" t="inlineStr">
        <is>
          <t>Q2’27</t>
        </is>
      </c>
      <c r="P767" s="43" t="n">
        <v>3</v>
      </c>
      <c r="Q767" s="43" t="n">
        <v>13</v>
      </c>
      <c r="R767" s="43" t="n">
        <v>1</v>
      </c>
      <c r="S767" s="45" t="n">
        <v>2039.717647058824</v>
      </c>
      <c r="T767">
        <f>(S767+S768+S769)=S4</f>
        <v/>
      </c>
      <c r="X767" s="84">
        <f>MAX(S764-S767,0)</f>
        <v/>
      </c>
      <c r="Y767" s="83" t="n">
        <v>0</v>
      </c>
      <c r="AA767" s="84" t="n">
        <v>2</v>
      </c>
      <c r="AB767" s="84" t="inlineStr">
        <is>
          <t>F</t>
        </is>
      </c>
      <c r="AC767" s="84" t="inlineStr">
        <is>
          <t>F+</t>
        </is>
      </c>
      <c r="AD767" s="84" t="n">
        <v>20</v>
      </c>
      <c r="AE767" s="84" t="n">
        <v>18</v>
      </c>
      <c r="AF767" s="84" t="n">
        <v>0.8</v>
      </c>
      <c r="AG767" s="84" t="n">
        <v>0.9</v>
      </c>
      <c r="AH767" s="84" t="n">
        <v>0</v>
      </c>
      <c r="AI767" s="84" t="n">
        <v>0</v>
      </c>
      <c r="AJ767" s="84">
        <f>SUMIFS(AH$8:AH$1039,$O$8:$O$1039,O767,$AB$8:$AB$1039,AB767,$R$8:$R$1039,R767,$AA$8:$AA$1039,"&lt;="&amp;AA767)</f>
        <v/>
      </c>
      <c r="AK767" s="84">
        <f>C73</f>
        <v/>
      </c>
      <c r="AL767" s="84">
        <f>C79</f>
        <v/>
      </c>
      <c r="AM767" s="84">
        <f>MAX(0,AJ767-AK767)</f>
        <v/>
      </c>
      <c r="AN767" s="84">
        <f>IF(AM767=0,AH767,IF(AM767&gt;=AH767,0,AH767-AM767))</f>
        <v/>
      </c>
      <c r="AO767" s="84">
        <f>IF(AM767&gt;=AH767,AI767,AI767*AM767/AH767)</f>
        <v/>
      </c>
      <c r="AP767">
        <f t="array" ref="AP767">INDEX($AU$8:$BB$25,6*(R767-1)+MATCH(AB767,$AS$8:$AS$13,0),MATCH(O767,$AU$7:$BB$7,0))</f>
        <v/>
      </c>
    </row>
    <row r="768" ht="14.25" customHeight="1">
      <c r="O768" s="43" t="inlineStr">
        <is>
          <t>Q2’27</t>
        </is>
      </c>
      <c r="P768" s="43" t="n">
        <v>3</v>
      </c>
      <c r="Q768" s="43" t="n">
        <v>13</v>
      </c>
      <c r="R768" s="43" t="n">
        <v>2</v>
      </c>
      <c r="S768" s="45" t="n">
        <v>3671.491764705882</v>
      </c>
      <c r="T768">
        <f>(S767+S768+S769)=S4</f>
        <v/>
      </c>
      <c r="X768" s="84">
        <f>MAX(S765-S768,0)</f>
        <v/>
      </c>
      <c r="Y768" s="83" t="n">
        <v>0</v>
      </c>
      <c r="AA768" s="84" t="n">
        <v>2</v>
      </c>
      <c r="AB768" s="84" t="inlineStr">
        <is>
          <t>F</t>
        </is>
      </c>
      <c r="AC768" s="84" t="inlineStr">
        <is>
          <t>F+</t>
        </is>
      </c>
      <c r="AD768" s="84" t="n">
        <v>20</v>
      </c>
      <c r="AE768" s="84" t="n">
        <v>18</v>
      </c>
      <c r="AF768" s="84" t="n">
        <v>0.8</v>
      </c>
      <c r="AG768" s="84" t="n">
        <v>0.9</v>
      </c>
      <c r="AH768" s="84" t="n">
        <v>0</v>
      </c>
      <c r="AI768" s="84" t="n">
        <v>0</v>
      </c>
      <c r="AJ768" s="84">
        <f>SUMIFS(AH$8:AH$1039,$O$8:$O$1039,O768,$AB$8:$AB$1039,AB768,$R$8:$R$1039,R768,$AA$8:$AA$1039,"&lt;="&amp;AA768)</f>
        <v/>
      </c>
      <c r="AK768" s="84">
        <f>D73</f>
        <v/>
      </c>
      <c r="AL768" s="84">
        <f>D79</f>
        <v/>
      </c>
      <c r="AM768" s="84">
        <f>MAX(0,AJ768-AK768)</f>
        <v/>
      </c>
      <c r="AN768" s="84">
        <f>IF(AM768=0,AH768,IF(AM768&gt;=AH768,0,AH768-AM768))</f>
        <v/>
      </c>
      <c r="AO768" s="84">
        <f>IF(AM768&gt;=AH768,AI768,AI768*AM768/AH768)</f>
        <v/>
      </c>
      <c r="AP768">
        <f t="array" ref="AP768">INDEX($AU$8:$BB$25,6*(R768-1)+MATCH(AB768,$AS$8:$AS$13,0),MATCH(O768,$AU$7:$BB$7,0))</f>
        <v/>
      </c>
    </row>
    <row r="769" ht="14.25" customHeight="1">
      <c r="O769" s="43" t="inlineStr">
        <is>
          <t>Q2’27</t>
        </is>
      </c>
      <c r="P769" s="43" t="n">
        <v>3</v>
      </c>
      <c r="Q769" s="43" t="n">
        <v>13</v>
      </c>
      <c r="R769" s="43" t="n">
        <v>3</v>
      </c>
      <c r="S769" s="45" t="n">
        <v>1108.790588235294</v>
      </c>
      <c r="T769">
        <f>(S767+S768+S769)=S4</f>
        <v/>
      </c>
      <c r="X769" s="84">
        <f>MAX(S766-S769,0)</f>
        <v/>
      </c>
      <c r="Y769" s="83" t="n">
        <v>0</v>
      </c>
      <c r="AA769" s="84" t="n">
        <v>2</v>
      </c>
      <c r="AB769" s="84" t="inlineStr">
        <is>
          <t>F</t>
        </is>
      </c>
      <c r="AC769" s="84" t="inlineStr">
        <is>
          <t>F+</t>
        </is>
      </c>
      <c r="AD769" s="84" t="n">
        <v>20</v>
      </c>
      <c r="AE769" s="84" t="n">
        <v>18</v>
      </c>
      <c r="AF769" s="84" t="n">
        <v>0.8</v>
      </c>
      <c r="AG769" s="84" t="n">
        <v>0.9</v>
      </c>
      <c r="AH769" s="84" t="n">
        <v>0</v>
      </c>
      <c r="AI769" s="84" t="n">
        <v>0</v>
      </c>
      <c r="AJ769" s="84">
        <f>SUMIFS(AH$8:AH$1039,$O$8:$O$1039,O769,$AB$8:$AB$1039,AB769,$R$8:$R$1039,R769,$AA$8:$AA$1039,"&lt;="&amp;AA769)</f>
        <v/>
      </c>
      <c r="AK769" s="84">
        <f>E73</f>
        <v/>
      </c>
      <c r="AL769" s="84">
        <f>E79</f>
        <v/>
      </c>
      <c r="AM769" s="84">
        <f>MAX(0,AJ769-AK769)</f>
        <v/>
      </c>
      <c r="AN769" s="84">
        <f>IF(AM769=0,AH769,IF(AM769&gt;=AH769,0,AH769-AM769))</f>
        <v/>
      </c>
      <c r="AO769" s="84">
        <f>IF(AM769&gt;=AH769,AI769,AI769*AM769/AH769)</f>
        <v/>
      </c>
      <c r="AP769">
        <f t="array" ref="AP769">INDEX($AU$8:$BB$25,6*(R769-1)+MATCH(AB769,$AS$8:$AS$13,0),MATCH(O769,$AU$7:$BB$7,0))</f>
        <v/>
      </c>
    </row>
    <row r="770" ht="14.25" customHeight="1">
      <c r="O770" s="43" t="inlineStr">
        <is>
          <t>Q2’27</t>
        </is>
      </c>
      <c r="P770" s="43" t="n">
        <v>3</v>
      </c>
      <c r="Q770" s="43" t="n">
        <v>14</v>
      </c>
      <c r="R770" s="43" t="n">
        <v>1</v>
      </c>
      <c r="S770" s="45" t="n">
        <v>2039.717647058824</v>
      </c>
      <c r="T770">
        <f>(S770+S771+S772)=S4</f>
        <v/>
      </c>
      <c r="X770" s="84">
        <f>MAX(S767-S770,0)</f>
        <v/>
      </c>
      <c r="Y770" s="83" t="n">
        <v>0</v>
      </c>
      <c r="AA770" s="84" t="n">
        <v>2</v>
      </c>
      <c r="AB770" s="84" t="inlineStr">
        <is>
          <t>C</t>
        </is>
      </c>
      <c r="AC770" s="84" t="inlineStr">
        <is>
          <t>C+</t>
        </is>
      </c>
      <c r="AD770" s="84" t="n">
        <v>12</v>
      </c>
      <c r="AE770" s="84" t="n">
        <v>11</v>
      </c>
      <c r="AF770" s="84" t="n">
        <v>0.8</v>
      </c>
      <c r="AG770" s="84" t="n">
        <v>0.86</v>
      </c>
      <c r="AH770" s="84" t="n">
        <v>0</v>
      </c>
      <c r="AI770" s="84" t="n">
        <v>0</v>
      </c>
      <c r="AJ770" s="84">
        <f>SUMIFS(AH$8:AH$1039,$O$8:$O$1039,O770,$AB$8:$AB$1039,AB770,$R$8:$R$1039,R770,$AA$8:$AA$1039,"&lt;="&amp;AA770)</f>
        <v/>
      </c>
      <c r="AK770" s="84">
        <f>C70</f>
        <v/>
      </c>
      <c r="AL770" s="84">
        <f>C76</f>
        <v/>
      </c>
      <c r="AM770" s="84">
        <f>MAX(0,AJ770-AK770)</f>
        <v/>
      </c>
      <c r="AN770" s="84">
        <f>IF(AM770=0,AH770,IF(AM770&gt;=AH770,0,AH770-AM770))</f>
        <v/>
      </c>
      <c r="AO770" s="84">
        <f>IF(AM770&gt;=AH770,AI770,AI770*AM770/AH770)</f>
        <v/>
      </c>
      <c r="AP770">
        <f t="array" ref="AP770">INDEX($AU$8:$BB$25,6*(R770-1)+MATCH(AB770,$AS$8:$AS$13,0),MATCH(O770,$AU$7:$BB$7,0))</f>
        <v/>
      </c>
    </row>
    <row r="771" ht="14.25" customHeight="1">
      <c r="O771" s="43" t="inlineStr">
        <is>
          <t>Q2’27</t>
        </is>
      </c>
      <c r="P771" s="43" t="n">
        <v>3</v>
      </c>
      <c r="Q771" s="43" t="n">
        <v>14</v>
      </c>
      <c r="R771" s="43" t="n">
        <v>2</v>
      </c>
      <c r="S771" s="45" t="n">
        <v>3671.491764705882</v>
      </c>
      <c r="T771">
        <f>(S770+S771+S772)=S4</f>
        <v/>
      </c>
      <c r="X771" s="84">
        <f>MAX(S768-S771,0)</f>
        <v/>
      </c>
      <c r="Y771" s="83" t="n">
        <v>0</v>
      </c>
      <c r="AA771" s="84" t="n">
        <v>2</v>
      </c>
      <c r="AB771" s="84" t="inlineStr">
        <is>
          <t>C</t>
        </is>
      </c>
      <c r="AC771" s="84" t="inlineStr">
        <is>
          <t>C+</t>
        </is>
      </c>
      <c r="AD771" s="84" t="n">
        <v>12</v>
      </c>
      <c r="AE771" s="84" t="n">
        <v>11</v>
      </c>
      <c r="AF771" s="84" t="n">
        <v>0.8</v>
      </c>
      <c r="AG771" s="84" t="n">
        <v>0.86</v>
      </c>
      <c r="AH771" s="84" t="n">
        <v>0</v>
      </c>
      <c r="AI771" s="84" t="n">
        <v>0</v>
      </c>
      <c r="AJ771" s="84">
        <f>SUMIFS(AH$8:AH$1039,$O$8:$O$1039,O771,$AB$8:$AB$1039,AB771,$R$8:$R$1039,R771,$AA$8:$AA$1039,"&lt;="&amp;AA771)</f>
        <v/>
      </c>
      <c r="AK771" s="84">
        <f>D70</f>
        <v/>
      </c>
      <c r="AL771" s="84">
        <f>D76</f>
        <v/>
      </c>
      <c r="AM771" s="84">
        <f>MAX(0,AJ771-AK771)</f>
        <v/>
      </c>
      <c r="AN771" s="84">
        <f>IF(AM771=0,AH771,IF(AM771&gt;=AH771,0,AH771-AM771))</f>
        <v/>
      </c>
      <c r="AO771" s="84">
        <f>IF(AM771&gt;=AH771,AI771,AI771*AM771/AH771)</f>
        <v/>
      </c>
      <c r="AP771">
        <f t="array" ref="AP771">INDEX($AU$8:$BB$25,6*(R771-1)+MATCH(AB771,$AS$8:$AS$13,0),MATCH(O771,$AU$7:$BB$7,0))</f>
        <v/>
      </c>
    </row>
    <row r="772" ht="14.25" customHeight="1">
      <c r="O772" s="43" t="inlineStr">
        <is>
          <t>Q2’27</t>
        </is>
      </c>
      <c r="P772" s="43" t="n">
        <v>3</v>
      </c>
      <c r="Q772" s="43" t="n">
        <v>14</v>
      </c>
      <c r="R772" s="43" t="n">
        <v>3</v>
      </c>
      <c r="S772" s="45" t="n">
        <v>1108.790588235294</v>
      </c>
      <c r="T772">
        <f>(S770+S771+S772)=S4</f>
        <v/>
      </c>
      <c r="X772" s="84">
        <f>MAX(S769-S772,0)</f>
        <v/>
      </c>
      <c r="Y772" s="83" t="n">
        <v>0</v>
      </c>
      <c r="AA772" s="84" t="n">
        <v>2</v>
      </c>
      <c r="AB772" s="84" t="inlineStr">
        <is>
          <t>C</t>
        </is>
      </c>
      <c r="AC772" s="84" t="inlineStr">
        <is>
          <t>C+</t>
        </is>
      </c>
      <c r="AD772" s="84" t="n">
        <v>12</v>
      </c>
      <c r="AE772" s="84" t="n">
        <v>11</v>
      </c>
      <c r="AF772" s="84" t="n">
        <v>0.8</v>
      </c>
      <c r="AG772" s="84" t="n">
        <v>0.86</v>
      </c>
      <c r="AH772" s="84" t="n">
        <v>0</v>
      </c>
      <c r="AI772" s="84" t="n">
        <v>0</v>
      </c>
      <c r="AJ772" s="84">
        <f>SUMIFS(AH$8:AH$1039,$O$8:$O$1039,O772,$AB$8:$AB$1039,AB772,$R$8:$R$1039,R772,$AA$8:$AA$1039,"&lt;="&amp;AA772)</f>
        <v/>
      </c>
      <c r="AK772" s="84">
        <f>E70</f>
        <v/>
      </c>
      <c r="AL772" s="84">
        <f>E76</f>
        <v/>
      </c>
      <c r="AM772" s="84">
        <f>MAX(0,AJ772-AK772)</f>
        <v/>
      </c>
      <c r="AN772" s="84">
        <f>IF(AM772=0,AH772,IF(AM772&gt;=AH772,0,AH772-AM772))</f>
        <v/>
      </c>
      <c r="AO772" s="84">
        <f>IF(AM772&gt;=AH772,AI772,AI772*AM772/AH772)</f>
        <v/>
      </c>
      <c r="AP772">
        <f t="array" ref="AP772">INDEX($AU$8:$BB$25,6*(R772-1)+MATCH(AB772,$AS$8:$AS$13,0),MATCH(O772,$AU$7:$BB$7,0))</f>
        <v/>
      </c>
    </row>
    <row r="773" ht="14.25" customHeight="1">
      <c r="O773" s="43" t="inlineStr">
        <is>
          <t>Q2’27</t>
        </is>
      </c>
      <c r="P773" s="43" t="n">
        <v>3</v>
      </c>
      <c r="Q773" s="43" t="n">
        <v>15</v>
      </c>
      <c r="R773" s="43" t="n">
        <v>1</v>
      </c>
      <c r="S773" s="45" t="n">
        <v>2039.717647058824</v>
      </c>
      <c r="T773">
        <f>(S773+S774+S775)=S4</f>
        <v/>
      </c>
      <c r="X773" s="84">
        <f>MAX(S770-S773,0)</f>
        <v/>
      </c>
      <c r="Y773" s="83" t="n">
        <v>0</v>
      </c>
      <c r="AA773" s="84" t="n">
        <v>2</v>
      </c>
      <c r="AB773" s="84" t="inlineStr">
        <is>
          <t>D</t>
        </is>
      </c>
      <c r="AC773" s="84" t="inlineStr">
        <is>
          <t>D+</t>
        </is>
      </c>
      <c r="AD773" s="84" t="n">
        <v>11</v>
      </c>
      <c r="AE773" s="84" t="n">
        <v>10</v>
      </c>
      <c r="AF773" s="84" t="n">
        <v>0.8</v>
      </c>
      <c r="AG773" s="84" t="n">
        <v>0.88</v>
      </c>
      <c r="AH773" s="84" t="n">
        <v>0</v>
      </c>
      <c r="AI773" s="84" t="n">
        <v>0</v>
      </c>
      <c r="AJ773" s="84">
        <f>SUMIFS(AH$8:AH$1039,$O$8:$O$1039,O773,$AB$8:$AB$1039,AB773,$R$8:$R$1039,R773,$AA$8:$AA$1039,"&lt;="&amp;AA773)</f>
        <v/>
      </c>
      <c r="AK773" s="84">
        <f>C71</f>
        <v/>
      </c>
      <c r="AL773" s="84">
        <f>C77</f>
        <v/>
      </c>
      <c r="AM773" s="84">
        <f>MAX(0,AJ773-AK773)</f>
        <v/>
      </c>
      <c r="AN773" s="84">
        <f>IF(AM773=0,AH773,IF(AM773&gt;=AH773,0,AH773-AM773))</f>
        <v/>
      </c>
      <c r="AO773" s="84">
        <f>IF(AM773&gt;=AH773,AI773,AI773*AM773/AH773)</f>
        <v/>
      </c>
      <c r="AP773">
        <f t="array" ref="AP773">INDEX($AU$8:$BB$25,6*(R773-1)+MATCH(AB773,$AS$8:$AS$13,0),MATCH(O773,$AU$7:$BB$7,0))</f>
        <v/>
      </c>
    </row>
    <row r="774" ht="14.25" customHeight="1">
      <c r="O774" s="43" t="inlineStr">
        <is>
          <t>Q2’27</t>
        </is>
      </c>
      <c r="P774" s="43" t="n">
        <v>3</v>
      </c>
      <c r="Q774" s="43" t="n">
        <v>15</v>
      </c>
      <c r="R774" s="43" t="n">
        <v>2</v>
      </c>
      <c r="S774" s="45" t="n">
        <v>3671.491764705882</v>
      </c>
      <c r="T774">
        <f>(S773+S774+S775)=S4</f>
        <v/>
      </c>
      <c r="X774" s="84">
        <f>MAX(S771-S774,0)</f>
        <v/>
      </c>
      <c r="Y774" s="83" t="n">
        <v>0</v>
      </c>
      <c r="AA774" s="84" t="n">
        <v>2</v>
      </c>
      <c r="AB774" s="84" t="inlineStr">
        <is>
          <t>D</t>
        </is>
      </c>
      <c r="AC774" s="84" t="inlineStr">
        <is>
          <t>D+</t>
        </is>
      </c>
      <c r="AD774" s="84" t="n">
        <v>11</v>
      </c>
      <c r="AE774" s="84" t="n">
        <v>10</v>
      </c>
      <c r="AF774" s="84" t="n">
        <v>0.8</v>
      </c>
      <c r="AG774" s="84" t="n">
        <v>0.88</v>
      </c>
      <c r="AH774" s="84" t="n">
        <v>0</v>
      </c>
      <c r="AI774" s="84" t="n">
        <v>0</v>
      </c>
      <c r="AJ774" s="84">
        <f>SUMIFS(AH$8:AH$1039,$O$8:$O$1039,O774,$AB$8:$AB$1039,AB774,$R$8:$R$1039,R774,$AA$8:$AA$1039,"&lt;="&amp;AA774)</f>
        <v/>
      </c>
      <c r="AK774" s="84">
        <f>D71</f>
        <v/>
      </c>
      <c r="AL774" s="84">
        <f>D77</f>
        <v/>
      </c>
      <c r="AM774" s="84">
        <f>MAX(0,AJ774-AK774)</f>
        <v/>
      </c>
      <c r="AN774" s="84">
        <f>IF(AM774=0,AH774,IF(AM774&gt;=AH774,0,AH774-AM774))</f>
        <v/>
      </c>
      <c r="AO774" s="84">
        <f>IF(AM774&gt;=AH774,AI774,AI774*AM774/AH774)</f>
        <v/>
      </c>
      <c r="AP774">
        <f t="array" ref="AP774">INDEX($AU$8:$BB$25,6*(R774-1)+MATCH(AB774,$AS$8:$AS$13,0),MATCH(O774,$AU$7:$BB$7,0))</f>
        <v/>
      </c>
    </row>
    <row r="775" ht="14.25" customHeight="1">
      <c r="O775" s="43" t="inlineStr">
        <is>
          <t>Q2’27</t>
        </is>
      </c>
      <c r="P775" s="43" t="n">
        <v>3</v>
      </c>
      <c r="Q775" s="43" t="n">
        <v>15</v>
      </c>
      <c r="R775" s="43" t="n">
        <v>3</v>
      </c>
      <c r="S775" s="45" t="n">
        <v>1108.790588235294</v>
      </c>
      <c r="T775">
        <f>(S773+S774+S775)=S4</f>
        <v/>
      </c>
      <c r="X775" s="84">
        <f>MAX(S772-S775,0)</f>
        <v/>
      </c>
      <c r="Y775" s="83" t="n">
        <v>0</v>
      </c>
      <c r="AA775" s="84" t="n">
        <v>2</v>
      </c>
      <c r="AB775" s="84" t="inlineStr">
        <is>
          <t>D</t>
        </is>
      </c>
      <c r="AC775" s="84" t="inlineStr">
        <is>
          <t>D+</t>
        </is>
      </c>
      <c r="AD775" s="84" t="n">
        <v>11</v>
      </c>
      <c r="AE775" s="84" t="n">
        <v>10</v>
      </c>
      <c r="AF775" s="84" t="n">
        <v>0.8</v>
      </c>
      <c r="AG775" s="84" t="n">
        <v>0.88</v>
      </c>
      <c r="AH775" s="84" t="n">
        <v>0</v>
      </c>
      <c r="AI775" s="84" t="n">
        <v>0</v>
      </c>
      <c r="AJ775" s="84">
        <f>SUMIFS(AH$8:AH$1039,$O$8:$O$1039,O775,$AB$8:$AB$1039,AB775,$R$8:$R$1039,R775,$AA$8:$AA$1039,"&lt;="&amp;AA775)</f>
        <v/>
      </c>
      <c r="AK775" s="84">
        <f>E71</f>
        <v/>
      </c>
      <c r="AL775" s="84">
        <f>E77</f>
        <v/>
      </c>
      <c r="AM775" s="84">
        <f>MAX(0,AJ775-AK775)</f>
        <v/>
      </c>
      <c r="AN775" s="84">
        <f>IF(AM775=0,AH775,IF(AM775&gt;=AH775,0,AH775-AM775))</f>
        <v/>
      </c>
      <c r="AO775" s="84">
        <f>IF(AM775&gt;=AH775,AI775,AI775*AM775/AH775)</f>
        <v/>
      </c>
      <c r="AP775">
        <f t="array" ref="AP775">INDEX($AU$8:$BB$25,6*(R775-1)+MATCH(AB775,$AS$8:$AS$13,0),MATCH(O775,$AU$7:$BB$7,0))</f>
        <v/>
      </c>
    </row>
    <row r="776" ht="14.25" customHeight="1">
      <c r="O776" s="43" t="inlineStr">
        <is>
          <t>Q2’27</t>
        </is>
      </c>
      <c r="P776" s="43" t="n">
        <v>3</v>
      </c>
      <c r="Q776" s="43" t="n">
        <v>16</v>
      </c>
      <c r="R776" s="43" t="n">
        <v>1</v>
      </c>
      <c r="S776" s="45" t="n">
        <v>2039.717647058824</v>
      </c>
      <c r="T776">
        <f>(S776+S777+S778)=S4</f>
        <v/>
      </c>
      <c r="X776" s="84">
        <f>MAX(S773-S776,0)</f>
        <v/>
      </c>
      <c r="Y776" s="83" t="n">
        <v>0</v>
      </c>
      <c r="AA776" s="84" t="n">
        <v>4</v>
      </c>
      <c r="AB776" s="84" t="inlineStr">
        <is>
          <t>C</t>
        </is>
      </c>
      <c r="AC776" s="84" t="inlineStr">
        <is>
          <t>C+</t>
        </is>
      </c>
      <c r="AD776" s="84" t="n">
        <v>25</v>
      </c>
      <c r="AE776" s="84" t="n">
        <v>20</v>
      </c>
      <c r="AF776" s="84" t="n">
        <v>0.8</v>
      </c>
      <c r="AG776" s="84" t="n">
        <v>0.86</v>
      </c>
      <c r="AH776" s="84" t="n">
        <v>0</v>
      </c>
      <c r="AI776" s="84" t="n">
        <v>0</v>
      </c>
      <c r="AJ776" s="84">
        <f>SUMIFS(AH$8:AH$1039,$O$8:$O$1039,O776,$AB$8:$AB$1039,AB776,$R$8:$R$1039,R776,$AA$8:$AA$1039,"&lt;="&amp;AA776)</f>
        <v/>
      </c>
      <c r="AK776" s="84">
        <f>C70</f>
        <v/>
      </c>
      <c r="AL776" s="84">
        <f>C76</f>
        <v/>
      </c>
      <c r="AM776" s="84">
        <f>MAX(0,AJ776-AK776)</f>
        <v/>
      </c>
      <c r="AN776" s="84">
        <f>IF(AM776=0,AH776,IF(AM776&gt;=AH776,0,AH776-AM776))</f>
        <v/>
      </c>
      <c r="AO776" s="84">
        <f>IF(AM776&gt;=AH776,AI776,AI776*AM776/AH776)</f>
        <v/>
      </c>
      <c r="AP776">
        <f t="array" ref="AP776">INDEX($AU$8:$BB$25,6*(R776-1)+MATCH(AB776,$AS$8:$AS$13,0),MATCH(O776,$AU$7:$BB$7,0))</f>
        <v/>
      </c>
    </row>
    <row r="777" ht="14.25" customHeight="1">
      <c r="O777" s="43" t="inlineStr">
        <is>
          <t>Q2’27</t>
        </is>
      </c>
      <c r="P777" s="43" t="n">
        <v>3</v>
      </c>
      <c r="Q777" s="43" t="n">
        <v>16</v>
      </c>
      <c r="R777" s="43" t="n">
        <v>2</v>
      </c>
      <c r="S777" s="45" t="n">
        <v>3671.491764705882</v>
      </c>
      <c r="T777">
        <f>(S776+S777+S778)=S4</f>
        <v/>
      </c>
      <c r="X777" s="84">
        <f>MAX(S774-S777,0)</f>
        <v/>
      </c>
      <c r="Y777" s="83" t="n">
        <v>0</v>
      </c>
      <c r="AA777" s="84" t="n">
        <v>4</v>
      </c>
      <c r="AB777" s="84" t="inlineStr">
        <is>
          <t>C</t>
        </is>
      </c>
      <c r="AC777" s="84" t="inlineStr">
        <is>
          <t>C+</t>
        </is>
      </c>
      <c r="AD777" s="84" t="n">
        <v>25</v>
      </c>
      <c r="AE777" s="84" t="n">
        <v>20</v>
      </c>
      <c r="AF777" s="84" t="n">
        <v>0.8</v>
      </c>
      <c r="AG777" s="84" t="n">
        <v>0.86</v>
      </c>
      <c r="AH777" s="84" t="n">
        <v>0</v>
      </c>
      <c r="AI777" s="84" t="n">
        <v>0</v>
      </c>
      <c r="AJ777" s="84">
        <f>SUMIFS(AH$8:AH$1039,$O$8:$O$1039,O777,$AB$8:$AB$1039,AB777,$R$8:$R$1039,R777,$AA$8:$AA$1039,"&lt;="&amp;AA777)</f>
        <v/>
      </c>
      <c r="AK777" s="84">
        <f>D70</f>
        <v/>
      </c>
      <c r="AL777" s="84">
        <f>D76</f>
        <v/>
      </c>
      <c r="AM777" s="84">
        <f>MAX(0,AJ777-AK777)</f>
        <v/>
      </c>
      <c r="AN777" s="84">
        <f>IF(AM777=0,AH777,IF(AM777&gt;=AH777,0,AH777-AM777))</f>
        <v/>
      </c>
      <c r="AO777" s="84">
        <f>IF(AM777&gt;=AH777,AI777,AI777*AM777/AH777)</f>
        <v/>
      </c>
      <c r="AP777">
        <f t="array" ref="AP777">INDEX($AU$8:$BB$25,6*(R777-1)+MATCH(AB777,$AS$8:$AS$13,0),MATCH(O777,$AU$7:$BB$7,0))</f>
        <v/>
      </c>
    </row>
    <row r="778" ht="14.25" customHeight="1">
      <c r="O778" s="43" t="inlineStr">
        <is>
          <t>Q2’27</t>
        </is>
      </c>
      <c r="P778" s="43" t="n">
        <v>3</v>
      </c>
      <c r="Q778" s="43" t="n">
        <v>16</v>
      </c>
      <c r="R778" s="43" t="n">
        <v>3</v>
      </c>
      <c r="S778" s="45" t="n">
        <v>1108.790588235294</v>
      </c>
      <c r="T778">
        <f>(S776+S777+S778)=S4</f>
        <v/>
      </c>
      <c r="X778" s="84">
        <f>MAX(S775-S778,0)</f>
        <v/>
      </c>
      <c r="Y778" s="83" t="n">
        <v>0</v>
      </c>
      <c r="AA778" s="84" t="n">
        <v>4</v>
      </c>
      <c r="AB778" s="84" t="inlineStr">
        <is>
          <t>C</t>
        </is>
      </c>
      <c r="AC778" s="84" t="inlineStr">
        <is>
          <t>C+</t>
        </is>
      </c>
      <c r="AD778" s="84" t="n">
        <v>25</v>
      </c>
      <c r="AE778" s="84" t="n">
        <v>20</v>
      </c>
      <c r="AF778" s="84" t="n">
        <v>0.8</v>
      </c>
      <c r="AG778" s="84" t="n">
        <v>0.86</v>
      </c>
      <c r="AH778" s="84" t="n">
        <v>0</v>
      </c>
      <c r="AI778" s="84" t="n">
        <v>0</v>
      </c>
      <c r="AJ778" s="84">
        <f>SUMIFS(AH$8:AH$1039,$O$8:$O$1039,O778,$AB$8:$AB$1039,AB778,$R$8:$R$1039,R778,$AA$8:$AA$1039,"&lt;="&amp;AA778)</f>
        <v/>
      </c>
      <c r="AK778" s="84">
        <f>E70</f>
        <v/>
      </c>
      <c r="AL778" s="84">
        <f>E76</f>
        <v/>
      </c>
      <c r="AM778" s="84">
        <f>MAX(0,AJ778-AK778)</f>
        <v/>
      </c>
      <c r="AN778" s="84">
        <f>IF(AM778=0,AH778,IF(AM778&gt;=AH778,0,AH778-AM778))</f>
        <v/>
      </c>
      <c r="AO778" s="84">
        <f>IF(AM778&gt;=AH778,AI778,AI778*AM778/AH778)</f>
        <v/>
      </c>
      <c r="AP778">
        <f t="array" ref="AP778">INDEX($AU$8:$BB$25,6*(R778-1)+MATCH(AB778,$AS$8:$AS$13,0),MATCH(O778,$AU$7:$BB$7,0))</f>
        <v/>
      </c>
    </row>
    <row r="779" ht="14.25" customHeight="1">
      <c r="O779" s="43" t="inlineStr">
        <is>
          <t>Q2’27</t>
        </is>
      </c>
      <c r="P779" s="43" t="n">
        <v>3</v>
      </c>
      <c r="Q779" s="43" t="n">
        <v>17</v>
      </c>
      <c r="R779" s="43" t="n">
        <v>1</v>
      </c>
      <c r="S779" s="45" t="n">
        <v>2039.717647058824</v>
      </c>
      <c r="T779">
        <f>(S779+S780+S781)=S4</f>
        <v/>
      </c>
      <c r="X779" s="84">
        <f>MAX(S776-S779,0)</f>
        <v/>
      </c>
      <c r="Y779" s="83" t="n">
        <v>0</v>
      </c>
      <c r="AA779" s="84" t="n">
        <v>1</v>
      </c>
      <c r="AB779" s="84" t="inlineStr">
        <is>
          <t>F</t>
        </is>
      </c>
      <c r="AC779" s="84" t="inlineStr">
        <is>
          <t>F+</t>
        </is>
      </c>
      <c r="AD779" s="84" t="n">
        <v>14</v>
      </c>
      <c r="AE779" s="84" t="n">
        <v>13</v>
      </c>
      <c r="AF779" s="84" t="n">
        <v>0.8</v>
      </c>
      <c r="AG779" s="84" t="n">
        <v>0.9</v>
      </c>
      <c r="AH779" s="84" t="n">
        <v>0</v>
      </c>
      <c r="AI779" s="84" t="n">
        <v>0</v>
      </c>
      <c r="AJ779" s="84">
        <f>SUMIFS(AH$8:AH$1039,$O$8:$O$1039,O779,$AB$8:$AB$1039,AB779,$R$8:$R$1039,R779,$AA$8:$AA$1039,"&lt;="&amp;AA779)</f>
        <v/>
      </c>
      <c r="AK779" s="84">
        <f>C73</f>
        <v/>
      </c>
      <c r="AL779" s="84">
        <f>C79</f>
        <v/>
      </c>
      <c r="AM779" s="84">
        <f>MAX(0,AJ779-AK779)</f>
        <v/>
      </c>
      <c r="AN779" s="84">
        <f>IF(AM779=0,AH779,IF(AM779&gt;=AH779,0,AH779-AM779))</f>
        <v/>
      </c>
      <c r="AO779" s="84">
        <f>IF(AM779&gt;=AH779,AI779,AI779*AM779/AH779)</f>
        <v/>
      </c>
      <c r="AP779">
        <f t="array" ref="AP779">INDEX($AU$8:$BB$25,6*(R779-1)+MATCH(AB779,$AS$8:$AS$13,0),MATCH(O779,$AU$7:$BB$7,0))</f>
        <v/>
      </c>
    </row>
    <row r="780" ht="14.25" customHeight="1">
      <c r="O780" s="43" t="inlineStr">
        <is>
          <t>Q2’27</t>
        </is>
      </c>
      <c r="P780" s="43" t="n">
        <v>3</v>
      </c>
      <c r="Q780" s="43" t="n">
        <v>17</v>
      </c>
      <c r="R780" s="43" t="n">
        <v>2</v>
      </c>
      <c r="S780" s="45" t="n">
        <v>3671.491764705882</v>
      </c>
      <c r="T780">
        <f>(S779+S780+S781)=S4</f>
        <v/>
      </c>
      <c r="X780" s="84">
        <f>MAX(S777-S780,0)</f>
        <v/>
      </c>
      <c r="Y780" s="83" t="n">
        <v>0</v>
      </c>
      <c r="AA780" s="84" t="n">
        <v>1</v>
      </c>
      <c r="AB780" s="84" t="inlineStr">
        <is>
          <t>F</t>
        </is>
      </c>
      <c r="AC780" s="84" t="inlineStr">
        <is>
          <t>F+</t>
        </is>
      </c>
      <c r="AD780" s="84" t="n">
        <v>14</v>
      </c>
      <c r="AE780" s="84" t="n">
        <v>13</v>
      </c>
      <c r="AF780" s="84" t="n">
        <v>0.8</v>
      </c>
      <c r="AG780" s="84" t="n">
        <v>0.9</v>
      </c>
      <c r="AH780" s="84" t="n">
        <v>0</v>
      </c>
      <c r="AI780" s="84" t="n">
        <v>0</v>
      </c>
      <c r="AJ780" s="84">
        <f>SUMIFS(AH$8:AH$1039,$O$8:$O$1039,O780,$AB$8:$AB$1039,AB780,$R$8:$R$1039,R780,$AA$8:$AA$1039,"&lt;="&amp;AA780)</f>
        <v/>
      </c>
      <c r="AK780" s="84">
        <f>D73</f>
        <v/>
      </c>
      <c r="AL780" s="84">
        <f>D79</f>
        <v/>
      </c>
      <c r="AM780" s="84">
        <f>MAX(0,AJ780-AK780)</f>
        <v/>
      </c>
      <c r="AN780" s="84">
        <f>IF(AM780=0,AH780,IF(AM780&gt;=AH780,0,AH780-AM780))</f>
        <v/>
      </c>
      <c r="AO780" s="84">
        <f>IF(AM780&gt;=AH780,AI780,AI780*AM780/AH780)</f>
        <v/>
      </c>
      <c r="AP780">
        <f t="array" ref="AP780">INDEX($AU$8:$BB$25,6*(R780-1)+MATCH(AB780,$AS$8:$AS$13,0),MATCH(O780,$AU$7:$BB$7,0))</f>
        <v/>
      </c>
    </row>
    <row r="781" ht="14.25" customHeight="1">
      <c r="O781" s="43" t="inlineStr">
        <is>
          <t>Q2’27</t>
        </is>
      </c>
      <c r="P781" s="43" t="n">
        <v>3</v>
      </c>
      <c r="Q781" s="43" t="n">
        <v>17</v>
      </c>
      <c r="R781" s="43" t="n">
        <v>3</v>
      </c>
      <c r="S781" s="45" t="n">
        <v>1108.790588235294</v>
      </c>
      <c r="T781">
        <f>(S779+S780+S781)=S4</f>
        <v/>
      </c>
      <c r="X781" s="84">
        <f>MAX(S778-S781,0)</f>
        <v/>
      </c>
      <c r="Y781" s="83" t="n">
        <v>0</v>
      </c>
      <c r="AA781" s="84" t="n">
        <v>1</v>
      </c>
      <c r="AB781" s="84" t="inlineStr">
        <is>
          <t>F</t>
        </is>
      </c>
      <c r="AC781" s="84" t="inlineStr">
        <is>
          <t>F+</t>
        </is>
      </c>
      <c r="AD781" s="84" t="n">
        <v>14</v>
      </c>
      <c r="AE781" s="84" t="n">
        <v>13</v>
      </c>
      <c r="AF781" s="84" t="n">
        <v>0.8</v>
      </c>
      <c r="AG781" s="84" t="n">
        <v>0.9</v>
      </c>
      <c r="AH781" s="84" t="n">
        <v>0</v>
      </c>
      <c r="AI781" s="84" t="n">
        <v>0</v>
      </c>
      <c r="AJ781" s="84">
        <f>SUMIFS(AH$8:AH$1039,$O$8:$O$1039,O781,$AB$8:$AB$1039,AB781,$R$8:$R$1039,R781,$AA$8:$AA$1039,"&lt;="&amp;AA781)</f>
        <v/>
      </c>
      <c r="AK781" s="84">
        <f>E73</f>
        <v/>
      </c>
      <c r="AL781" s="84">
        <f>E79</f>
        <v/>
      </c>
      <c r="AM781" s="84">
        <f>MAX(0,AJ781-AK781)</f>
        <v/>
      </c>
      <c r="AN781" s="84">
        <f>IF(AM781=0,AH781,IF(AM781&gt;=AH781,0,AH781-AM781))</f>
        <v/>
      </c>
      <c r="AO781" s="84">
        <f>IF(AM781&gt;=AH781,AI781,AI781*AM781/AH781)</f>
        <v/>
      </c>
      <c r="AP781">
        <f t="array" ref="AP781">INDEX($AU$8:$BB$25,6*(R781-1)+MATCH(AB781,$AS$8:$AS$13,0),MATCH(O781,$AU$7:$BB$7,0))</f>
        <v/>
      </c>
    </row>
    <row r="782" ht="14.25" customHeight="1">
      <c r="O782" s="43" t="inlineStr">
        <is>
          <t>Q3’27</t>
        </is>
      </c>
      <c r="P782" s="43" t="n">
        <v>1</v>
      </c>
      <c r="Q782" s="43" t="n">
        <v>1</v>
      </c>
      <c r="R782" s="43" t="n">
        <v>1</v>
      </c>
      <c r="S782" s="45" t="n">
        <v>2480</v>
      </c>
      <c r="T782">
        <f>(S782+S783+S784)=T2</f>
        <v/>
      </c>
      <c r="X782" s="84" t="n">
        <v>0</v>
      </c>
      <c r="Y782" s="83" t="n">
        <v>0</v>
      </c>
      <c r="AA782" s="84" t="n">
        <v>4</v>
      </c>
      <c r="AB782" s="84" t="inlineStr">
        <is>
          <t>D</t>
        </is>
      </c>
      <c r="AC782" s="84" t="inlineStr">
        <is>
          <t>D+</t>
        </is>
      </c>
      <c r="AD782" s="84" t="n">
        <v>14</v>
      </c>
      <c r="AE782" s="84" t="n">
        <v>12</v>
      </c>
      <c r="AF782" s="84" t="n">
        <v>0.8</v>
      </c>
      <c r="AG782" s="84" t="n">
        <v>0.88</v>
      </c>
      <c r="AH782" s="84" t="n">
        <v>0</v>
      </c>
      <c r="AI782" s="84" t="n">
        <v>0</v>
      </c>
      <c r="AJ782" s="84">
        <f>SUMIFS(AH$8:AH$1039,$O$8:$O$1039,O782,$AB$8:$AB$1039,AB782,$R$8:$R$1039,R782,$AA$8:$AA$1039,"&lt;="&amp;AA782)</f>
        <v/>
      </c>
      <c r="AK782" s="84">
        <f>C83</f>
        <v/>
      </c>
      <c r="AL782" s="84">
        <f>C89</f>
        <v/>
      </c>
      <c r="AM782" s="84">
        <f>MAX(0,AJ782-AK782)</f>
        <v/>
      </c>
      <c r="AN782" s="84">
        <f>IF(AM782=0,AH782,IF(AM782&gt;=AH782,0,AH782-AM782))</f>
        <v/>
      </c>
      <c r="AO782" s="84">
        <f>IF(AM782&gt;=AH782,AI782,AI782*AM782/AH782)</f>
        <v/>
      </c>
      <c r="AP782">
        <f t="array" ref="AP782">INDEX($AU$8:$BB$25,6*(R782-1)+MATCH(AB782,$AS$8:$AS$13,0),MATCH(O782,$AU$7:$BB$7,0))</f>
        <v/>
      </c>
    </row>
    <row r="783" ht="14.25" customHeight="1">
      <c r="O783" s="43" t="inlineStr">
        <is>
          <t>Q3’27</t>
        </is>
      </c>
      <c r="P783" s="43" t="n">
        <v>1</v>
      </c>
      <c r="Q783" s="43" t="n">
        <v>1</v>
      </c>
      <c r="R783" s="43" t="n">
        <v>2</v>
      </c>
      <c r="S783" s="45" t="n">
        <v>-0</v>
      </c>
      <c r="T783">
        <f>(S782+S783+S784)=T2</f>
        <v/>
      </c>
      <c r="X783" s="84" t="n">
        <v>0</v>
      </c>
      <c r="Y783" s="83" t="n">
        <v>0</v>
      </c>
      <c r="AA783" s="84" t="n">
        <v>4</v>
      </c>
      <c r="AB783" s="84" t="inlineStr">
        <is>
          <t>D</t>
        </is>
      </c>
      <c r="AC783" s="84" t="inlineStr">
        <is>
          <t>D+</t>
        </is>
      </c>
      <c r="AD783" s="84" t="n">
        <v>14</v>
      </c>
      <c r="AE783" s="84" t="n">
        <v>12</v>
      </c>
      <c r="AF783" s="84" t="n">
        <v>0.8</v>
      </c>
      <c r="AG783" s="84" t="n">
        <v>0.88</v>
      </c>
      <c r="AH783" s="84" t="n">
        <v>0</v>
      </c>
      <c r="AI783" s="84" t="n">
        <v>0</v>
      </c>
      <c r="AJ783" s="84">
        <f>SUMIFS(AH$8:AH$1039,$O$8:$O$1039,O783,$AB$8:$AB$1039,AB783,$R$8:$R$1039,R783,$AA$8:$AA$1039,"&lt;="&amp;AA783)</f>
        <v/>
      </c>
      <c r="AK783" s="84">
        <f>D83</f>
        <v/>
      </c>
      <c r="AL783" s="84">
        <f>D89</f>
        <v/>
      </c>
      <c r="AM783" s="84">
        <f>MAX(0,AJ783-AK783)</f>
        <v/>
      </c>
      <c r="AN783" s="84">
        <f>IF(AM783=0,AH783,IF(AM783&gt;=AH783,0,AH783-AM783))</f>
        <v/>
      </c>
      <c r="AO783" s="84">
        <f>IF(AM783&gt;=AH783,AI783,AI783*AM783/AH783)</f>
        <v/>
      </c>
      <c r="AP783">
        <f t="array" ref="AP783">INDEX($AU$8:$BB$25,6*(R783-1)+MATCH(AB783,$AS$8:$AS$13,0),MATCH(O783,$AU$7:$BB$7,0))</f>
        <v/>
      </c>
    </row>
    <row r="784" ht="14.25" customHeight="1">
      <c r="O784" s="43" t="inlineStr">
        <is>
          <t>Q3’27</t>
        </is>
      </c>
      <c r="P784" s="43" t="n">
        <v>1</v>
      </c>
      <c r="Q784" s="43" t="n">
        <v>1</v>
      </c>
      <c r="R784" s="43" t="n">
        <v>3</v>
      </c>
      <c r="S784" s="45" t="n">
        <v>0</v>
      </c>
      <c r="T784">
        <f>(S782+S783+S784)=T2</f>
        <v/>
      </c>
      <c r="X784" s="84" t="n">
        <v>0</v>
      </c>
      <c r="Y784" s="83" t="n">
        <v>0</v>
      </c>
      <c r="AA784" s="84" t="n">
        <v>4</v>
      </c>
      <c r="AB784" s="84" t="inlineStr">
        <is>
          <t>D</t>
        </is>
      </c>
      <c r="AC784" s="84" t="inlineStr">
        <is>
          <t>D+</t>
        </is>
      </c>
      <c r="AD784" s="84" t="n">
        <v>14</v>
      </c>
      <c r="AE784" s="84" t="n">
        <v>12</v>
      </c>
      <c r="AF784" s="84" t="n">
        <v>0.8</v>
      </c>
      <c r="AG784" s="84" t="n">
        <v>0.88</v>
      </c>
      <c r="AH784" s="84" t="n">
        <v>0</v>
      </c>
      <c r="AI784" s="84" t="n">
        <v>0</v>
      </c>
      <c r="AJ784" s="84">
        <f>SUMIFS(AH$8:AH$1039,$O$8:$O$1039,O784,$AB$8:$AB$1039,AB784,$R$8:$R$1039,R784,$AA$8:$AA$1039,"&lt;="&amp;AA784)</f>
        <v/>
      </c>
      <c r="AK784" s="84">
        <f>E83</f>
        <v/>
      </c>
      <c r="AL784" s="84">
        <f>E89</f>
        <v/>
      </c>
      <c r="AM784" s="84">
        <f>MAX(0,AJ784-AK784)</f>
        <v/>
      </c>
      <c r="AN784" s="84">
        <f>IF(AM784=0,AH784,IF(AM784&gt;=AH784,0,AH784-AM784))</f>
        <v/>
      </c>
      <c r="AO784" s="84">
        <f>IF(AM784&gt;=AH784,AI784,AI784*AM784/AH784)</f>
        <v/>
      </c>
      <c r="AP784">
        <f t="array" ref="AP784">INDEX($AU$8:$BB$25,6*(R784-1)+MATCH(AB784,$AS$8:$AS$13,0),MATCH(O784,$AU$7:$BB$7,0))</f>
        <v/>
      </c>
    </row>
    <row r="785" ht="14.25" customHeight="1">
      <c r="O785" s="43" t="inlineStr">
        <is>
          <t>Q3’27</t>
        </is>
      </c>
      <c r="P785" s="43" t="n">
        <v>1</v>
      </c>
      <c r="Q785" s="43" t="n">
        <v>2</v>
      </c>
      <c r="R785" s="43" t="n">
        <v>1</v>
      </c>
      <c r="S785" s="45" t="n">
        <v>2480</v>
      </c>
      <c r="T785">
        <f>(S785+S786+S787)=T2</f>
        <v/>
      </c>
      <c r="X785" s="84">
        <f>MAX(S782-S785,0)</f>
        <v/>
      </c>
      <c r="Y785" s="83" t="n">
        <v>0</v>
      </c>
      <c r="AA785" s="84" t="n">
        <v>10</v>
      </c>
      <c r="AB785" s="84" t="inlineStr">
        <is>
          <t>F</t>
        </is>
      </c>
      <c r="AC785" s="84" t="inlineStr">
        <is>
          <t>F+</t>
        </is>
      </c>
      <c r="AD785" s="84" t="n">
        <v>25</v>
      </c>
      <c r="AE785" s="84" t="n">
        <v>21</v>
      </c>
      <c r="AF785" s="84" t="n">
        <v>0.8</v>
      </c>
      <c r="AG785" s="84" t="n">
        <v>0.9</v>
      </c>
      <c r="AH785" s="84" t="n">
        <v>0</v>
      </c>
      <c r="AI785" s="84" t="n">
        <v>0</v>
      </c>
      <c r="AJ785" s="84">
        <f>SUMIFS(AH$8:AH$1039,$O$8:$O$1039,O785,$AB$8:$AB$1039,AB785,$R$8:$R$1039,R785,$AA$8:$AA$1039,"&lt;="&amp;AA785)</f>
        <v/>
      </c>
      <c r="AK785" s="84">
        <f>C85</f>
        <v/>
      </c>
      <c r="AL785" s="84">
        <f>C91</f>
        <v/>
      </c>
      <c r="AM785" s="84">
        <f>MAX(0,AJ785-AK785)</f>
        <v/>
      </c>
      <c r="AN785" s="84">
        <f>IF(AM785=0,AH785,IF(AM785&gt;=AH785,0,AH785-AM785))</f>
        <v/>
      </c>
      <c r="AO785" s="84">
        <f>IF(AM785&gt;=AH785,AI785,AI785*AM785/AH785)</f>
        <v/>
      </c>
      <c r="AP785">
        <f t="array" ref="AP785">INDEX($AU$8:$BB$25,6*(R785-1)+MATCH(AB785,$AS$8:$AS$13,0),MATCH(O785,$AU$7:$BB$7,0))</f>
        <v/>
      </c>
    </row>
    <row r="786" ht="14.25" customHeight="1">
      <c r="O786" s="43" t="inlineStr">
        <is>
          <t>Q3’27</t>
        </is>
      </c>
      <c r="P786" s="43" t="n">
        <v>1</v>
      </c>
      <c r="Q786" s="43" t="n">
        <v>2</v>
      </c>
      <c r="R786" s="43" t="n">
        <v>2</v>
      </c>
      <c r="S786" s="45" t="n">
        <v>-0</v>
      </c>
      <c r="T786">
        <f>(S785+S786+S787)=T2</f>
        <v/>
      </c>
      <c r="X786" s="84">
        <f>MAX(S783-S786,0)</f>
        <v/>
      </c>
      <c r="Y786" s="83" t="n">
        <v>0</v>
      </c>
      <c r="AA786" s="84" t="n">
        <v>10</v>
      </c>
      <c r="AB786" s="84" t="inlineStr">
        <is>
          <t>F</t>
        </is>
      </c>
      <c r="AC786" s="84" t="inlineStr">
        <is>
          <t>F+</t>
        </is>
      </c>
      <c r="AD786" s="84" t="n">
        <v>25</v>
      </c>
      <c r="AE786" s="84" t="n">
        <v>21</v>
      </c>
      <c r="AF786" s="84" t="n">
        <v>0.8</v>
      </c>
      <c r="AG786" s="84" t="n">
        <v>0.9</v>
      </c>
      <c r="AH786" s="84" t="n">
        <v>0</v>
      </c>
      <c r="AI786" s="84" t="n">
        <v>0</v>
      </c>
      <c r="AJ786" s="84">
        <f>SUMIFS(AH$8:AH$1039,$O$8:$O$1039,O786,$AB$8:$AB$1039,AB786,$R$8:$R$1039,R786,$AA$8:$AA$1039,"&lt;="&amp;AA786)</f>
        <v/>
      </c>
      <c r="AK786" s="84">
        <f>D85</f>
        <v/>
      </c>
      <c r="AL786" s="84">
        <f>D91</f>
        <v/>
      </c>
      <c r="AM786" s="84">
        <f>MAX(0,AJ786-AK786)</f>
        <v/>
      </c>
      <c r="AN786" s="84">
        <f>IF(AM786=0,AH786,IF(AM786&gt;=AH786,0,AH786-AM786))</f>
        <v/>
      </c>
      <c r="AO786" s="84">
        <f>IF(AM786&gt;=AH786,AI786,AI786*AM786/AH786)</f>
        <v/>
      </c>
      <c r="AP786">
        <f t="array" ref="AP786">INDEX($AU$8:$BB$25,6*(R786-1)+MATCH(AB786,$AS$8:$AS$13,0),MATCH(O786,$AU$7:$BB$7,0))</f>
        <v/>
      </c>
    </row>
    <row r="787" ht="14.25" customHeight="1">
      <c r="O787" s="43" t="inlineStr">
        <is>
          <t>Q3’27</t>
        </is>
      </c>
      <c r="P787" s="43" t="n">
        <v>1</v>
      </c>
      <c r="Q787" s="43" t="n">
        <v>2</v>
      </c>
      <c r="R787" s="43" t="n">
        <v>3</v>
      </c>
      <c r="S787" s="45" t="n">
        <v>0</v>
      </c>
      <c r="T787">
        <f>(S785+S786+S787)=T2</f>
        <v/>
      </c>
      <c r="X787" s="84">
        <f>MAX(S784-S787,0)</f>
        <v/>
      </c>
      <c r="Y787" s="83" t="n">
        <v>0</v>
      </c>
      <c r="AA787" s="84" t="n">
        <v>10</v>
      </c>
      <c r="AB787" s="84" t="inlineStr">
        <is>
          <t>F</t>
        </is>
      </c>
      <c r="AC787" s="84" t="inlineStr">
        <is>
          <t>F+</t>
        </is>
      </c>
      <c r="AD787" s="84" t="n">
        <v>25</v>
      </c>
      <c r="AE787" s="84" t="n">
        <v>21</v>
      </c>
      <c r="AF787" s="84" t="n">
        <v>0.8</v>
      </c>
      <c r="AG787" s="84" t="n">
        <v>0.9</v>
      </c>
      <c r="AH787" s="84" t="n">
        <v>0</v>
      </c>
      <c r="AI787" s="84" t="n">
        <v>0</v>
      </c>
      <c r="AJ787" s="84">
        <f>SUMIFS(AH$8:AH$1039,$O$8:$O$1039,O787,$AB$8:$AB$1039,AB787,$R$8:$R$1039,R787,$AA$8:$AA$1039,"&lt;="&amp;AA787)</f>
        <v/>
      </c>
      <c r="AK787" s="84">
        <f>E85</f>
        <v/>
      </c>
      <c r="AL787" s="84">
        <f>E91</f>
        <v/>
      </c>
      <c r="AM787" s="84">
        <f>MAX(0,AJ787-AK787)</f>
        <v/>
      </c>
      <c r="AN787" s="84">
        <f>IF(AM787=0,AH787,IF(AM787&gt;=AH787,0,AH787-AM787))</f>
        <v/>
      </c>
      <c r="AO787" s="84">
        <f>IF(AM787&gt;=AH787,AI787,AI787*AM787/AH787)</f>
        <v/>
      </c>
      <c r="AP787">
        <f t="array" ref="AP787">INDEX($AU$8:$BB$25,6*(R787-1)+MATCH(AB787,$AS$8:$AS$13,0),MATCH(O787,$AU$7:$BB$7,0))</f>
        <v/>
      </c>
    </row>
    <row r="788" ht="14.25" customHeight="1">
      <c r="O788" s="43" t="inlineStr">
        <is>
          <t>Q3’27</t>
        </is>
      </c>
      <c r="P788" s="43" t="n">
        <v>1</v>
      </c>
      <c r="Q788" s="43" t="n">
        <v>3</v>
      </c>
      <c r="R788" s="43" t="n">
        <v>1</v>
      </c>
      <c r="S788" s="45" t="n">
        <v>2480</v>
      </c>
      <c r="T788">
        <f>(S788+S789+S790)=T2</f>
        <v/>
      </c>
      <c r="X788" s="84">
        <f>MAX(S785-S788,0)</f>
        <v/>
      </c>
      <c r="Y788" s="83" t="n">
        <v>0</v>
      </c>
      <c r="AA788" s="84" t="n">
        <v>8</v>
      </c>
      <c r="AB788" s="84" t="inlineStr">
        <is>
          <t>F</t>
        </is>
      </c>
      <c r="AC788" s="84" t="inlineStr">
        <is>
          <t>F+</t>
        </is>
      </c>
      <c r="AD788" s="84" t="n">
        <v>27</v>
      </c>
      <c r="AE788" s="84" t="n">
        <v>23</v>
      </c>
      <c r="AF788" s="84" t="n">
        <v>0.8</v>
      </c>
      <c r="AG788" s="84" t="n">
        <v>0.9</v>
      </c>
      <c r="AH788" s="84" t="n">
        <v>0</v>
      </c>
      <c r="AI788" s="84" t="n">
        <v>0</v>
      </c>
      <c r="AJ788" s="84">
        <f>SUMIFS(AH$8:AH$1039,$O$8:$O$1039,O788,$AB$8:$AB$1039,AB788,$R$8:$R$1039,R788,$AA$8:$AA$1039,"&lt;="&amp;AA788)</f>
        <v/>
      </c>
      <c r="AK788" s="84">
        <f>C85</f>
        <v/>
      </c>
      <c r="AL788" s="84">
        <f>C91</f>
        <v/>
      </c>
      <c r="AM788" s="84">
        <f>MAX(0,AJ788-AK788)</f>
        <v/>
      </c>
      <c r="AN788" s="84">
        <f>IF(AM788=0,AH788,IF(AM788&gt;=AH788,0,AH788-AM788))</f>
        <v/>
      </c>
      <c r="AO788" s="84">
        <f>IF(AM788&gt;=AH788,AI788,AI788*AM788/AH788)</f>
        <v/>
      </c>
      <c r="AP788">
        <f t="array" ref="AP788">INDEX($AU$8:$BB$25,6*(R788-1)+MATCH(AB788,$AS$8:$AS$13,0),MATCH(O788,$AU$7:$BB$7,0))</f>
        <v/>
      </c>
    </row>
    <row r="789" ht="14.25" customHeight="1">
      <c r="O789" s="43" t="inlineStr">
        <is>
          <t>Q3’27</t>
        </is>
      </c>
      <c r="P789" s="43" t="n">
        <v>1</v>
      </c>
      <c r="Q789" s="43" t="n">
        <v>3</v>
      </c>
      <c r="R789" s="43" t="n">
        <v>2</v>
      </c>
      <c r="S789" s="45" t="n">
        <v>-0</v>
      </c>
      <c r="T789">
        <f>(S788+S789+S790)=T2</f>
        <v/>
      </c>
      <c r="X789" s="84">
        <f>MAX(S786-S789,0)</f>
        <v/>
      </c>
      <c r="Y789" s="83" t="n">
        <v>0</v>
      </c>
      <c r="AA789" s="84" t="n">
        <v>8</v>
      </c>
      <c r="AB789" s="84" t="inlineStr">
        <is>
          <t>F</t>
        </is>
      </c>
      <c r="AC789" s="84" t="inlineStr">
        <is>
          <t>F+</t>
        </is>
      </c>
      <c r="AD789" s="84" t="n">
        <v>27</v>
      </c>
      <c r="AE789" s="84" t="n">
        <v>23</v>
      </c>
      <c r="AF789" s="84" t="n">
        <v>0.8</v>
      </c>
      <c r="AG789" s="84" t="n">
        <v>0.9</v>
      </c>
      <c r="AH789" s="84" t="n">
        <v>0</v>
      </c>
      <c r="AI789" s="84" t="n">
        <v>0</v>
      </c>
      <c r="AJ789" s="84">
        <f>SUMIFS(AH$8:AH$1039,$O$8:$O$1039,O789,$AB$8:$AB$1039,AB789,$R$8:$R$1039,R789,$AA$8:$AA$1039,"&lt;="&amp;AA789)</f>
        <v/>
      </c>
      <c r="AK789" s="84">
        <f>D85</f>
        <v/>
      </c>
      <c r="AL789" s="84">
        <f>D91</f>
        <v/>
      </c>
      <c r="AM789" s="84">
        <f>MAX(0,AJ789-AK789)</f>
        <v/>
      </c>
      <c r="AN789" s="84">
        <f>IF(AM789=0,AH789,IF(AM789&gt;=AH789,0,AH789-AM789))</f>
        <v/>
      </c>
      <c r="AO789" s="84">
        <f>IF(AM789&gt;=AH789,AI789,AI789*AM789/AH789)</f>
        <v/>
      </c>
      <c r="AP789">
        <f t="array" ref="AP789">INDEX($AU$8:$BB$25,6*(R789-1)+MATCH(AB789,$AS$8:$AS$13,0),MATCH(O789,$AU$7:$BB$7,0))</f>
        <v/>
      </c>
    </row>
    <row r="790" ht="14.25" customHeight="1">
      <c r="O790" s="43" t="inlineStr">
        <is>
          <t>Q3’27</t>
        </is>
      </c>
      <c r="P790" s="43" t="n">
        <v>1</v>
      </c>
      <c r="Q790" s="43" t="n">
        <v>3</v>
      </c>
      <c r="R790" s="43" t="n">
        <v>3</v>
      </c>
      <c r="S790" s="45" t="n">
        <v>-0</v>
      </c>
      <c r="T790">
        <f>(S788+S789+S790)=T2</f>
        <v/>
      </c>
      <c r="X790" s="84">
        <f>MAX(S787-S790,0)</f>
        <v/>
      </c>
      <c r="Y790" s="83" t="n">
        <v>0</v>
      </c>
      <c r="AA790" s="84" t="n">
        <v>8</v>
      </c>
      <c r="AB790" s="84" t="inlineStr">
        <is>
          <t>F</t>
        </is>
      </c>
      <c r="AC790" s="84" t="inlineStr">
        <is>
          <t>F+</t>
        </is>
      </c>
      <c r="AD790" s="84" t="n">
        <v>27</v>
      </c>
      <c r="AE790" s="84" t="n">
        <v>23</v>
      </c>
      <c r="AF790" s="84" t="n">
        <v>0.8</v>
      </c>
      <c r="AG790" s="84" t="n">
        <v>0.9</v>
      </c>
      <c r="AH790" s="84" t="n">
        <v>0</v>
      </c>
      <c r="AI790" s="84" t="n">
        <v>0</v>
      </c>
      <c r="AJ790" s="84">
        <f>SUMIFS(AH$8:AH$1039,$O$8:$O$1039,O790,$AB$8:$AB$1039,AB790,$R$8:$R$1039,R790,$AA$8:$AA$1039,"&lt;="&amp;AA790)</f>
        <v/>
      </c>
      <c r="AK790" s="84">
        <f>E85</f>
        <v/>
      </c>
      <c r="AL790" s="84">
        <f>E91</f>
        <v/>
      </c>
      <c r="AM790" s="84">
        <f>MAX(0,AJ790-AK790)</f>
        <v/>
      </c>
      <c r="AN790" s="84">
        <f>IF(AM790=0,AH790,IF(AM790&gt;=AH790,0,AH790-AM790))</f>
        <v/>
      </c>
      <c r="AO790" s="84">
        <f>IF(AM790&gt;=AH790,AI790,AI790*AM790/AH790)</f>
        <v/>
      </c>
      <c r="AP790">
        <f t="array" ref="AP790">INDEX($AU$8:$BB$25,6*(R790-1)+MATCH(AB790,$AS$8:$AS$13,0),MATCH(O790,$AU$7:$BB$7,0))</f>
        <v/>
      </c>
    </row>
    <row r="791" ht="14.25" customHeight="1">
      <c r="O791" s="43" t="inlineStr">
        <is>
          <t>Q3’27</t>
        </is>
      </c>
      <c r="P791" s="43" t="n">
        <v>1</v>
      </c>
      <c r="Q791" s="43" t="n">
        <v>4</v>
      </c>
      <c r="R791" s="43" t="n">
        <v>1</v>
      </c>
      <c r="S791" s="45" t="n">
        <v>2480</v>
      </c>
      <c r="T791">
        <f>(S791+S792+S793)=T2</f>
        <v/>
      </c>
      <c r="X791" s="84">
        <f>MAX(S788-S791,0)</f>
        <v/>
      </c>
      <c r="Y791" s="83" t="n">
        <v>0</v>
      </c>
      <c r="AA791" s="84" t="n">
        <v>3</v>
      </c>
      <c r="AB791" s="84" t="inlineStr">
        <is>
          <t>A</t>
        </is>
      </c>
      <c r="AC791" s="84" t="inlineStr">
        <is>
          <t>A+</t>
        </is>
      </c>
      <c r="AD791" s="84" t="n">
        <v>20</v>
      </c>
      <c r="AE791" s="84" t="n">
        <v>16</v>
      </c>
      <c r="AF791" s="84" t="n">
        <v>0.78</v>
      </c>
      <c r="AG791" s="84" t="n">
        <v>0.84</v>
      </c>
      <c r="AH791" s="84" t="n">
        <v>0</v>
      </c>
      <c r="AI791" s="84" t="n">
        <v>0</v>
      </c>
      <c r="AJ791" s="84">
        <f>SUMIFS(AH$8:AH$1039,$O$8:$O$1039,O791,$AB$8:$AB$1039,AB791,$R$8:$R$1039,R791,$AA$8:$AA$1039,"&lt;="&amp;AA791)</f>
        <v/>
      </c>
      <c r="AK791" s="84">
        <f>C80</f>
        <v/>
      </c>
      <c r="AL791" s="84">
        <f>C86</f>
        <v/>
      </c>
      <c r="AM791" s="84">
        <f>MAX(0,AJ791-AK791)</f>
        <v/>
      </c>
      <c r="AN791" s="84">
        <f>IF(AM791=0,AH791,IF(AM791&gt;=AH791,0,AH791-AM791))</f>
        <v/>
      </c>
      <c r="AO791" s="84">
        <f>IF(AM791&gt;=AH791,AI791,AI791*AM791/AH791)</f>
        <v/>
      </c>
      <c r="AP791">
        <f t="array" ref="AP791">INDEX($AU$8:$BB$25,6*(R791-1)+MATCH(AB791,$AS$8:$AS$13,0),MATCH(O791,$AU$7:$BB$7,0))</f>
        <v/>
      </c>
    </row>
    <row r="792" ht="14.25" customHeight="1">
      <c r="O792" s="43" t="inlineStr">
        <is>
          <t>Q3’27</t>
        </is>
      </c>
      <c r="P792" s="43" t="n">
        <v>1</v>
      </c>
      <c r="Q792" s="43" t="n">
        <v>4</v>
      </c>
      <c r="R792" s="43" t="n">
        <v>2</v>
      </c>
      <c r="S792" s="45" t="n">
        <v>-0</v>
      </c>
      <c r="T792">
        <f>(S791+S792+S793)=T2</f>
        <v/>
      </c>
      <c r="X792" s="84">
        <f>MAX(S789-S792,0)</f>
        <v/>
      </c>
      <c r="Y792" s="83" t="n">
        <v>0</v>
      </c>
      <c r="AA792" s="84" t="n">
        <v>3</v>
      </c>
      <c r="AB792" s="84" t="inlineStr">
        <is>
          <t>A</t>
        </is>
      </c>
      <c r="AC792" s="84" t="inlineStr">
        <is>
          <t>A+</t>
        </is>
      </c>
      <c r="AD792" s="84" t="n">
        <v>20</v>
      </c>
      <c r="AE792" s="84" t="n">
        <v>16</v>
      </c>
      <c r="AF792" s="84" t="n">
        <v>0.78</v>
      </c>
      <c r="AG792" s="84" t="n">
        <v>0.84</v>
      </c>
      <c r="AH792" s="84" t="n">
        <v>0</v>
      </c>
      <c r="AI792" s="84" t="n">
        <v>0</v>
      </c>
      <c r="AJ792" s="84">
        <f>SUMIFS(AH$8:AH$1039,$O$8:$O$1039,O792,$AB$8:$AB$1039,AB792,$R$8:$R$1039,R792,$AA$8:$AA$1039,"&lt;="&amp;AA792)</f>
        <v/>
      </c>
      <c r="AK792" s="84">
        <f>D80</f>
        <v/>
      </c>
      <c r="AL792" s="84">
        <f>D86</f>
        <v/>
      </c>
      <c r="AM792" s="84">
        <f>MAX(0,AJ792-AK792)</f>
        <v/>
      </c>
      <c r="AN792" s="84">
        <f>IF(AM792=0,AH792,IF(AM792&gt;=AH792,0,AH792-AM792))</f>
        <v/>
      </c>
      <c r="AO792" s="84">
        <f>IF(AM792&gt;=AH792,AI792,AI792*AM792/AH792)</f>
        <v/>
      </c>
      <c r="AP792">
        <f t="array" ref="AP792">INDEX($AU$8:$BB$25,6*(R792-1)+MATCH(AB792,$AS$8:$AS$13,0),MATCH(O792,$AU$7:$BB$7,0))</f>
        <v/>
      </c>
    </row>
    <row r="793" ht="14.25" customHeight="1">
      <c r="O793" s="43" t="inlineStr">
        <is>
          <t>Q3’27</t>
        </is>
      </c>
      <c r="P793" s="43" t="n">
        <v>1</v>
      </c>
      <c r="Q793" s="43" t="n">
        <v>4</v>
      </c>
      <c r="R793" s="43" t="n">
        <v>3</v>
      </c>
      <c r="S793" s="45" t="n">
        <v>0</v>
      </c>
      <c r="T793">
        <f>(S791+S792+S793)=T2</f>
        <v/>
      </c>
      <c r="X793" s="84">
        <f>MAX(S790-S793,0)</f>
        <v/>
      </c>
      <c r="Y793" s="83" t="n">
        <v>0</v>
      </c>
      <c r="AA793" s="84" t="n">
        <v>3</v>
      </c>
      <c r="AB793" s="84" t="inlineStr">
        <is>
          <t>A</t>
        </is>
      </c>
      <c r="AC793" s="84" t="inlineStr">
        <is>
          <t>A+</t>
        </is>
      </c>
      <c r="AD793" s="84" t="n">
        <v>20</v>
      </c>
      <c r="AE793" s="84" t="n">
        <v>16</v>
      </c>
      <c r="AF793" s="84" t="n">
        <v>0.78</v>
      </c>
      <c r="AG793" s="84" t="n">
        <v>0.84</v>
      </c>
      <c r="AH793" s="84" t="n">
        <v>0</v>
      </c>
      <c r="AI793" s="84" t="n">
        <v>0</v>
      </c>
      <c r="AJ793" s="84">
        <f>SUMIFS(AH$8:AH$1039,$O$8:$O$1039,O793,$AB$8:$AB$1039,AB793,$R$8:$R$1039,R793,$AA$8:$AA$1039,"&lt;="&amp;AA793)</f>
        <v/>
      </c>
      <c r="AK793" s="84">
        <f>E80</f>
        <v/>
      </c>
      <c r="AL793" s="84">
        <f>E86</f>
        <v/>
      </c>
      <c r="AM793" s="84">
        <f>MAX(0,AJ793-AK793)</f>
        <v/>
      </c>
      <c r="AN793" s="84">
        <f>IF(AM793=0,AH793,IF(AM793&gt;=AH793,0,AH793-AM793))</f>
        <v/>
      </c>
      <c r="AO793" s="84">
        <f>IF(AM793&gt;=AH793,AI793,AI793*AM793/AH793)</f>
        <v/>
      </c>
      <c r="AP793">
        <f t="array" ref="AP793">INDEX($AU$8:$BB$25,6*(R793-1)+MATCH(AB793,$AS$8:$AS$13,0),MATCH(O793,$AU$7:$BB$7,0))</f>
        <v/>
      </c>
    </row>
    <row r="794" ht="14.25" customHeight="1">
      <c r="O794" s="43" t="inlineStr">
        <is>
          <t>Q3’27</t>
        </is>
      </c>
      <c r="P794" s="43" t="n">
        <v>1</v>
      </c>
      <c r="Q794" s="43" t="n">
        <v>5</v>
      </c>
      <c r="R794" s="43" t="n">
        <v>1</v>
      </c>
      <c r="S794" s="45" t="n">
        <v>2480</v>
      </c>
      <c r="T794">
        <f>(S794+S795+S796)=T2</f>
        <v/>
      </c>
      <c r="X794" s="84">
        <f>MAX(S791-S794,0)</f>
        <v/>
      </c>
      <c r="Y794" s="83" t="n">
        <v>0</v>
      </c>
      <c r="AA794" s="84" t="n">
        <v>11</v>
      </c>
      <c r="AB794" s="84" t="inlineStr">
        <is>
          <t>F</t>
        </is>
      </c>
      <c r="AC794" s="84" t="inlineStr">
        <is>
          <t>F+</t>
        </is>
      </c>
      <c r="AD794" s="84" t="n">
        <v>12</v>
      </c>
      <c r="AE794" s="84" t="n">
        <v>9</v>
      </c>
      <c r="AF794" s="84" t="n">
        <v>0.8</v>
      </c>
      <c r="AG794" s="84" t="n">
        <v>0.9</v>
      </c>
      <c r="AH794" s="84" t="n">
        <v>0</v>
      </c>
      <c r="AI794" s="84" t="n">
        <v>0</v>
      </c>
      <c r="AJ794" s="84">
        <f>SUMIFS(AH$8:AH$1039,$O$8:$O$1039,O794,$AB$8:$AB$1039,AB794,$R$8:$R$1039,R794,$AA$8:$AA$1039,"&lt;="&amp;AA794)</f>
        <v/>
      </c>
      <c r="AK794" s="84">
        <f>C85</f>
        <v/>
      </c>
      <c r="AL794" s="84">
        <f>C91</f>
        <v/>
      </c>
      <c r="AM794" s="84">
        <f>MAX(0,AJ794-AK794)</f>
        <v/>
      </c>
      <c r="AN794" s="84">
        <f>IF(AM794=0,AH794,IF(AM794&gt;=AH794,0,AH794-AM794))</f>
        <v/>
      </c>
      <c r="AO794" s="84">
        <f>IF(AM794&gt;=AH794,AI794,AI794*AM794/AH794)</f>
        <v/>
      </c>
      <c r="AP794">
        <f t="array" ref="AP794">INDEX($AU$8:$BB$25,6*(R794-1)+MATCH(AB794,$AS$8:$AS$13,0),MATCH(O794,$AU$7:$BB$7,0))</f>
        <v/>
      </c>
    </row>
    <row r="795" ht="14.25" customHeight="1">
      <c r="O795" s="43" t="inlineStr">
        <is>
          <t>Q3’27</t>
        </is>
      </c>
      <c r="P795" s="43" t="n">
        <v>1</v>
      </c>
      <c r="Q795" s="43" t="n">
        <v>5</v>
      </c>
      <c r="R795" s="43" t="n">
        <v>2</v>
      </c>
      <c r="S795" s="45" t="n">
        <v>-0</v>
      </c>
      <c r="T795">
        <f>(S794+S795+S796)=T2</f>
        <v/>
      </c>
      <c r="X795" s="84">
        <f>MAX(S792-S795,0)</f>
        <v/>
      </c>
      <c r="Y795" s="83" t="n">
        <v>0</v>
      </c>
      <c r="AA795" s="84" t="n">
        <v>11</v>
      </c>
      <c r="AB795" s="84" t="inlineStr">
        <is>
          <t>F</t>
        </is>
      </c>
      <c r="AC795" s="84" t="inlineStr">
        <is>
          <t>F+</t>
        </is>
      </c>
      <c r="AD795" s="84" t="n">
        <v>12</v>
      </c>
      <c r="AE795" s="84" t="n">
        <v>9</v>
      </c>
      <c r="AF795" s="84" t="n">
        <v>0.8</v>
      </c>
      <c r="AG795" s="84" t="n">
        <v>0.9</v>
      </c>
      <c r="AH795" s="84" t="n">
        <v>0</v>
      </c>
      <c r="AI795" s="84" t="n">
        <v>0</v>
      </c>
      <c r="AJ795" s="84">
        <f>SUMIFS(AH$8:AH$1039,$O$8:$O$1039,O795,$AB$8:$AB$1039,AB795,$R$8:$R$1039,R795,$AA$8:$AA$1039,"&lt;="&amp;AA795)</f>
        <v/>
      </c>
      <c r="AK795" s="84">
        <f>D85</f>
        <v/>
      </c>
      <c r="AL795" s="84">
        <f>D91</f>
        <v/>
      </c>
      <c r="AM795" s="84">
        <f>MAX(0,AJ795-AK795)</f>
        <v/>
      </c>
      <c r="AN795" s="84">
        <f>IF(AM795=0,AH795,IF(AM795&gt;=AH795,0,AH795-AM795))</f>
        <v/>
      </c>
      <c r="AO795" s="84">
        <f>IF(AM795&gt;=AH795,AI795,AI795*AM795/AH795)</f>
        <v/>
      </c>
      <c r="AP795">
        <f t="array" ref="AP795">INDEX($AU$8:$BB$25,6*(R795-1)+MATCH(AB795,$AS$8:$AS$13,0),MATCH(O795,$AU$7:$BB$7,0))</f>
        <v/>
      </c>
    </row>
    <row r="796" ht="14.25" customHeight="1">
      <c r="O796" s="43" t="inlineStr">
        <is>
          <t>Q3’27</t>
        </is>
      </c>
      <c r="P796" s="43" t="n">
        <v>1</v>
      </c>
      <c r="Q796" s="43" t="n">
        <v>5</v>
      </c>
      <c r="R796" s="43" t="n">
        <v>3</v>
      </c>
      <c r="S796" s="45" t="n">
        <v>0</v>
      </c>
      <c r="T796">
        <f>(S794+S795+S796)=T2</f>
        <v/>
      </c>
      <c r="X796" s="84">
        <f>MAX(S793-S796,0)</f>
        <v/>
      </c>
      <c r="Y796" s="83" t="n">
        <v>0</v>
      </c>
      <c r="AA796" s="84" t="n">
        <v>11</v>
      </c>
      <c r="AB796" s="84" t="inlineStr">
        <is>
          <t>F</t>
        </is>
      </c>
      <c r="AC796" s="84" t="inlineStr">
        <is>
          <t>F+</t>
        </is>
      </c>
      <c r="AD796" s="84" t="n">
        <v>12</v>
      </c>
      <c r="AE796" s="84" t="n">
        <v>9</v>
      </c>
      <c r="AF796" s="84" t="n">
        <v>0.8</v>
      </c>
      <c r="AG796" s="84" t="n">
        <v>0.9</v>
      </c>
      <c r="AH796" s="84" t="n">
        <v>0</v>
      </c>
      <c r="AI796" s="84" t="n">
        <v>0</v>
      </c>
      <c r="AJ796" s="84">
        <f>SUMIFS(AH$8:AH$1039,$O$8:$O$1039,O796,$AB$8:$AB$1039,AB796,$R$8:$R$1039,R796,$AA$8:$AA$1039,"&lt;="&amp;AA796)</f>
        <v/>
      </c>
      <c r="AK796" s="84">
        <f>E85</f>
        <v/>
      </c>
      <c r="AL796" s="84">
        <f>E91</f>
        <v/>
      </c>
      <c r="AM796" s="84">
        <f>MAX(0,AJ796-AK796)</f>
        <v/>
      </c>
      <c r="AN796" s="84">
        <f>IF(AM796=0,AH796,IF(AM796&gt;=AH796,0,AH796-AM796))</f>
        <v/>
      </c>
      <c r="AO796" s="84">
        <f>IF(AM796&gt;=AH796,AI796,AI796*AM796/AH796)</f>
        <v/>
      </c>
      <c r="AP796">
        <f t="array" ref="AP796">INDEX($AU$8:$BB$25,6*(R796-1)+MATCH(AB796,$AS$8:$AS$13,0),MATCH(O796,$AU$7:$BB$7,0))</f>
        <v/>
      </c>
    </row>
    <row r="797" ht="14.25" customHeight="1">
      <c r="O797" s="43" t="inlineStr">
        <is>
          <t>Q3’27</t>
        </is>
      </c>
      <c r="P797" s="43" t="n">
        <v>1</v>
      </c>
      <c r="Q797" s="43" t="n">
        <v>6</v>
      </c>
      <c r="R797" s="43" t="n">
        <v>1</v>
      </c>
      <c r="S797" s="45" t="n">
        <v>2480</v>
      </c>
      <c r="T797">
        <f>(S797+S798+S799)=T2</f>
        <v/>
      </c>
      <c r="X797" s="84">
        <f>MAX(S794-S797,0)</f>
        <v/>
      </c>
      <c r="Y797" s="83" t="n">
        <v>0</v>
      </c>
      <c r="AA797" s="84" t="n">
        <v>7</v>
      </c>
      <c r="AB797" s="84" t="inlineStr">
        <is>
          <t>D</t>
        </is>
      </c>
      <c r="AC797" s="84" t="inlineStr">
        <is>
          <t>D+</t>
        </is>
      </c>
      <c r="AD797" s="84" t="n">
        <v>27</v>
      </c>
      <c r="AE797" s="84" t="n">
        <v>21</v>
      </c>
      <c r="AF797" s="84" t="n">
        <v>0.8</v>
      </c>
      <c r="AG797" s="84" t="n">
        <v>0.88</v>
      </c>
      <c r="AH797" s="84" t="n">
        <v>0</v>
      </c>
      <c r="AI797" s="84" t="n">
        <v>0</v>
      </c>
      <c r="AJ797" s="84">
        <f>SUMIFS(AH$8:AH$1039,$O$8:$O$1039,O797,$AB$8:$AB$1039,AB797,$R$8:$R$1039,R797,$AA$8:$AA$1039,"&lt;="&amp;AA797)</f>
        <v/>
      </c>
      <c r="AK797" s="84">
        <f>C83</f>
        <v/>
      </c>
      <c r="AL797" s="84">
        <f>C89</f>
        <v/>
      </c>
      <c r="AM797" s="84">
        <f>MAX(0,AJ797-AK797)</f>
        <v/>
      </c>
      <c r="AN797" s="84">
        <f>IF(AM797=0,AH797,IF(AM797&gt;=AH797,0,AH797-AM797))</f>
        <v/>
      </c>
      <c r="AO797" s="84">
        <f>IF(AM797&gt;=AH797,AI797,AI797*AM797/AH797)</f>
        <v/>
      </c>
      <c r="AP797">
        <f t="array" ref="AP797">INDEX($AU$8:$BB$25,6*(R797-1)+MATCH(AB797,$AS$8:$AS$13,0),MATCH(O797,$AU$7:$BB$7,0))</f>
        <v/>
      </c>
    </row>
    <row r="798" ht="14.25" customHeight="1">
      <c r="O798" s="43" t="inlineStr">
        <is>
          <t>Q3’27</t>
        </is>
      </c>
      <c r="P798" s="43" t="n">
        <v>1</v>
      </c>
      <c r="Q798" s="43" t="n">
        <v>6</v>
      </c>
      <c r="R798" s="43" t="n">
        <v>2</v>
      </c>
      <c r="S798" s="45" t="n">
        <v>-0</v>
      </c>
      <c r="T798">
        <f>(S797+S798+S799)=T2</f>
        <v/>
      </c>
      <c r="X798" s="84">
        <f>MAX(S795-S798,0)</f>
        <v/>
      </c>
      <c r="Y798" s="83" t="n">
        <v>0</v>
      </c>
      <c r="AA798" s="84" t="n">
        <v>7</v>
      </c>
      <c r="AB798" s="84" t="inlineStr">
        <is>
          <t>D</t>
        </is>
      </c>
      <c r="AC798" s="84" t="inlineStr">
        <is>
          <t>D+</t>
        </is>
      </c>
      <c r="AD798" s="84" t="n">
        <v>27</v>
      </c>
      <c r="AE798" s="84" t="n">
        <v>21</v>
      </c>
      <c r="AF798" s="84" t="n">
        <v>0.8</v>
      </c>
      <c r="AG798" s="84" t="n">
        <v>0.88</v>
      </c>
      <c r="AH798" s="84" t="n">
        <v>0</v>
      </c>
      <c r="AI798" s="84" t="n">
        <v>0</v>
      </c>
      <c r="AJ798" s="84">
        <f>SUMIFS(AH$8:AH$1039,$O$8:$O$1039,O798,$AB$8:$AB$1039,AB798,$R$8:$R$1039,R798,$AA$8:$AA$1039,"&lt;="&amp;AA798)</f>
        <v/>
      </c>
      <c r="AK798" s="84">
        <f>D83</f>
        <v/>
      </c>
      <c r="AL798" s="84">
        <f>D89</f>
        <v/>
      </c>
      <c r="AM798" s="84">
        <f>MAX(0,AJ798-AK798)</f>
        <v/>
      </c>
      <c r="AN798" s="84">
        <f>IF(AM798=0,AH798,IF(AM798&gt;=AH798,0,AH798-AM798))</f>
        <v/>
      </c>
      <c r="AO798" s="84">
        <f>IF(AM798&gt;=AH798,AI798,AI798*AM798/AH798)</f>
        <v/>
      </c>
      <c r="AP798">
        <f t="array" ref="AP798">INDEX($AU$8:$BB$25,6*(R798-1)+MATCH(AB798,$AS$8:$AS$13,0),MATCH(O798,$AU$7:$BB$7,0))</f>
        <v/>
      </c>
    </row>
    <row r="799" ht="14.25" customHeight="1">
      <c r="O799" s="43" t="inlineStr">
        <is>
          <t>Q3’27</t>
        </is>
      </c>
      <c r="P799" s="43" t="n">
        <v>1</v>
      </c>
      <c r="Q799" s="43" t="n">
        <v>6</v>
      </c>
      <c r="R799" s="43" t="n">
        <v>3</v>
      </c>
      <c r="S799" s="45" t="n">
        <v>-0</v>
      </c>
      <c r="T799">
        <f>(S797+S798+S799)=T2</f>
        <v/>
      </c>
      <c r="X799" s="84">
        <f>MAX(S796-S799,0)</f>
        <v/>
      </c>
      <c r="Y799" s="83" t="n">
        <v>0</v>
      </c>
      <c r="AA799" s="84" t="n">
        <v>7</v>
      </c>
      <c r="AB799" s="84" t="inlineStr">
        <is>
          <t>D</t>
        </is>
      </c>
      <c r="AC799" s="84" t="inlineStr">
        <is>
          <t>D+</t>
        </is>
      </c>
      <c r="AD799" s="84" t="n">
        <v>27</v>
      </c>
      <c r="AE799" s="84" t="n">
        <v>21</v>
      </c>
      <c r="AF799" s="84" t="n">
        <v>0.8</v>
      </c>
      <c r="AG799" s="84" t="n">
        <v>0.88</v>
      </c>
      <c r="AH799" s="84" t="n">
        <v>0</v>
      </c>
      <c r="AI799" s="84" t="n">
        <v>0</v>
      </c>
      <c r="AJ799" s="84">
        <f>SUMIFS(AH$8:AH$1039,$O$8:$O$1039,O799,$AB$8:$AB$1039,AB799,$R$8:$R$1039,R799,$AA$8:$AA$1039,"&lt;="&amp;AA799)</f>
        <v/>
      </c>
      <c r="AK799" s="84">
        <f>E83</f>
        <v/>
      </c>
      <c r="AL799" s="84">
        <f>E89</f>
        <v/>
      </c>
      <c r="AM799" s="84">
        <f>MAX(0,AJ799-AK799)</f>
        <v/>
      </c>
      <c r="AN799" s="84">
        <f>IF(AM799=0,AH799,IF(AM799&gt;=AH799,0,AH799-AM799))</f>
        <v/>
      </c>
      <c r="AO799" s="84">
        <f>IF(AM799&gt;=AH799,AI799,AI799*AM799/AH799)</f>
        <v/>
      </c>
      <c r="AP799">
        <f t="array" ref="AP799">INDEX($AU$8:$BB$25,6*(R799-1)+MATCH(AB799,$AS$8:$AS$13,0),MATCH(O799,$AU$7:$BB$7,0))</f>
        <v/>
      </c>
    </row>
    <row r="800" ht="14.25" customHeight="1">
      <c r="O800" s="43" t="inlineStr">
        <is>
          <t>Q3’27</t>
        </is>
      </c>
      <c r="P800" s="43" t="n">
        <v>1</v>
      </c>
      <c r="Q800" s="43" t="n">
        <v>7</v>
      </c>
      <c r="R800" s="43" t="n">
        <v>1</v>
      </c>
      <c r="S800" s="45" t="n">
        <v>2480</v>
      </c>
      <c r="T800">
        <f>(S800+S801+S802)=T2</f>
        <v/>
      </c>
      <c r="X800" s="84">
        <f>MAX(S797-S800,0)</f>
        <v/>
      </c>
      <c r="Y800" s="83" t="n">
        <v>0</v>
      </c>
      <c r="AA800" s="84" t="n">
        <v>9</v>
      </c>
      <c r="AB800" s="84" t="inlineStr">
        <is>
          <t>D</t>
        </is>
      </c>
      <c r="AC800" s="84" t="inlineStr">
        <is>
          <t>D+</t>
        </is>
      </c>
      <c r="AD800" s="84" t="n">
        <v>17</v>
      </c>
      <c r="AE800" s="84" t="n">
        <v>13</v>
      </c>
      <c r="AF800" s="84" t="n">
        <v>0.8</v>
      </c>
      <c r="AG800" s="84" t="n">
        <v>0.88</v>
      </c>
      <c r="AH800" s="84" t="n">
        <v>0</v>
      </c>
      <c r="AI800" s="84" t="n">
        <v>0</v>
      </c>
      <c r="AJ800" s="84">
        <f>SUMIFS(AH$8:AH$1039,$O$8:$O$1039,O800,$AB$8:$AB$1039,AB800,$R$8:$R$1039,R800,$AA$8:$AA$1039,"&lt;="&amp;AA800)</f>
        <v/>
      </c>
      <c r="AK800" s="84">
        <f>C83</f>
        <v/>
      </c>
      <c r="AL800" s="84">
        <f>C89</f>
        <v/>
      </c>
      <c r="AM800" s="84">
        <f>MAX(0,AJ800-AK800)</f>
        <v/>
      </c>
      <c r="AN800" s="84">
        <f>IF(AM800=0,AH800,IF(AM800&gt;=AH800,0,AH800-AM800))</f>
        <v/>
      </c>
      <c r="AO800" s="84">
        <f>IF(AM800&gt;=AH800,AI800,AI800*AM800/AH800)</f>
        <v/>
      </c>
      <c r="AP800">
        <f t="array" ref="AP800">INDEX($AU$8:$BB$25,6*(R800-1)+MATCH(AB800,$AS$8:$AS$13,0),MATCH(O800,$AU$7:$BB$7,0))</f>
        <v/>
      </c>
    </row>
    <row r="801" ht="14.25" customHeight="1">
      <c r="O801" s="43" t="inlineStr">
        <is>
          <t>Q3’27</t>
        </is>
      </c>
      <c r="P801" s="43" t="n">
        <v>1</v>
      </c>
      <c r="Q801" s="43" t="n">
        <v>7</v>
      </c>
      <c r="R801" s="43" t="n">
        <v>2</v>
      </c>
      <c r="S801" s="45" t="n">
        <v>-0</v>
      </c>
      <c r="T801">
        <f>(S800+S801+S802)=T2</f>
        <v/>
      </c>
      <c r="X801" s="84">
        <f>MAX(S798-S801,0)</f>
        <v/>
      </c>
      <c r="Y801" s="83" t="n">
        <v>0</v>
      </c>
      <c r="AA801" s="84" t="n">
        <v>9</v>
      </c>
      <c r="AB801" s="84" t="inlineStr">
        <is>
          <t>D</t>
        </is>
      </c>
      <c r="AC801" s="84" t="inlineStr">
        <is>
          <t>D+</t>
        </is>
      </c>
      <c r="AD801" s="84" t="n">
        <v>17</v>
      </c>
      <c r="AE801" s="84" t="n">
        <v>13</v>
      </c>
      <c r="AF801" s="84" t="n">
        <v>0.8</v>
      </c>
      <c r="AG801" s="84" t="n">
        <v>0.88</v>
      </c>
      <c r="AH801" s="84" t="n">
        <v>0</v>
      </c>
      <c r="AI801" s="84" t="n">
        <v>0</v>
      </c>
      <c r="AJ801" s="84">
        <f>SUMIFS(AH$8:AH$1039,$O$8:$O$1039,O801,$AB$8:$AB$1039,AB801,$R$8:$R$1039,R801,$AA$8:$AA$1039,"&lt;="&amp;AA801)</f>
        <v/>
      </c>
      <c r="AK801" s="84">
        <f>D83</f>
        <v/>
      </c>
      <c r="AL801" s="84">
        <f>D89</f>
        <v/>
      </c>
      <c r="AM801" s="84">
        <f>MAX(0,AJ801-AK801)</f>
        <v/>
      </c>
      <c r="AN801" s="84">
        <f>IF(AM801=0,AH801,IF(AM801&gt;=AH801,0,AH801-AM801))</f>
        <v/>
      </c>
      <c r="AO801" s="84">
        <f>IF(AM801&gt;=AH801,AI801,AI801*AM801/AH801)</f>
        <v/>
      </c>
      <c r="AP801">
        <f t="array" ref="AP801">INDEX($AU$8:$BB$25,6*(R801-1)+MATCH(AB801,$AS$8:$AS$13,0),MATCH(O801,$AU$7:$BB$7,0))</f>
        <v/>
      </c>
    </row>
    <row r="802" ht="14.25" customHeight="1">
      <c r="O802" s="43" t="inlineStr">
        <is>
          <t>Q3’27</t>
        </is>
      </c>
      <c r="P802" s="43" t="n">
        <v>1</v>
      </c>
      <c r="Q802" s="43" t="n">
        <v>7</v>
      </c>
      <c r="R802" s="43" t="n">
        <v>3</v>
      </c>
      <c r="S802" s="45" t="n">
        <v>0</v>
      </c>
      <c r="T802">
        <f>(S800+S801+S802)=T2</f>
        <v/>
      </c>
      <c r="X802" s="84">
        <f>MAX(S799-S802,0)</f>
        <v/>
      </c>
      <c r="Y802" s="83" t="n">
        <v>0</v>
      </c>
      <c r="AA802" s="84" t="n">
        <v>9</v>
      </c>
      <c r="AB802" s="84" t="inlineStr">
        <is>
          <t>D</t>
        </is>
      </c>
      <c r="AC802" s="84" t="inlineStr">
        <is>
          <t>D+</t>
        </is>
      </c>
      <c r="AD802" s="84" t="n">
        <v>17</v>
      </c>
      <c r="AE802" s="84" t="n">
        <v>13</v>
      </c>
      <c r="AF802" s="84" t="n">
        <v>0.8</v>
      </c>
      <c r="AG802" s="84" t="n">
        <v>0.88</v>
      </c>
      <c r="AH802" s="84" t="n">
        <v>0</v>
      </c>
      <c r="AI802" s="84" t="n">
        <v>0</v>
      </c>
      <c r="AJ802" s="84">
        <f>SUMIFS(AH$8:AH$1039,$O$8:$O$1039,O802,$AB$8:$AB$1039,AB802,$R$8:$R$1039,R802,$AA$8:$AA$1039,"&lt;="&amp;AA802)</f>
        <v/>
      </c>
      <c r="AK802" s="84">
        <f>E83</f>
        <v/>
      </c>
      <c r="AL802" s="84">
        <f>E89</f>
        <v/>
      </c>
      <c r="AM802" s="84">
        <f>MAX(0,AJ802-AK802)</f>
        <v/>
      </c>
      <c r="AN802" s="84">
        <f>IF(AM802=0,AH802,IF(AM802&gt;=AH802,0,AH802-AM802))</f>
        <v/>
      </c>
      <c r="AO802" s="84">
        <f>IF(AM802&gt;=AH802,AI802,AI802*AM802/AH802)</f>
        <v/>
      </c>
      <c r="AP802">
        <f t="array" ref="AP802">INDEX($AU$8:$BB$25,6*(R802-1)+MATCH(AB802,$AS$8:$AS$13,0),MATCH(O802,$AU$7:$BB$7,0))</f>
        <v/>
      </c>
    </row>
    <row r="803" ht="14.25" customHeight="1">
      <c r="O803" s="43" t="inlineStr">
        <is>
          <t>Q3’27</t>
        </is>
      </c>
      <c r="P803" s="43" t="n">
        <v>1</v>
      </c>
      <c r="Q803" s="43" t="n">
        <v>8</v>
      </c>
      <c r="R803" s="43" t="n">
        <v>1</v>
      </c>
      <c r="S803" s="45" t="n">
        <v>2480</v>
      </c>
      <c r="T803">
        <f>(S803+S804+S805)=T2</f>
        <v/>
      </c>
      <c r="X803" s="84">
        <f>MAX(S800-S803,0)</f>
        <v/>
      </c>
      <c r="Y803" s="83" t="n">
        <v>0</v>
      </c>
      <c r="AA803" s="84" t="n">
        <v>1</v>
      </c>
      <c r="AB803" s="84" t="inlineStr">
        <is>
          <t>A</t>
        </is>
      </c>
      <c r="AC803" s="84" t="inlineStr">
        <is>
          <t>A+</t>
        </is>
      </c>
      <c r="AD803" s="84" t="n">
        <v>18</v>
      </c>
      <c r="AE803" s="84" t="n">
        <v>16</v>
      </c>
      <c r="AF803" s="84" t="n">
        <v>0.78</v>
      </c>
      <c r="AG803" s="84" t="n">
        <v>0.84</v>
      </c>
      <c r="AH803" s="84" t="n">
        <v>0</v>
      </c>
      <c r="AI803" s="84" t="n">
        <v>0</v>
      </c>
      <c r="AJ803" s="84">
        <f>SUMIFS(AH$8:AH$1039,$O$8:$O$1039,O803,$AB$8:$AB$1039,AB803,$R$8:$R$1039,R803,$AA$8:$AA$1039,"&lt;="&amp;AA803)</f>
        <v/>
      </c>
      <c r="AK803" s="84">
        <f>C80</f>
        <v/>
      </c>
      <c r="AL803" s="84">
        <f>C86</f>
        <v/>
      </c>
      <c r="AM803" s="84">
        <f>MAX(0,AJ803-AK803)</f>
        <v/>
      </c>
      <c r="AN803" s="84">
        <f>IF(AM803=0,AH803,IF(AM803&gt;=AH803,0,AH803-AM803))</f>
        <v/>
      </c>
      <c r="AO803" s="84">
        <f>IF(AM803&gt;=AH803,AI803,AI803*AM803/AH803)</f>
        <v/>
      </c>
      <c r="AP803">
        <f t="array" ref="AP803">INDEX($AU$8:$BB$25,6*(R803-1)+MATCH(AB803,$AS$8:$AS$13,0),MATCH(O803,$AU$7:$BB$7,0))</f>
        <v/>
      </c>
    </row>
    <row r="804" ht="14.25" customHeight="1">
      <c r="O804" s="43" t="inlineStr">
        <is>
          <t>Q3’27</t>
        </is>
      </c>
      <c r="P804" s="43" t="n">
        <v>1</v>
      </c>
      <c r="Q804" s="43" t="n">
        <v>8</v>
      </c>
      <c r="R804" s="43" t="n">
        <v>2</v>
      </c>
      <c r="S804" s="45" t="n">
        <v>-0</v>
      </c>
      <c r="T804">
        <f>(S803+S804+S805)=T2</f>
        <v/>
      </c>
      <c r="X804" s="84">
        <f>MAX(S801-S804,0)</f>
        <v/>
      </c>
      <c r="Y804" s="83" t="n">
        <v>0</v>
      </c>
      <c r="AA804" s="84" t="n">
        <v>1</v>
      </c>
      <c r="AB804" s="84" t="inlineStr">
        <is>
          <t>A</t>
        </is>
      </c>
      <c r="AC804" s="84" t="inlineStr">
        <is>
          <t>A+</t>
        </is>
      </c>
      <c r="AD804" s="84" t="n">
        <v>18</v>
      </c>
      <c r="AE804" s="84" t="n">
        <v>16</v>
      </c>
      <c r="AF804" s="84" t="n">
        <v>0.78</v>
      </c>
      <c r="AG804" s="84" t="n">
        <v>0.84</v>
      </c>
      <c r="AH804" s="84" t="n">
        <v>0</v>
      </c>
      <c r="AI804" s="84" t="n">
        <v>0</v>
      </c>
      <c r="AJ804" s="84">
        <f>SUMIFS(AH$8:AH$1039,$O$8:$O$1039,O804,$AB$8:$AB$1039,AB804,$R$8:$R$1039,R804,$AA$8:$AA$1039,"&lt;="&amp;AA804)</f>
        <v/>
      </c>
      <c r="AK804" s="84">
        <f>D80</f>
        <v/>
      </c>
      <c r="AL804" s="84">
        <f>D86</f>
        <v/>
      </c>
      <c r="AM804" s="84">
        <f>MAX(0,AJ804-AK804)</f>
        <v/>
      </c>
      <c r="AN804" s="84">
        <f>IF(AM804=0,AH804,IF(AM804&gt;=AH804,0,AH804-AM804))</f>
        <v/>
      </c>
      <c r="AO804" s="84">
        <f>IF(AM804&gt;=AH804,AI804,AI804*AM804/AH804)</f>
        <v/>
      </c>
      <c r="AP804">
        <f t="array" ref="AP804">INDEX($AU$8:$BB$25,6*(R804-1)+MATCH(AB804,$AS$8:$AS$13,0),MATCH(O804,$AU$7:$BB$7,0))</f>
        <v/>
      </c>
    </row>
    <row r="805" ht="14.25" customHeight="1">
      <c r="O805" s="43" t="inlineStr">
        <is>
          <t>Q3’27</t>
        </is>
      </c>
      <c r="P805" s="43" t="n">
        <v>1</v>
      </c>
      <c r="Q805" s="43" t="n">
        <v>8</v>
      </c>
      <c r="R805" s="43" t="n">
        <v>3</v>
      </c>
      <c r="S805" s="45" t="n">
        <v>0</v>
      </c>
      <c r="T805">
        <f>(S803+S804+S805)=T2</f>
        <v/>
      </c>
      <c r="X805" s="84">
        <f>MAX(S802-S805,0)</f>
        <v/>
      </c>
      <c r="Y805" s="83" t="n">
        <v>0</v>
      </c>
      <c r="AA805" s="84" t="n">
        <v>1</v>
      </c>
      <c r="AB805" s="84" t="inlineStr">
        <is>
          <t>A</t>
        </is>
      </c>
      <c r="AC805" s="84" t="inlineStr">
        <is>
          <t>A+</t>
        </is>
      </c>
      <c r="AD805" s="84" t="n">
        <v>18</v>
      </c>
      <c r="AE805" s="84" t="n">
        <v>16</v>
      </c>
      <c r="AF805" s="84" t="n">
        <v>0.78</v>
      </c>
      <c r="AG805" s="84" t="n">
        <v>0.84</v>
      </c>
      <c r="AH805" s="84" t="n">
        <v>0</v>
      </c>
      <c r="AI805" s="84" t="n">
        <v>0</v>
      </c>
      <c r="AJ805" s="84">
        <f>SUMIFS(AH$8:AH$1039,$O$8:$O$1039,O805,$AB$8:$AB$1039,AB805,$R$8:$R$1039,R805,$AA$8:$AA$1039,"&lt;="&amp;AA805)</f>
        <v/>
      </c>
      <c r="AK805" s="84">
        <f>E80</f>
        <v/>
      </c>
      <c r="AL805" s="84">
        <f>E86</f>
        <v/>
      </c>
      <c r="AM805" s="84">
        <f>MAX(0,AJ805-AK805)</f>
        <v/>
      </c>
      <c r="AN805" s="84">
        <f>IF(AM805=0,AH805,IF(AM805&gt;=AH805,0,AH805-AM805))</f>
        <v/>
      </c>
      <c r="AO805" s="84">
        <f>IF(AM805&gt;=AH805,AI805,AI805*AM805/AH805)</f>
        <v/>
      </c>
      <c r="AP805">
        <f t="array" ref="AP805">INDEX($AU$8:$BB$25,6*(R805-1)+MATCH(AB805,$AS$8:$AS$13,0),MATCH(O805,$AU$7:$BB$7,0))</f>
        <v/>
      </c>
    </row>
    <row r="806" ht="14.25" customHeight="1">
      <c r="O806" s="43" t="inlineStr">
        <is>
          <t>Q3’27</t>
        </is>
      </c>
      <c r="P806" s="43" t="n">
        <v>1</v>
      </c>
      <c r="Q806" s="43" t="n">
        <v>9</v>
      </c>
      <c r="R806" s="43" t="n">
        <v>1</v>
      </c>
      <c r="S806" s="45" t="n">
        <v>2480</v>
      </c>
      <c r="T806">
        <f>(S806+S807+S808)=T2</f>
        <v/>
      </c>
      <c r="X806" s="84">
        <f>MAX(S803-S806,0)</f>
        <v/>
      </c>
      <c r="Y806" s="83" t="n">
        <v>0</v>
      </c>
      <c r="AA806" s="84" t="n">
        <v>2</v>
      </c>
      <c r="AB806" s="84" t="inlineStr">
        <is>
          <t>A</t>
        </is>
      </c>
      <c r="AC806" s="84" t="inlineStr">
        <is>
          <t>A+</t>
        </is>
      </c>
      <c r="AD806" s="84" t="n">
        <v>16</v>
      </c>
      <c r="AE806" s="84" t="n">
        <v>13</v>
      </c>
      <c r="AF806" s="84" t="n">
        <v>0.78</v>
      </c>
      <c r="AG806" s="84" t="n">
        <v>0.84</v>
      </c>
      <c r="AH806" s="84" t="n">
        <v>0</v>
      </c>
      <c r="AI806" s="84" t="n">
        <v>0</v>
      </c>
      <c r="AJ806" s="84">
        <f>SUMIFS(AH$8:AH$1039,$O$8:$O$1039,O806,$AB$8:$AB$1039,AB806,$R$8:$R$1039,R806,$AA$8:$AA$1039,"&lt;="&amp;AA806)</f>
        <v/>
      </c>
      <c r="AK806" s="84">
        <f>C80</f>
        <v/>
      </c>
      <c r="AL806" s="84">
        <f>C86</f>
        <v/>
      </c>
      <c r="AM806" s="84">
        <f>MAX(0,AJ806-AK806)</f>
        <v/>
      </c>
      <c r="AN806" s="84">
        <f>IF(AM806=0,AH806,IF(AM806&gt;=AH806,0,AH806-AM806))</f>
        <v/>
      </c>
      <c r="AO806" s="84">
        <f>IF(AM806&gt;=AH806,AI806,AI806*AM806/AH806)</f>
        <v/>
      </c>
      <c r="AP806">
        <f t="array" ref="AP806">INDEX($AU$8:$BB$25,6*(R806-1)+MATCH(AB806,$AS$8:$AS$13,0),MATCH(O806,$AU$7:$BB$7,0))</f>
        <v/>
      </c>
    </row>
    <row r="807" ht="14.25" customHeight="1">
      <c r="O807" s="43" t="inlineStr">
        <is>
          <t>Q3’27</t>
        </is>
      </c>
      <c r="P807" s="43" t="n">
        <v>1</v>
      </c>
      <c r="Q807" s="43" t="n">
        <v>9</v>
      </c>
      <c r="R807" s="43" t="n">
        <v>2</v>
      </c>
      <c r="S807" s="45" t="n">
        <v>0</v>
      </c>
      <c r="T807">
        <f>(S806+S807+S808)=T2</f>
        <v/>
      </c>
      <c r="X807" s="84">
        <f>MAX(S804-S807,0)</f>
        <v/>
      </c>
      <c r="Y807" s="83" t="n">
        <v>0</v>
      </c>
      <c r="AA807" s="84" t="n">
        <v>2</v>
      </c>
      <c r="AB807" s="84" t="inlineStr">
        <is>
          <t>A</t>
        </is>
      </c>
      <c r="AC807" s="84" t="inlineStr">
        <is>
          <t>A+</t>
        </is>
      </c>
      <c r="AD807" s="84" t="n">
        <v>16</v>
      </c>
      <c r="AE807" s="84" t="n">
        <v>13</v>
      </c>
      <c r="AF807" s="84" t="n">
        <v>0.78</v>
      </c>
      <c r="AG807" s="84" t="n">
        <v>0.84</v>
      </c>
      <c r="AH807" s="84" t="n">
        <v>0</v>
      </c>
      <c r="AI807" s="84" t="n">
        <v>0</v>
      </c>
      <c r="AJ807" s="84">
        <f>SUMIFS(AH$8:AH$1039,$O$8:$O$1039,O807,$AB$8:$AB$1039,AB807,$R$8:$R$1039,R807,$AA$8:$AA$1039,"&lt;="&amp;AA807)</f>
        <v/>
      </c>
      <c r="AK807" s="84">
        <f>D80</f>
        <v/>
      </c>
      <c r="AL807" s="84">
        <f>D86</f>
        <v/>
      </c>
      <c r="AM807" s="84">
        <f>MAX(0,AJ807-AK807)</f>
        <v/>
      </c>
      <c r="AN807" s="84">
        <f>IF(AM807=0,AH807,IF(AM807&gt;=AH807,0,AH807-AM807))</f>
        <v/>
      </c>
      <c r="AO807" s="84">
        <f>IF(AM807&gt;=AH807,AI807,AI807*AM807/AH807)</f>
        <v/>
      </c>
      <c r="AP807">
        <f t="array" ref="AP807">INDEX($AU$8:$BB$25,6*(R807-1)+MATCH(AB807,$AS$8:$AS$13,0),MATCH(O807,$AU$7:$BB$7,0))</f>
        <v/>
      </c>
    </row>
    <row r="808" ht="14.25" customHeight="1">
      <c r="O808" s="43" t="inlineStr">
        <is>
          <t>Q3’27</t>
        </is>
      </c>
      <c r="P808" s="43" t="n">
        <v>1</v>
      </c>
      <c r="Q808" s="43" t="n">
        <v>9</v>
      </c>
      <c r="R808" s="43" t="n">
        <v>3</v>
      </c>
      <c r="S808" s="45" t="n">
        <v>0</v>
      </c>
      <c r="T808">
        <f>(S806+S807+S808)=T2</f>
        <v/>
      </c>
      <c r="X808" s="84">
        <f>MAX(S805-S808,0)</f>
        <v/>
      </c>
      <c r="Y808" s="83" t="n">
        <v>0</v>
      </c>
      <c r="AA808" s="84" t="n">
        <v>2</v>
      </c>
      <c r="AB808" s="84" t="inlineStr">
        <is>
          <t>A</t>
        </is>
      </c>
      <c r="AC808" s="84" t="inlineStr">
        <is>
          <t>A+</t>
        </is>
      </c>
      <c r="AD808" s="84" t="n">
        <v>16</v>
      </c>
      <c r="AE808" s="84" t="n">
        <v>13</v>
      </c>
      <c r="AF808" s="84" t="n">
        <v>0.78</v>
      </c>
      <c r="AG808" s="84" t="n">
        <v>0.84</v>
      </c>
      <c r="AH808" s="84" t="n">
        <v>0</v>
      </c>
      <c r="AI808" s="84" t="n">
        <v>0</v>
      </c>
      <c r="AJ808" s="84">
        <f>SUMIFS(AH$8:AH$1039,$O$8:$O$1039,O808,$AB$8:$AB$1039,AB808,$R$8:$R$1039,R808,$AA$8:$AA$1039,"&lt;="&amp;AA808)</f>
        <v/>
      </c>
      <c r="AK808" s="84">
        <f>E80</f>
        <v/>
      </c>
      <c r="AL808" s="84">
        <f>E86</f>
        <v/>
      </c>
      <c r="AM808" s="84">
        <f>MAX(0,AJ808-AK808)</f>
        <v/>
      </c>
      <c r="AN808" s="84">
        <f>IF(AM808=0,AH808,IF(AM808&gt;=AH808,0,AH808-AM808))</f>
        <v/>
      </c>
      <c r="AO808" s="84">
        <f>IF(AM808&gt;=AH808,AI808,AI808*AM808/AH808)</f>
        <v/>
      </c>
      <c r="AP808">
        <f t="array" ref="AP808">INDEX($AU$8:$BB$25,6*(R808-1)+MATCH(AB808,$AS$8:$AS$13,0),MATCH(O808,$AU$7:$BB$7,0))</f>
        <v/>
      </c>
    </row>
    <row r="809" ht="14.25" customHeight="1">
      <c r="O809" s="43" t="inlineStr">
        <is>
          <t>Q3’27</t>
        </is>
      </c>
      <c r="P809" s="43" t="n">
        <v>1</v>
      </c>
      <c r="Q809" s="43" t="n">
        <v>10</v>
      </c>
      <c r="R809" s="43" t="n">
        <v>1</v>
      </c>
      <c r="S809" s="45" t="n">
        <v>2480</v>
      </c>
      <c r="T809">
        <f>(S809+S810+S811)=T2</f>
        <v/>
      </c>
      <c r="X809" s="84">
        <f>MAX(S806-S809,0)</f>
        <v/>
      </c>
      <c r="Y809" s="83" t="n">
        <v>0</v>
      </c>
      <c r="AA809" s="84" t="n">
        <v>6</v>
      </c>
      <c r="AB809" s="84" t="inlineStr">
        <is>
          <t>D</t>
        </is>
      </c>
      <c r="AC809" s="84" t="inlineStr">
        <is>
          <t>D+</t>
        </is>
      </c>
      <c r="AD809" s="84" t="n">
        <v>14</v>
      </c>
      <c r="AE809" s="84" t="n">
        <v>11</v>
      </c>
      <c r="AF809" s="84" t="n">
        <v>0.8</v>
      </c>
      <c r="AG809" s="84" t="n">
        <v>0.88</v>
      </c>
      <c r="AH809" s="84" t="n">
        <v>0</v>
      </c>
      <c r="AI809" s="84" t="n">
        <v>0</v>
      </c>
      <c r="AJ809" s="84">
        <f>SUMIFS(AH$8:AH$1039,$O$8:$O$1039,O809,$AB$8:$AB$1039,AB809,$R$8:$R$1039,R809,$AA$8:$AA$1039,"&lt;="&amp;AA809)</f>
        <v/>
      </c>
      <c r="AK809" s="84">
        <f>C83</f>
        <v/>
      </c>
      <c r="AL809" s="84">
        <f>C89</f>
        <v/>
      </c>
      <c r="AM809" s="84">
        <f>MAX(0,AJ809-AK809)</f>
        <v/>
      </c>
      <c r="AN809" s="84">
        <f>IF(AM809=0,AH809,IF(AM809&gt;=AH809,0,AH809-AM809))</f>
        <v/>
      </c>
      <c r="AO809" s="84">
        <f>IF(AM809&gt;=AH809,AI809,AI809*AM809/AH809)</f>
        <v/>
      </c>
      <c r="AP809">
        <f t="array" ref="AP809">INDEX($AU$8:$BB$25,6*(R809-1)+MATCH(AB809,$AS$8:$AS$13,0),MATCH(O809,$AU$7:$BB$7,0))</f>
        <v/>
      </c>
    </row>
    <row r="810" ht="14.25" customHeight="1">
      <c r="O810" s="43" t="inlineStr">
        <is>
          <t>Q3’27</t>
        </is>
      </c>
      <c r="P810" s="43" t="n">
        <v>1</v>
      </c>
      <c r="Q810" s="43" t="n">
        <v>10</v>
      </c>
      <c r="R810" s="43" t="n">
        <v>2</v>
      </c>
      <c r="S810" s="45" t="n">
        <v>-0</v>
      </c>
      <c r="T810">
        <f>(S809+S810+S811)=T2</f>
        <v/>
      </c>
      <c r="X810" s="84">
        <f>MAX(S807-S810,0)</f>
        <v/>
      </c>
      <c r="Y810" s="83" t="n">
        <v>0</v>
      </c>
      <c r="AA810" s="84" t="n">
        <v>6</v>
      </c>
      <c r="AB810" s="84" t="inlineStr">
        <is>
          <t>D</t>
        </is>
      </c>
      <c r="AC810" s="84" t="inlineStr">
        <is>
          <t>D+</t>
        </is>
      </c>
      <c r="AD810" s="84" t="n">
        <v>14</v>
      </c>
      <c r="AE810" s="84" t="n">
        <v>11</v>
      </c>
      <c r="AF810" s="84" t="n">
        <v>0.8</v>
      </c>
      <c r="AG810" s="84" t="n">
        <v>0.88</v>
      </c>
      <c r="AH810" s="84" t="n">
        <v>0</v>
      </c>
      <c r="AI810" s="84" t="n">
        <v>0</v>
      </c>
      <c r="AJ810" s="84">
        <f>SUMIFS(AH$8:AH$1039,$O$8:$O$1039,O810,$AB$8:$AB$1039,AB810,$R$8:$R$1039,R810,$AA$8:$AA$1039,"&lt;="&amp;AA810)</f>
        <v/>
      </c>
      <c r="AK810" s="84">
        <f>D83</f>
        <v/>
      </c>
      <c r="AL810" s="84">
        <f>D89</f>
        <v/>
      </c>
      <c r="AM810" s="84">
        <f>MAX(0,AJ810-AK810)</f>
        <v/>
      </c>
      <c r="AN810" s="84">
        <f>IF(AM810=0,AH810,IF(AM810&gt;=AH810,0,AH810-AM810))</f>
        <v/>
      </c>
      <c r="AO810" s="84">
        <f>IF(AM810&gt;=AH810,AI810,AI810*AM810/AH810)</f>
        <v/>
      </c>
      <c r="AP810">
        <f t="array" ref="AP810">INDEX($AU$8:$BB$25,6*(R810-1)+MATCH(AB810,$AS$8:$AS$13,0),MATCH(O810,$AU$7:$BB$7,0))</f>
        <v/>
      </c>
    </row>
    <row r="811" ht="14.25" customHeight="1">
      <c r="O811" s="43" t="inlineStr">
        <is>
          <t>Q3’27</t>
        </is>
      </c>
      <c r="P811" s="43" t="n">
        <v>1</v>
      </c>
      <c r="Q811" s="43" t="n">
        <v>10</v>
      </c>
      <c r="R811" s="43" t="n">
        <v>3</v>
      </c>
      <c r="S811" s="45" t="n">
        <v>-0</v>
      </c>
      <c r="T811">
        <f>(S809+S810+S811)=T2</f>
        <v/>
      </c>
      <c r="X811" s="84">
        <f>MAX(S808-S811,0)</f>
        <v/>
      </c>
      <c r="Y811" s="83" t="n">
        <v>0</v>
      </c>
      <c r="AA811" s="84" t="n">
        <v>6</v>
      </c>
      <c r="AB811" s="84" t="inlineStr">
        <is>
          <t>D</t>
        </is>
      </c>
      <c r="AC811" s="84" t="inlineStr">
        <is>
          <t>D+</t>
        </is>
      </c>
      <c r="AD811" s="84" t="n">
        <v>14</v>
      </c>
      <c r="AE811" s="84" t="n">
        <v>11</v>
      </c>
      <c r="AF811" s="84" t="n">
        <v>0.8</v>
      </c>
      <c r="AG811" s="84" t="n">
        <v>0.88</v>
      </c>
      <c r="AH811" s="84" t="n">
        <v>0</v>
      </c>
      <c r="AI811" s="84" t="n">
        <v>0</v>
      </c>
      <c r="AJ811" s="84">
        <f>SUMIFS(AH$8:AH$1039,$O$8:$O$1039,O811,$AB$8:$AB$1039,AB811,$R$8:$R$1039,R811,$AA$8:$AA$1039,"&lt;="&amp;AA811)</f>
        <v/>
      </c>
      <c r="AK811" s="84">
        <f>E83</f>
        <v/>
      </c>
      <c r="AL811" s="84">
        <f>E89</f>
        <v/>
      </c>
      <c r="AM811" s="84">
        <f>MAX(0,AJ811-AK811)</f>
        <v/>
      </c>
      <c r="AN811" s="84">
        <f>IF(AM811=0,AH811,IF(AM811&gt;=AH811,0,AH811-AM811))</f>
        <v/>
      </c>
      <c r="AO811" s="84">
        <f>IF(AM811&gt;=AH811,AI811,AI811*AM811/AH811)</f>
        <v/>
      </c>
      <c r="AP811">
        <f t="array" ref="AP811">INDEX($AU$8:$BB$25,6*(R811-1)+MATCH(AB811,$AS$8:$AS$13,0),MATCH(O811,$AU$7:$BB$7,0))</f>
        <v/>
      </c>
    </row>
    <row r="812" ht="14.25" customHeight="1">
      <c r="O812" s="43" t="inlineStr">
        <is>
          <t>Q3’27</t>
        </is>
      </c>
      <c r="P812" s="43" t="n">
        <v>1</v>
      </c>
      <c r="Q812" s="43" t="n">
        <v>11</v>
      </c>
      <c r="R812" s="43" t="n">
        <v>1</v>
      </c>
      <c r="S812" s="45" t="n">
        <v>2480</v>
      </c>
      <c r="T812">
        <f>(S812+S813+S814)=T2</f>
        <v/>
      </c>
      <c r="X812" s="84">
        <f>MAX(S809-S812,0)</f>
        <v/>
      </c>
      <c r="Y812" s="83" t="n">
        <v>0</v>
      </c>
      <c r="AA812" s="84" t="n">
        <v>3</v>
      </c>
      <c r="AB812" s="84" t="inlineStr">
        <is>
          <t>F</t>
        </is>
      </c>
      <c r="AC812" s="84" t="inlineStr">
        <is>
          <t>F+</t>
        </is>
      </c>
      <c r="AD812" s="84" t="n">
        <v>18</v>
      </c>
      <c r="AE812" s="84" t="n">
        <v>16</v>
      </c>
      <c r="AF812" s="84" t="n">
        <v>0.8</v>
      </c>
      <c r="AG812" s="84" t="n">
        <v>0.9</v>
      </c>
      <c r="AH812" s="84" t="n">
        <v>0</v>
      </c>
      <c r="AI812" s="84" t="n">
        <v>0</v>
      </c>
      <c r="AJ812" s="84">
        <f>SUMIFS(AH$8:AH$1039,$O$8:$O$1039,O812,$AB$8:$AB$1039,AB812,$R$8:$R$1039,R812,$AA$8:$AA$1039,"&lt;="&amp;AA812)</f>
        <v/>
      </c>
      <c r="AK812" s="84">
        <f>C85</f>
        <v/>
      </c>
      <c r="AL812" s="84">
        <f>C91</f>
        <v/>
      </c>
      <c r="AM812" s="84">
        <f>MAX(0,AJ812-AK812)</f>
        <v/>
      </c>
      <c r="AN812" s="84">
        <f>IF(AM812=0,AH812,IF(AM812&gt;=AH812,0,AH812-AM812))</f>
        <v/>
      </c>
      <c r="AO812" s="84">
        <f>IF(AM812&gt;=AH812,AI812,AI812*AM812/AH812)</f>
        <v/>
      </c>
      <c r="AP812">
        <f t="array" ref="AP812">INDEX($AU$8:$BB$25,6*(R812-1)+MATCH(AB812,$AS$8:$AS$13,0),MATCH(O812,$AU$7:$BB$7,0))</f>
        <v/>
      </c>
    </row>
    <row r="813" ht="14.25" customHeight="1">
      <c r="O813" s="43" t="inlineStr">
        <is>
          <t>Q3’27</t>
        </is>
      </c>
      <c r="P813" s="43" t="n">
        <v>1</v>
      </c>
      <c r="Q813" s="43" t="n">
        <v>11</v>
      </c>
      <c r="R813" s="43" t="n">
        <v>2</v>
      </c>
      <c r="S813" s="45" t="n">
        <v>-0</v>
      </c>
      <c r="T813">
        <f>(S812+S813+S814)=T2</f>
        <v/>
      </c>
      <c r="X813" s="84">
        <f>MAX(S810-S813,0)</f>
        <v/>
      </c>
      <c r="Y813" s="83" t="n">
        <v>0</v>
      </c>
      <c r="AA813" s="84" t="n">
        <v>3</v>
      </c>
      <c r="AB813" s="84" t="inlineStr">
        <is>
          <t>F</t>
        </is>
      </c>
      <c r="AC813" s="84" t="inlineStr">
        <is>
          <t>F+</t>
        </is>
      </c>
      <c r="AD813" s="84" t="n">
        <v>18</v>
      </c>
      <c r="AE813" s="84" t="n">
        <v>16</v>
      </c>
      <c r="AF813" s="84" t="n">
        <v>0.8</v>
      </c>
      <c r="AG813" s="84" t="n">
        <v>0.9</v>
      </c>
      <c r="AH813" s="84" t="n">
        <v>0</v>
      </c>
      <c r="AI813" s="84" t="n">
        <v>0</v>
      </c>
      <c r="AJ813" s="84">
        <f>SUMIFS(AH$8:AH$1039,$O$8:$O$1039,O813,$AB$8:$AB$1039,AB813,$R$8:$R$1039,R813,$AA$8:$AA$1039,"&lt;="&amp;AA813)</f>
        <v/>
      </c>
      <c r="AK813" s="84">
        <f>D85</f>
        <v/>
      </c>
      <c r="AL813" s="84">
        <f>D91</f>
        <v/>
      </c>
      <c r="AM813" s="84">
        <f>MAX(0,AJ813-AK813)</f>
        <v/>
      </c>
      <c r="AN813" s="84">
        <f>IF(AM813=0,AH813,IF(AM813&gt;=AH813,0,AH813-AM813))</f>
        <v/>
      </c>
      <c r="AO813" s="84">
        <f>IF(AM813&gt;=AH813,AI813,AI813*AM813/AH813)</f>
        <v/>
      </c>
      <c r="AP813">
        <f t="array" ref="AP813">INDEX($AU$8:$BB$25,6*(R813-1)+MATCH(AB813,$AS$8:$AS$13,0),MATCH(O813,$AU$7:$BB$7,0))</f>
        <v/>
      </c>
    </row>
    <row r="814" ht="14.25" customHeight="1">
      <c r="O814" s="43" t="inlineStr">
        <is>
          <t>Q3’27</t>
        </is>
      </c>
      <c r="P814" s="43" t="n">
        <v>1</v>
      </c>
      <c r="Q814" s="43" t="n">
        <v>11</v>
      </c>
      <c r="R814" s="43" t="n">
        <v>3</v>
      </c>
      <c r="S814" s="45" t="n">
        <v>-0</v>
      </c>
      <c r="T814">
        <f>(S812+S813+S814)=T2</f>
        <v/>
      </c>
      <c r="X814" s="84">
        <f>MAX(S811-S814,0)</f>
        <v/>
      </c>
      <c r="Y814" s="83" t="n">
        <v>0</v>
      </c>
      <c r="AA814" s="84" t="n">
        <v>3</v>
      </c>
      <c r="AB814" s="84" t="inlineStr">
        <is>
          <t>F</t>
        </is>
      </c>
      <c r="AC814" s="84" t="inlineStr">
        <is>
          <t>F+</t>
        </is>
      </c>
      <c r="AD814" s="84" t="n">
        <v>18</v>
      </c>
      <c r="AE814" s="84" t="n">
        <v>16</v>
      </c>
      <c r="AF814" s="84" t="n">
        <v>0.8</v>
      </c>
      <c r="AG814" s="84" t="n">
        <v>0.9</v>
      </c>
      <c r="AH814" s="84" t="n">
        <v>0</v>
      </c>
      <c r="AI814" s="84" t="n">
        <v>0</v>
      </c>
      <c r="AJ814" s="84">
        <f>SUMIFS(AH$8:AH$1039,$O$8:$O$1039,O814,$AB$8:$AB$1039,AB814,$R$8:$R$1039,R814,$AA$8:$AA$1039,"&lt;="&amp;AA814)</f>
        <v/>
      </c>
      <c r="AK814" s="84">
        <f>E85</f>
        <v/>
      </c>
      <c r="AL814" s="84">
        <f>E91</f>
        <v/>
      </c>
      <c r="AM814" s="84">
        <f>MAX(0,AJ814-AK814)</f>
        <v/>
      </c>
      <c r="AN814" s="84">
        <f>IF(AM814=0,AH814,IF(AM814&gt;=AH814,0,AH814-AM814))</f>
        <v/>
      </c>
      <c r="AO814" s="84">
        <f>IF(AM814&gt;=AH814,AI814,AI814*AM814/AH814)</f>
        <v/>
      </c>
      <c r="AP814">
        <f t="array" ref="AP814">INDEX($AU$8:$BB$25,6*(R814-1)+MATCH(AB814,$AS$8:$AS$13,0),MATCH(O814,$AU$7:$BB$7,0))</f>
        <v/>
      </c>
    </row>
    <row r="815" ht="14.25" customHeight="1">
      <c r="O815" s="43" t="inlineStr">
        <is>
          <t>Q3’27</t>
        </is>
      </c>
      <c r="P815" s="43" t="n">
        <v>2</v>
      </c>
      <c r="Q815" s="43" t="n">
        <v>1</v>
      </c>
      <c r="R815" s="43" t="n">
        <v>1</v>
      </c>
      <c r="S815" s="45" t="n">
        <v>3429.44</v>
      </c>
      <c r="T815">
        <f>(S815+S816+S817)=T3</f>
        <v/>
      </c>
      <c r="X815" s="84" t="n">
        <v>0</v>
      </c>
      <c r="Y815" s="83" t="n">
        <v>0</v>
      </c>
      <c r="AA815" s="84" t="n">
        <v>9</v>
      </c>
      <c r="AB815" s="84" t="inlineStr">
        <is>
          <t>F</t>
        </is>
      </c>
      <c r="AC815" s="84" t="inlineStr">
        <is>
          <t>F+</t>
        </is>
      </c>
      <c r="AD815" s="84" t="n">
        <v>19</v>
      </c>
      <c r="AE815" s="84" t="n">
        <v>16</v>
      </c>
      <c r="AF815" s="84" t="n">
        <v>0.8</v>
      </c>
      <c r="AG815" s="84" t="n">
        <v>0.9</v>
      </c>
      <c r="AH815" s="84" t="n">
        <v>0</v>
      </c>
      <c r="AI815" s="84" t="n">
        <v>0</v>
      </c>
      <c r="AJ815" s="84">
        <f>SUMIFS(AH$8:AH$1039,$O$8:$O$1039,O815,$AB$8:$AB$1039,AB815,$R$8:$R$1039,R815,$AA$8:$AA$1039,"&lt;="&amp;AA815)</f>
        <v/>
      </c>
      <c r="AK815" s="84">
        <f>C85</f>
        <v/>
      </c>
      <c r="AL815" s="84">
        <f>C91</f>
        <v/>
      </c>
      <c r="AM815" s="84">
        <f>MAX(0,AJ815-AK815)</f>
        <v/>
      </c>
      <c r="AN815" s="84">
        <f>IF(AM815=0,AH815,IF(AM815&gt;=AH815,0,AH815-AM815))</f>
        <v/>
      </c>
      <c r="AO815" s="84">
        <f>IF(AM815&gt;=AH815,AI815,AI815*AM815/AH815)</f>
        <v/>
      </c>
      <c r="AP815">
        <f t="array" ref="AP815">INDEX($AU$8:$BB$25,6*(R815-1)+MATCH(AB815,$AS$8:$AS$13,0),MATCH(O815,$AU$7:$BB$7,0))</f>
        <v/>
      </c>
    </row>
    <row r="816" ht="14.25" customHeight="1">
      <c r="O816" s="43" t="inlineStr">
        <is>
          <t>Q3’27</t>
        </is>
      </c>
      <c r="P816" s="43" t="n">
        <v>2</v>
      </c>
      <c r="Q816" s="43" t="n">
        <v>1</v>
      </c>
      <c r="R816" s="43" t="n">
        <v>2</v>
      </c>
      <c r="S816" s="45" t="n">
        <v>910.5599999999999</v>
      </c>
      <c r="T816">
        <f>(S815+S816+S817)=T3</f>
        <v/>
      </c>
      <c r="X816" s="84" t="n">
        <v>0</v>
      </c>
      <c r="Y816" s="83" t="n">
        <v>0</v>
      </c>
      <c r="AA816" s="84" t="n">
        <v>9</v>
      </c>
      <c r="AB816" s="84" t="inlineStr">
        <is>
          <t>F</t>
        </is>
      </c>
      <c r="AC816" s="84" t="inlineStr">
        <is>
          <t>F+</t>
        </is>
      </c>
      <c r="AD816" s="84" t="n">
        <v>19</v>
      </c>
      <c r="AE816" s="84" t="n">
        <v>16</v>
      </c>
      <c r="AF816" s="84" t="n">
        <v>0.8</v>
      </c>
      <c r="AG816" s="84" t="n">
        <v>0.9</v>
      </c>
      <c r="AH816" s="84" t="n">
        <v>0</v>
      </c>
      <c r="AI816" s="84" t="n">
        <v>0</v>
      </c>
      <c r="AJ816" s="84">
        <f>SUMIFS(AH$8:AH$1039,$O$8:$O$1039,O816,$AB$8:$AB$1039,AB816,$R$8:$R$1039,R816,$AA$8:$AA$1039,"&lt;="&amp;AA816)</f>
        <v/>
      </c>
      <c r="AK816" s="84">
        <f>D85</f>
        <v/>
      </c>
      <c r="AL816" s="84">
        <f>D91</f>
        <v/>
      </c>
      <c r="AM816" s="84">
        <f>MAX(0,AJ816-AK816)</f>
        <v/>
      </c>
      <c r="AN816" s="84">
        <f>IF(AM816=0,AH816,IF(AM816&gt;=AH816,0,AH816-AM816))</f>
        <v/>
      </c>
      <c r="AO816" s="84">
        <f>IF(AM816&gt;=AH816,AI816,AI816*AM816/AH816)</f>
        <v/>
      </c>
      <c r="AP816">
        <f t="array" ref="AP816">INDEX($AU$8:$BB$25,6*(R816-1)+MATCH(AB816,$AS$8:$AS$13,0),MATCH(O816,$AU$7:$BB$7,0))</f>
        <v/>
      </c>
    </row>
    <row r="817" ht="14.25" customHeight="1">
      <c r="O817" s="43" t="inlineStr">
        <is>
          <t>Q3’27</t>
        </is>
      </c>
      <c r="P817" s="43" t="n">
        <v>2</v>
      </c>
      <c r="Q817" s="43" t="n">
        <v>1</v>
      </c>
      <c r="R817" s="43" t="n">
        <v>3</v>
      </c>
      <c r="S817" s="45" t="n">
        <v>0</v>
      </c>
      <c r="T817">
        <f>(S815+S816+S817)=T3</f>
        <v/>
      </c>
      <c r="X817" s="84" t="n">
        <v>0</v>
      </c>
      <c r="Y817" s="83" t="n">
        <v>0</v>
      </c>
      <c r="AA817" s="84" t="n">
        <v>9</v>
      </c>
      <c r="AB817" s="84" t="inlineStr">
        <is>
          <t>F</t>
        </is>
      </c>
      <c r="AC817" s="84" t="inlineStr">
        <is>
          <t>F+</t>
        </is>
      </c>
      <c r="AD817" s="84" t="n">
        <v>19</v>
      </c>
      <c r="AE817" s="84" t="n">
        <v>16</v>
      </c>
      <c r="AF817" s="84" t="n">
        <v>0.8</v>
      </c>
      <c r="AG817" s="84" t="n">
        <v>0.9</v>
      </c>
      <c r="AH817" s="84" t="n">
        <v>0</v>
      </c>
      <c r="AI817" s="84" t="n">
        <v>0</v>
      </c>
      <c r="AJ817" s="84">
        <f>SUMIFS(AH$8:AH$1039,$O$8:$O$1039,O817,$AB$8:$AB$1039,AB817,$R$8:$R$1039,R817,$AA$8:$AA$1039,"&lt;="&amp;AA817)</f>
        <v/>
      </c>
      <c r="AK817" s="84">
        <f>E85</f>
        <v/>
      </c>
      <c r="AL817" s="84">
        <f>E91</f>
        <v/>
      </c>
      <c r="AM817" s="84">
        <f>MAX(0,AJ817-AK817)</f>
        <v/>
      </c>
      <c r="AN817" s="84">
        <f>IF(AM817=0,AH817,IF(AM817&gt;=AH817,0,AH817-AM817))</f>
        <v/>
      </c>
      <c r="AO817" s="84">
        <f>IF(AM817&gt;=AH817,AI817,AI817*AM817/AH817)</f>
        <v/>
      </c>
      <c r="AP817">
        <f t="array" ref="AP817">INDEX($AU$8:$BB$25,6*(R817-1)+MATCH(AB817,$AS$8:$AS$13,0),MATCH(O817,$AU$7:$BB$7,0))</f>
        <v/>
      </c>
    </row>
    <row r="818" ht="14.25" customHeight="1">
      <c r="O818" s="43" t="inlineStr">
        <is>
          <t>Q3’27</t>
        </is>
      </c>
      <c r="P818" s="43" t="n">
        <v>2</v>
      </c>
      <c r="Q818" s="43" t="n">
        <v>2</v>
      </c>
      <c r="R818" s="43" t="n">
        <v>1</v>
      </c>
      <c r="S818" s="45" t="n">
        <v>3429.44</v>
      </c>
      <c r="T818">
        <f>(S818+S819+S820)=T3</f>
        <v/>
      </c>
      <c r="X818" s="84">
        <f>MAX(S815-S818,0)</f>
        <v/>
      </c>
      <c r="Y818" s="83" t="n">
        <v>0</v>
      </c>
      <c r="AA818" s="84" t="n">
        <v>1</v>
      </c>
      <c r="AB818" s="84" t="inlineStr">
        <is>
          <t>B</t>
        </is>
      </c>
      <c r="AC818" s="84" t="inlineStr">
        <is>
          <t>B+</t>
        </is>
      </c>
      <c r="AD818" s="84" t="n">
        <v>20</v>
      </c>
      <c r="AE818" s="84" t="n">
        <v>18</v>
      </c>
      <c r="AF818" s="84" t="n">
        <v>0.76</v>
      </c>
      <c r="AG818" s="84" t="n">
        <v>0.8100000000000001</v>
      </c>
      <c r="AH818" s="84" t="n">
        <v>0</v>
      </c>
      <c r="AI818" s="84" t="n">
        <v>0</v>
      </c>
      <c r="AJ818" s="84">
        <f>SUMIFS(AH$8:AH$1039,$O$8:$O$1039,O818,$AB$8:$AB$1039,AB818,$R$8:$R$1039,R818,$AA$8:$AA$1039,"&lt;="&amp;AA818)</f>
        <v/>
      </c>
      <c r="AK818" s="84">
        <f>C81</f>
        <v/>
      </c>
      <c r="AL818" s="84">
        <f>C87</f>
        <v/>
      </c>
      <c r="AM818" s="84">
        <f>MAX(0,AJ818-AK818)</f>
        <v/>
      </c>
      <c r="AN818" s="84">
        <f>IF(AM818=0,AH818,IF(AM818&gt;=AH818,0,AH818-AM818))</f>
        <v/>
      </c>
      <c r="AO818" s="84">
        <f>IF(AM818&gt;=AH818,AI818,AI818*AM818/AH818)</f>
        <v/>
      </c>
      <c r="AP818">
        <f t="array" ref="AP818">INDEX($AU$8:$BB$25,6*(R818-1)+MATCH(AB818,$AS$8:$AS$13,0),MATCH(O818,$AU$7:$BB$7,0))</f>
        <v/>
      </c>
    </row>
    <row r="819" ht="14.25" customHeight="1">
      <c r="O819" s="43" t="inlineStr">
        <is>
          <t>Q3’27</t>
        </is>
      </c>
      <c r="P819" s="43" t="n">
        <v>2</v>
      </c>
      <c r="Q819" s="43" t="n">
        <v>2</v>
      </c>
      <c r="R819" s="43" t="n">
        <v>2</v>
      </c>
      <c r="S819" s="45" t="n">
        <v>910.5599999999999</v>
      </c>
      <c r="T819">
        <f>(S818+S819+S820)=T3</f>
        <v/>
      </c>
      <c r="X819" s="84">
        <f>MAX(S816-S819,0)</f>
        <v/>
      </c>
      <c r="Y819" s="83" t="n">
        <v>0</v>
      </c>
      <c r="AA819" s="84" t="n">
        <v>1</v>
      </c>
      <c r="AB819" s="84" t="inlineStr">
        <is>
          <t>B</t>
        </is>
      </c>
      <c r="AC819" s="84" t="inlineStr">
        <is>
          <t>B+</t>
        </is>
      </c>
      <c r="AD819" s="84" t="n">
        <v>20</v>
      </c>
      <c r="AE819" s="84" t="n">
        <v>18</v>
      </c>
      <c r="AF819" s="84" t="n">
        <v>0.76</v>
      </c>
      <c r="AG819" s="84" t="n">
        <v>0.8100000000000001</v>
      </c>
      <c r="AH819" s="84" t="n">
        <v>0</v>
      </c>
      <c r="AI819" s="84" t="n">
        <v>0</v>
      </c>
      <c r="AJ819" s="84">
        <f>SUMIFS(AH$8:AH$1039,$O$8:$O$1039,O819,$AB$8:$AB$1039,AB819,$R$8:$R$1039,R819,$AA$8:$AA$1039,"&lt;="&amp;AA819)</f>
        <v/>
      </c>
      <c r="AK819" s="84">
        <f>D81</f>
        <v/>
      </c>
      <c r="AL819" s="84">
        <f>D87</f>
        <v/>
      </c>
      <c r="AM819" s="84">
        <f>MAX(0,AJ819-AK819)</f>
        <v/>
      </c>
      <c r="AN819" s="84">
        <f>IF(AM819=0,AH819,IF(AM819&gt;=AH819,0,AH819-AM819))</f>
        <v/>
      </c>
      <c r="AO819" s="84">
        <f>IF(AM819&gt;=AH819,AI819,AI819*AM819/AH819)</f>
        <v/>
      </c>
      <c r="AP819">
        <f t="array" ref="AP819">INDEX($AU$8:$BB$25,6*(R819-1)+MATCH(AB819,$AS$8:$AS$13,0),MATCH(O819,$AU$7:$BB$7,0))</f>
        <v/>
      </c>
    </row>
    <row r="820" ht="14.25" customHeight="1">
      <c r="O820" s="43" t="inlineStr">
        <is>
          <t>Q3’27</t>
        </is>
      </c>
      <c r="P820" s="43" t="n">
        <v>2</v>
      </c>
      <c r="Q820" s="43" t="n">
        <v>2</v>
      </c>
      <c r="R820" s="43" t="n">
        <v>3</v>
      </c>
      <c r="S820" s="45" t="n">
        <v>0</v>
      </c>
      <c r="T820">
        <f>(S818+S819+S820)=T3</f>
        <v/>
      </c>
      <c r="X820" s="84">
        <f>MAX(S817-S820,0)</f>
        <v/>
      </c>
      <c r="Y820" s="83" t="n">
        <v>0</v>
      </c>
      <c r="AA820" s="84" t="n">
        <v>1</v>
      </c>
      <c r="AB820" s="84" t="inlineStr">
        <is>
          <t>B</t>
        </is>
      </c>
      <c r="AC820" s="84" t="inlineStr">
        <is>
          <t>B+</t>
        </is>
      </c>
      <c r="AD820" s="84" t="n">
        <v>20</v>
      </c>
      <c r="AE820" s="84" t="n">
        <v>18</v>
      </c>
      <c r="AF820" s="84" t="n">
        <v>0.76</v>
      </c>
      <c r="AG820" s="84" t="n">
        <v>0.8100000000000001</v>
      </c>
      <c r="AH820" s="84" t="n">
        <v>0</v>
      </c>
      <c r="AI820" s="84" t="n">
        <v>0</v>
      </c>
      <c r="AJ820" s="84">
        <f>SUMIFS(AH$8:AH$1039,$O$8:$O$1039,O820,$AB$8:$AB$1039,AB820,$R$8:$R$1039,R820,$AA$8:$AA$1039,"&lt;="&amp;AA820)</f>
        <v/>
      </c>
      <c r="AK820" s="84">
        <f>E81</f>
        <v/>
      </c>
      <c r="AL820" s="84">
        <f>E87</f>
        <v/>
      </c>
      <c r="AM820" s="84">
        <f>MAX(0,AJ820-AK820)</f>
        <v/>
      </c>
      <c r="AN820" s="84">
        <f>IF(AM820=0,AH820,IF(AM820&gt;=AH820,0,AH820-AM820))</f>
        <v/>
      </c>
      <c r="AO820" s="84">
        <f>IF(AM820&gt;=AH820,AI820,AI820*AM820/AH820)</f>
        <v/>
      </c>
      <c r="AP820">
        <f t="array" ref="AP820">INDEX($AU$8:$BB$25,6*(R820-1)+MATCH(AB820,$AS$8:$AS$13,0),MATCH(O820,$AU$7:$BB$7,0))</f>
        <v/>
      </c>
    </row>
    <row r="821" ht="14.25" customHeight="1">
      <c r="O821" s="43" t="inlineStr">
        <is>
          <t>Q3’27</t>
        </is>
      </c>
      <c r="P821" s="43" t="n">
        <v>2</v>
      </c>
      <c r="Q821" s="43" t="n">
        <v>3</v>
      </c>
      <c r="R821" s="43" t="n">
        <v>1</v>
      </c>
      <c r="S821" s="45" t="n">
        <v>3429.44</v>
      </c>
      <c r="T821">
        <f>(S821+S822+S823)=T3</f>
        <v/>
      </c>
      <c r="X821" s="84">
        <f>MAX(S818-S821,0)</f>
        <v/>
      </c>
      <c r="Y821" s="83" t="n">
        <v>0</v>
      </c>
      <c r="AA821" s="84" t="n">
        <v>11</v>
      </c>
      <c r="AB821" s="84" t="inlineStr">
        <is>
          <t>E</t>
        </is>
      </c>
      <c r="AC821" s="84" t="inlineStr">
        <is>
          <t>E+</t>
        </is>
      </c>
      <c r="AD821" s="84" t="n">
        <v>10</v>
      </c>
      <c r="AE821" s="84" t="n">
        <v>7</v>
      </c>
      <c r="AF821" s="84" t="n">
        <v>0.76</v>
      </c>
      <c r="AG821" s="84" t="n">
        <v>0.84</v>
      </c>
      <c r="AH821" s="84" t="n">
        <v>0</v>
      </c>
      <c r="AI821" s="84" t="n">
        <v>0</v>
      </c>
      <c r="AJ821" s="84">
        <f>SUMIFS(AH$8:AH$1039,$O$8:$O$1039,O821,$AB$8:$AB$1039,AB821,$R$8:$R$1039,R821,$AA$8:$AA$1039,"&lt;="&amp;AA821)</f>
        <v/>
      </c>
      <c r="AK821" s="84">
        <f>C84</f>
        <v/>
      </c>
      <c r="AL821" s="84">
        <f>C90</f>
        <v/>
      </c>
      <c r="AM821" s="84">
        <f>MAX(0,AJ821-AK821)</f>
        <v/>
      </c>
      <c r="AN821" s="84">
        <f>IF(AM821=0,AH821,IF(AM821&gt;=AH821,0,AH821-AM821))</f>
        <v/>
      </c>
      <c r="AO821" s="84">
        <f>IF(AM821&gt;=AH821,AI821,AI821*AM821/AH821)</f>
        <v/>
      </c>
      <c r="AP821">
        <f t="array" ref="AP821">INDEX($AU$8:$BB$25,6*(R821-1)+MATCH(AB821,$AS$8:$AS$13,0),MATCH(O821,$AU$7:$BB$7,0))</f>
        <v/>
      </c>
    </row>
    <row r="822" ht="14.25" customHeight="1">
      <c r="O822" s="43" t="inlineStr">
        <is>
          <t>Q3’27</t>
        </is>
      </c>
      <c r="P822" s="43" t="n">
        <v>2</v>
      </c>
      <c r="Q822" s="43" t="n">
        <v>3</v>
      </c>
      <c r="R822" s="43" t="n">
        <v>2</v>
      </c>
      <c r="S822" s="45" t="n">
        <v>910.5599999999999</v>
      </c>
      <c r="T822">
        <f>(S821+S822+S823)=T3</f>
        <v/>
      </c>
      <c r="X822" s="84">
        <f>MAX(S819-S822,0)</f>
        <v/>
      </c>
      <c r="Y822" s="83" t="n">
        <v>0</v>
      </c>
      <c r="AA822" s="84" t="n">
        <v>11</v>
      </c>
      <c r="AB822" s="84" t="inlineStr">
        <is>
          <t>E</t>
        </is>
      </c>
      <c r="AC822" s="84" t="inlineStr">
        <is>
          <t>E+</t>
        </is>
      </c>
      <c r="AD822" s="84" t="n">
        <v>10</v>
      </c>
      <c r="AE822" s="84" t="n">
        <v>7</v>
      </c>
      <c r="AF822" s="84" t="n">
        <v>0.76</v>
      </c>
      <c r="AG822" s="84" t="n">
        <v>0.84</v>
      </c>
      <c r="AH822" s="84" t="n">
        <v>0</v>
      </c>
      <c r="AI822" s="84" t="n">
        <v>0</v>
      </c>
      <c r="AJ822" s="84">
        <f>SUMIFS(AH$8:AH$1039,$O$8:$O$1039,O822,$AB$8:$AB$1039,AB822,$R$8:$R$1039,R822,$AA$8:$AA$1039,"&lt;="&amp;AA822)</f>
        <v/>
      </c>
      <c r="AK822" s="84">
        <f>D84</f>
        <v/>
      </c>
      <c r="AL822" s="84">
        <f>D90</f>
        <v/>
      </c>
      <c r="AM822" s="84">
        <f>MAX(0,AJ822-AK822)</f>
        <v/>
      </c>
      <c r="AN822" s="84">
        <f>IF(AM822=0,AH822,IF(AM822&gt;=AH822,0,AH822-AM822))</f>
        <v/>
      </c>
      <c r="AO822" s="84">
        <f>IF(AM822&gt;=AH822,AI822,AI822*AM822/AH822)</f>
        <v/>
      </c>
      <c r="AP822">
        <f t="array" ref="AP822">INDEX($AU$8:$BB$25,6*(R822-1)+MATCH(AB822,$AS$8:$AS$13,0),MATCH(O822,$AU$7:$BB$7,0))</f>
        <v/>
      </c>
    </row>
    <row r="823" ht="14.25" customHeight="1">
      <c r="O823" s="43" t="inlineStr">
        <is>
          <t>Q3’27</t>
        </is>
      </c>
      <c r="P823" s="43" t="n">
        <v>2</v>
      </c>
      <c r="Q823" s="43" t="n">
        <v>3</v>
      </c>
      <c r="R823" s="43" t="n">
        <v>3</v>
      </c>
      <c r="S823" s="45" t="n">
        <v>0</v>
      </c>
      <c r="T823">
        <f>(S821+S822+S823)=T3</f>
        <v/>
      </c>
      <c r="X823" s="84">
        <f>MAX(S820-S823,0)</f>
        <v/>
      </c>
      <c r="Y823" s="83" t="n">
        <v>0</v>
      </c>
      <c r="AA823" s="84" t="n">
        <v>11</v>
      </c>
      <c r="AB823" s="84" t="inlineStr">
        <is>
          <t>E</t>
        </is>
      </c>
      <c r="AC823" s="84" t="inlineStr">
        <is>
          <t>E+</t>
        </is>
      </c>
      <c r="AD823" s="84" t="n">
        <v>10</v>
      </c>
      <c r="AE823" s="84" t="n">
        <v>7</v>
      </c>
      <c r="AF823" s="84" t="n">
        <v>0.76</v>
      </c>
      <c r="AG823" s="84" t="n">
        <v>0.84</v>
      </c>
      <c r="AH823" s="84" t="n">
        <v>0</v>
      </c>
      <c r="AI823" s="84" t="n">
        <v>0</v>
      </c>
      <c r="AJ823" s="84">
        <f>SUMIFS(AH$8:AH$1039,$O$8:$O$1039,O823,$AB$8:$AB$1039,AB823,$R$8:$R$1039,R823,$AA$8:$AA$1039,"&lt;="&amp;AA823)</f>
        <v/>
      </c>
      <c r="AK823" s="84">
        <f>E84</f>
        <v/>
      </c>
      <c r="AL823" s="84">
        <f>E90</f>
        <v/>
      </c>
      <c r="AM823" s="84">
        <f>MAX(0,AJ823-AK823)</f>
        <v/>
      </c>
      <c r="AN823" s="84">
        <f>IF(AM823=0,AH823,IF(AM823&gt;=AH823,0,AH823-AM823))</f>
        <v/>
      </c>
      <c r="AO823" s="84">
        <f>IF(AM823&gt;=AH823,AI823,AI823*AM823/AH823)</f>
        <v/>
      </c>
      <c r="AP823">
        <f t="array" ref="AP823">INDEX($AU$8:$BB$25,6*(R823-1)+MATCH(AB823,$AS$8:$AS$13,0),MATCH(O823,$AU$7:$BB$7,0))</f>
        <v/>
      </c>
    </row>
    <row r="824" ht="14.25" customHeight="1">
      <c r="O824" s="43" t="inlineStr">
        <is>
          <t>Q3’27</t>
        </is>
      </c>
      <c r="P824" s="43" t="n">
        <v>2</v>
      </c>
      <c r="Q824" s="43" t="n">
        <v>4</v>
      </c>
      <c r="R824" s="43" t="n">
        <v>1</v>
      </c>
      <c r="S824" s="45" t="n">
        <v>3429.44</v>
      </c>
      <c r="T824">
        <f>(S824+S825+S826)=T3</f>
        <v/>
      </c>
      <c r="X824" s="84">
        <f>MAX(S821-S824,0)</f>
        <v/>
      </c>
      <c r="Y824" s="83" t="n">
        <v>0</v>
      </c>
      <c r="AA824" s="84" t="n">
        <v>2</v>
      </c>
      <c r="AB824" s="84" t="inlineStr">
        <is>
          <t>B</t>
        </is>
      </c>
      <c r="AC824" s="84" t="inlineStr">
        <is>
          <t>B+</t>
        </is>
      </c>
      <c r="AD824" s="84" t="n">
        <v>25</v>
      </c>
      <c r="AE824" s="84" t="n">
        <v>19</v>
      </c>
      <c r="AF824" s="84" t="n">
        <v>0.76</v>
      </c>
      <c r="AG824" s="84" t="n">
        <v>0.8100000000000001</v>
      </c>
      <c r="AH824" s="84" t="n">
        <v>0</v>
      </c>
      <c r="AI824" s="84" t="n">
        <v>0</v>
      </c>
      <c r="AJ824" s="84">
        <f>SUMIFS(AH$8:AH$1039,$O$8:$O$1039,O824,$AB$8:$AB$1039,AB824,$R$8:$R$1039,R824,$AA$8:$AA$1039,"&lt;="&amp;AA824)</f>
        <v/>
      </c>
      <c r="AK824" s="84">
        <f>C81</f>
        <v/>
      </c>
      <c r="AL824" s="84">
        <f>C87</f>
        <v/>
      </c>
      <c r="AM824" s="84">
        <f>MAX(0,AJ824-AK824)</f>
        <v/>
      </c>
      <c r="AN824" s="84">
        <f>IF(AM824=0,AH824,IF(AM824&gt;=AH824,0,AH824-AM824))</f>
        <v/>
      </c>
      <c r="AO824" s="84">
        <f>IF(AM824&gt;=AH824,AI824,AI824*AM824/AH824)</f>
        <v/>
      </c>
      <c r="AP824">
        <f t="array" ref="AP824">INDEX($AU$8:$BB$25,6*(R824-1)+MATCH(AB824,$AS$8:$AS$13,0),MATCH(O824,$AU$7:$BB$7,0))</f>
        <v/>
      </c>
    </row>
    <row r="825" ht="14.25" customHeight="1">
      <c r="O825" s="43" t="inlineStr">
        <is>
          <t>Q3’27</t>
        </is>
      </c>
      <c r="P825" s="43" t="n">
        <v>2</v>
      </c>
      <c r="Q825" s="43" t="n">
        <v>4</v>
      </c>
      <c r="R825" s="43" t="n">
        <v>2</v>
      </c>
      <c r="S825" s="45" t="n">
        <v>910.5599999999999</v>
      </c>
      <c r="T825">
        <f>(S824+S825+S826)=T3</f>
        <v/>
      </c>
      <c r="X825" s="84">
        <f>MAX(S822-S825,0)</f>
        <v/>
      </c>
      <c r="Y825" s="83" t="n">
        <v>0</v>
      </c>
      <c r="AA825" s="84" t="n">
        <v>2</v>
      </c>
      <c r="AB825" s="84" t="inlineStr">
        <is>
          <t>B</t>
        </is>
      </c>
      <c r="AC825" s="84" t="inlineStr">
        <is>
          <t>B+</t>
        </is>
      </c>
      <c r="AD825" s="84" t="n">
        <v>25</v>
      </c>
      <c r="AE825" s="84" t="n">
        <v>19</v>
      </c>
      <c r="AF825" s="84" t="n">
        <v>0.76</v>
      </c>
      <c r="AG825" s="84" t="n">
        <v>0.8100000000000001</v>
      </c>
      <c r="AH825" s="84" t="n">
        <v>0</v>
      </c>
      <c r="AI825" s="84" t="n">
        <v>0</v>
      </c>
      <c r="AJ825" s="84">
        <f>SUMIFS(AH$8:AH$1039,$O$8:$O$1039,O825,$AB$8:$AB$1039,AB825,$R$8:$R$1039,R825,$AA$8:$AA$1039,"&lt;="&amp;AA825)</f>
        <v/>
      </c>
      <c r="AK825" s="84">
        <f>D81</f>
        <v/>
      </c>
      <c r="AL825" s="84">
        <f>D87</f>
        <v/>
      </c>
      <c r="AM825" s="84">
        <f>MAX(0,AJ825-AK825)</f>
        <v/>
      </c>
      <c r="AN825" s="84">
        <f>IF(AM825=0,AH825,IF(AM825&gt;=AH825,0,AH825-AM825))</f>
        <v/>
      </c>
      <c r="AO825" s="84">
        <f>IF(AM825&gt;=AH825,AI825,AI825*AM825/AH825)</f>
        <v/>
      </c>
      <c r="AP825">
        <f t="array" ref="AP825">INDEX($AU$8:$BB$25,6*(R825-1)+MATCH(AB825,$AS$8:$AS$13,0),MATCH(O825,$AU$7:$BB$7,0))</f>
        <v/>
      </c>
    </row>
    <row r="826" ht="14.25" customHeight="1">
      <c r="O826" s="43" t="inlineStr">
        <is>
          <t>Q3’27</t>
        </is>
      </c>
      <c r="P826" s="43" t="n">
        <v>2</v>
      </c>
      <c r="Q826" s="43" t="n">
        <v>4</v>
      </c>
      <c r="R826" s="43" t="n">
        <v>3</v>
      </c>
      <c r="S826" s="45" t="n">
        <v>0</v>
      </c>
      <c r="T826">
        <f>(S824+S825+S826)=T3</f>
        <v/>
      </c>
      <c r="X826" s="84">
        <f>MAX(S823-S826,0)</f>
        <v/>
      </c>
      <c r="Y826" s="83" t="n">
        <v>0</v>
      </c>
      <c r="AA826" s="84" t="n">
        <v>2</v>
      </c>
      <c r="AB826" s="84" t="inlineStr">
        <is>
          <t>B</t>
        </is>
      </c>
      <c r="AC826" s="84" t="inlineStr">
        <is>
          <t>B+</t>
        </is>
      </c>
      <c r="AD826" s="84" t="n">
        <v>25</v>
      </c>
      <c r="AE826" s="84" t="n">
        <v>19</v>
      </c>
      <c r="AF826" s="84" t="n">
        <v>0.76</v>
      </c>
      <c r="AG826" s="84" t="n">
        <v>0.8100000000000001</v>
      </c>
      <c r="AH826" s="84" t="n">
        <v>0</v>
      </c>
      <c r="AI826" s="84" t="n">
        <v>0</v>
      </c>
      <c r="AJ826" s="84">
        <f>SUMIFS(AH$8:AH$1039,$O$8:$O$1039,O826,$AB$8:$AB$1039,AB826,$R$8:$R$1039,R826,$AA$8:$AA$1039,"&lt;="&amp;AA826)</f>
        <v/>
      </c>
      <c r="AK826" s="84">
        <f>E81</f>
        <v/>
      </c>
      <c r="AL826" s="84">
        <f>E87</f>
        <v/>
      </c>
      <c r="AM826" s="84">
        <f>MAX(0,AJ826-AK826)</f>
        <v/>
      </c>
      <c r="AN826" s="84">
        <f>IF(AM826=0,AH826,IF(AM826&gt;=AH826,0,AH826-AM826))</f>
        <v/>
      </c>
      <c r="AO826" s="84">
        <f>IF(AM826&gt;=AH826,AI826,AI826*AM826/AH826)</f>
        <v/>
      </c>
      <c r="AP826">
        <f t="array" ref="AP826">INDEX($AU$8:$BB$25,6*(R826-1)+MATCH(AB826,$AS$8:$AS$13,0),MATCH(O826,$AU$7:$BB$7,0))</f>
        <v/>
      </c>
    </row>
    <row r="827" ht="14.25" customHeight="1">
      <c r="O827" s="43" t="inlineStr">
        <is>
          <t>Q3’27</t>
        </is>
      </c>
      <c r="P827" s="43" t="n">
        <v>2</v>
      </c>
      <c r="Q827" s="43" t="n">
        <v>5</v>
      </c>
      <c r="R827" s="43" t="n">
        <v>1</v>
      </c>
      <c r="S827" s="45" t="n">
        <v>3429.44</v>
      </c>
      <c r="T827">
        <f>(S827+S828+S829)=T3</f>
        <v/>
      </c>
      <c r="X827" s="84">
        <f>MAX(S824-S827,0)</f>
        <v/>
      </c>
      <c r="Y827" s="83" t="n">
        <v>0</v>
      </c>
      <c r="AA827" s="84" t="n">
        <v>3</v>
      </c>
      <c r="AB827" s="84" t="inlineStr">
        <is>
          <t>B</t>
        </is>
      </c>
      <c r="AC827" s="84" t="inlineStr">
        <is>
          <t>B+</t>
        </is>
      </c>
      <c r="AD827" s="84" t="n">
        <v>15</v>
      </c>
      <c r="AE827" s="84" t="n">
        <v>11</v>
      </c>
      <c r="AF827" s="84" t="n">
        <v>0.76</v>
      </c>
      <c r="AG827" s="84" t="n">
        <v>0.8100000000000001</v>
      </c>
      <c r="AH827" s="84" t="n">
        <v>0</v>
      </c>
      <c r="AI827" s="84" t="n">
        <v>0</v>
      </c>
      <c r="AJ827" s="84">
        <f>SUMIFS(AH$8:AH$1039,$O$8:$O$1039,O827,$AB$8:$AB$1039,AB827,$R$8:$R$1039,R827,$AA$8:$AA$1039,"&lt;="&amp;AA827)</f>
        <v/>
      </c>
      <c r="AK827" s="84">
        <f>C81</f>
        <v/>
      </c>
      <c r="AL827" s="84">
        <f>C87</f>
        <v/>
      </c>
      <c r="AM827" s="84">
        <f>MAX(0,AJ827-AK827)</f>
        <v/>
      </c>
      <c r="AN827" s="84">
        <f>IF(AM827=0,AH827,IF(AM827&gt;=AH827,0,AH827-AM827))</f>
        <v/>
      </c>
      <c r="AO827" s="84">
        <f>IF(AM827&gt;=AH827,AI827,AI827*AM827/AH827)</f>
        <v/>
      </c>
      <c r="AP827">
        <f t="array" ref="AP827">INDEX($AU$8:$BB$25,6*(R827-1)+MATCH(AB827,$AS$8:$AS$13,0),MATCH(O827,$AU$7:$BB$7,0))</f>
        <v/>
      </c>
    </row>
    <row r="828" ht="14.25" customHeight="1">
      <c r="O828" s="43" t="inlineStr">
        <is>
          <t>Q3’27</t>
        </is>
      </c>
      <c r="P828" s="43" t="n">
        <v>2</v>
      </c>
      <c r="Q828" s="43" t="n">
        <v>5</v>
      </c>
      <c r="R828" s="43" t="n">
        <v>2</v>
      </c>
      <c r="S828" s="45" t="n">
        <v>910.5599999999999</v>
      </c>
      <c r="T828">
        <f>(S827+S828+S829)=T3</f>
        <v/>
      </c>
      <c r="X828" s="84">
        <f>MAX(S825-S828,0)</f>
        <v/>
      </c>
      <c r="Y828" s="83" t="n">
        <v>0</v>
      </c>
      <c r="AA828" s="84" t="n">
        <v>3</v>
      </c>
      <c r="AB828" s="84" t="inlineStr">
        <is>
          <t>B</t>
        </is>
      </c>
      <c r="AC828" s="84" t="inlineStr">
        <is>
          <t>B+</t>
        </is>
      </c>
      <c r="AD828" s="84" t="n">
        <v>15</v>
      </c>
      <c r="AE828" s="84" t="n">
        <v>11</v>
      </c>
      <c r="AF828" s="84" t="n">
        <v>0.76</v>
      </c>
      <c r="AG828" s="84" t="n">
        <v>0.8100000000000001</v>
      </c>
      <c r="AH828" s="84" t="n">
        <v>0</v>
      </c>
      <c r="AI828" s="84" t="n">
        <v>0</v>
      </c>
      <c r="AJ828" s="84">
        <f>SUMIFS(AH$8:AH$1039,$O$8:$O$1039,O828,$AB$8:$AB$1039,AB828,$R$8:$R$1039,R828,$AA$8:$AA$1039,"&lt;="&amp;AA828)</f>
        <v/>
      </c>
      <c r="AK828" s="84">
        <f>D81</f>
        <v/>
      </c>
      <c r="AL828" s="84">
        <f>D87</f>
        <v/>
      </c>
      <c r="AM828" s="84">
        <f>MAX(0,AJ828-AK828)</f>
        <v/>
      </c>
      <c r="AN828" s="84">
        <f>IF(AM828=0,AH828,IF(AM828&gt;=AH828,0,AH828-AM828))</f>
        <v/>
      </c>
      <c r="AO828" s="84">
        <f>IF(AM828&gt;=AH828,AI828,AI828*AM828/AH828)</f>
        <v/>
      </c>
      <c r="AP828">
        <f t="array" ref="AP828">INDEX($AU$8:$BB$25,6*(R828-1)+MATCH(AB828,$AS$8:$AS$13,0),MATCH(O828,$AU$7:$BB$7,0))</f>
        <v/>
      </c>
    </row>
    <row r="829" ht="14.25" customHeight="1">
      <c r="O829" s="43" t="inlineStr">
        <is>
          <t>Q3’27</t>
        </is>
      </c>
      <c r="P829" s="43" t="n">
        <v>2</v>
      </c>
      <c r="Q829" s="43" t="n">
        <v>5</v>
      </c>
      <c r="R829" s="43" t="n">
        <v>3</v>
      </c>
      <c r="S829" s="45" t="n">
        <v>0</v>
      </c>
      <c r="T829">
        <f>(S827+S828+S829)=T3</f>
        <v/>
      </c>
      <c r="X829" s="84">
        <f>MAX(S826-S829,0)</f>
        <v/>
      </c>
      <c r="Y829" s="83" t="n">
        <v>0</v>
      </c>
      <c r="AA829" s="84" t="n">
        <v>3</v>
      </c>
      <c r="AB829" s="84" t="inlineStr">
        <is>
          <t>B</t>
        </is>
      </c>
      <c r="AC829" s="84" t="inlineStr">
        <is>
          <t>B+</t>
        </is>
      </c>
      <c r="AD829" s="84" t="n">
        <v>15</v>
      </c>
      <c r="AE829" s="84" t="n">
        <v>11</v>
      </c>
      <c r="AF829" s="84" t="n">
        <v>0.76</v>
      </c>
      <c r="AG829" s="84" t="n">
        <v>0.8100000000000001</v>
      </c>
      <c r="AH829" s="84" t="n">
        <v>0</v>
      </c>
      <c r="AI829" s="84" t="n">
        <v>0</v>
      </c>
      <c r="AJ829" s="84">
        <f>SUMIFS(AH$8:AH$1039,$O$8:$O$1039,O829,$AB$8:$AB$1039,AB829,$R$8:$R$1039,R829,$AA$8:$AA$1039,"&lt;="&amp;AA829)</f>
        <v/>
      </c>
      <c r="AK829" s="84">
        <f>E81</f>
        <v/>
      </c>
      <c r="AL829" s="84">
        <f>E87</f>
        <v/>
      </c>
      <c r="AM829" s="84">
        <f>MAX(0,AJ829-AK829)</f>
        <v/>
      </c>
      <c r="AN829" s="84">
        <f>IF(AM829=0,AH829,IF(AM829&gt;=AH829,0,AH829-AM829))</f>
        <v/>
      </c>
      <c r="AO829" s="84">
        <f>IF(AM829&gt;=AH829,AI829,AI829*AM829/AH829)</f>
        <v/>
      </c>
      <c r="AP829">
        <f t="array" ref="AP829">INDEX($AU$8:$BB$25,6*(R829-1)+MATCH(AB829,$AS$8:$AS$13,0),MATCH(O829,$AU$7:$BB$7,0))</f>
        <v/>
      </c>
    </row>
    <row r="830" ht="14.25" customHeight="1">
      <c r="O830" s="43" t="inlineStr">
        <is>
          <t>Q3’27</t>
        </is>
      </c>
      <c r="P830" s="43" t="n">
        <v>2</v>
      </c>
      <c r="Q830" s="43" t="n">
        <v>6</v>
      </c>
      <c r="R830" s="43" t="n">
        <v>1</v>
      </c>
      <c r="S830" s="45" t="n">
        <v>3429.44</v>
      </c>
      <c r="T830">
        <f>(S830+S831+S832)=T3</f>
        <v/>
      </c>
      <c r="X830" s="84">
        <f>MAX(S827-S830,0)</f>
        <v/>
      </c>
      <c r="Y830" s="83" t="n">
        <v>0</v>
      </c>
      <c r="AA830" s="84" t="n">
        <v>5</v>
      </c>
      <c r="AB830" s="84" t="inlineStr">
        <is>
          <t>F</t>
        </is>
      </c>
      <c r="AC830" s="84" t="inlineStr">
        <is>
          <t>F+</t>
        </is>
      </c>
      <c r="AD830" s="84" t="n">
        <v>16</v>
      </c>
      <c r="AE830" s="84" t="n">
        <v>14</v>
      </c>
      <c r="AF830" s="84" t="n">
        <v>0.8</v>
      </c>
      <c r="AG830" s="84" t="n">
        <v>0.9</v>
      </c>
      <c r="AH830" s="84" t="n">
        <v>0</v>
      </c>
      <c r="AI830" s="84" t="n">
        <v>0</v>
      </c>
      <c r="AJ830" s="84">
        <f>SUMIFS(AH$8:AH$1039,$O$8:$O$1039,O830,$AB$8:$AB$1039,AB830,$R$8:$R$1039,R830,$AA$8:$AA$1039,"&lt;="&amp;AA830)</f>
        <v/>
      </c>
      <c r="AK830" s="84">
        <f>C85</f>
        <v/>
      </c>
      <c r="AL830" s="84">
        <f>C91</f>
        <v/>
      </c>
      <c r="AM830" s="84">
        <f>MAX(0,AJ830-AK830)</f>
        <v/>
      </c>
      <c r="AN830" s="84">
        <f>IF(AM830=0,AH830,IF(AM830&gt;=AH830,0,AH830-AM830))</f>
        <v/>
      </c>
      <c r="AO830" s="84">
        <f>IF(AM830&gt;=AH830,AI830,AI830*AM830/AH830)</f>
        <v/>
      </c>
      <c r="AP830">
        <f t="array" ref="AP830">INDEX($AU$8:$BB$25,6*(R830-1)+MATCH(AB830,$AS$8:$AS$13,0),MATCH(O830,$AU$7:$BB$7,0))</f>
        <v/>
      </c>
    </row>
    <row r="831" ht="14.25" customHeight="1">
      <c r="O831" s="43" t="inlineStr">
        <is>
          <t>Q3’27</t>
        </is>
      </c>
      <c r="P831" s="43" t="n">
        <v>2</v>
      </c>
      <c r="Q831" s="43" t="n">
        <v>6</v>
      </c>
      <c r="R831" s="43" t="n">
        <v>2</v>
      </c>
      <c r="S831" s="45" t="n">
        <v>910.5599999999999</v>
      </c>
      <c r="T831">
        <f>(S830+S831+S832)=T3</f>
        <v/>
      </c>
      <c r="X831" s="84">
        <f>MAX(S828-S831,0)</f>
        <v/>
      </c>
      <c r="Y831" s="83" t="n">
        <v>0</v>
      </c>
      <c r="AA831" s="84" t="n">
        <v>5</v>
      </c>
      <c r="AB831" s="84" t="inlineStr">
        <is>
          <t>F</t>
        </is>
      </c>
      <c r="AC831" s="84" t="inlineStr">
        <is>
          <t>F+</t>
        </is>
      </c>
      <c r="AD831" s="84" t="n">
        <v>16</v>
      </c>
      <c r="AE831" s="84" t="n">
        <v>14</v>
      </c>
      <c r="AF831" s="84" t="n">
        <v>0.8</v>
      </c>
      <c r="AG831" s="84" t="n">
        <v>0.9</v>
      </c>
      <c r="AH831" s="84" t="n">
        <v>0</v>
      </c>
      <c r="AI831" s="84" t="n">
        <v>0</v>
      </c>
      <c r="AJ831" s="84">
        <f>SUMIFS(AH$8:AH$1039,$O$8:$O$1039,O831,$AB$8:$AB$1039,AB831,$R$8:$R$1039,R831,$AA$8:$AA$1039,"&lt;="&amp;AA831)</f>
        <v/>
      </c>
      <c r="AK831" s="84">
        <f>D85</f>
        <v/>
      </c>
      <c r="AL831" s="84">
        <f>D91</f>
        <v/>
      </c>
      <c r="AM831" s="84">
        <f>MAX(0,AJ831-AK831)</f>
        <v/>
      </c>
      <c r="AN831" s="84">
        <f>IF(AM831=0,AH831,IF(AM831&gt;=AH831,0,AH831-AM831))</f>
        <v/>
      </c>
      <c r="AO831" s="84">
        <f>IF(AM831&gt;=AH831,AI831,AI831*AM831/AH831)</f>
        <v/>
      </c>
      <c r="AP831">
        <f t="array" ref="AP831">INDEX($AU$8:$BB$25,6*(R831-1)+MATCH(AB831,$AS$8:$AS$13,0),MATCH(O831,$AU$7:$BB$7,0))</f>
        <v/>
      </c>
    </row>
    <row r="832" ht="14.25" customHeight="1">
      <c r="O832" s="43" t="inlineStr">
        <is>
          <t>Q3’27</t>
        </is>
      </c>
      <c r="P832" s="43" t="n">
        <v>2</v>
      </c>
      <c r="Q832" s="43" t="n">
        <v>6</v>
      </c>
      <c r="R832" s="43" t="n">
        <v>3</v>
      </c>
      <c r="S832" s="45" t="n">
        <v>-0</v>
      </c>
      <c r="T832">
        <f>(S830+S831+S832)=T3</f>
        <v/>
      </c>
      <c r="X832" s="84">
        <f>MAX(S829-S832,0)</f>
        <v/>
      </c>
      <c r="Y832" s="83" t="n">
        <v>0</v>
      </c>
      <c r="AA832" s="84" t="n">
        <v>5</v>
      </c>
      <c r="AB832" s="84" t="inlineStr">
        <is>
          <t>F</t>
        </is>
      </c>
      <c r="AC832" s="84" t="inlineStr">
        <is>
          <t>F+</t>
        </is>
      </c>
      <c r="AD832" s="84" t="n">
        <v>16</v>
      </c>
      <c r="AE832" s="84" t="n">
        <v>14</v>
      </c>
      <c r="AF832" s="84" t="n">
        <v>0.8</v>
      </c>
      <c r="AG832" s="84" t="n">
        <v>0.9</v>
      </c>
      <c r="AH832" s="84" t="n">
        <v>0</v>
      </c>
      <c r="AI832" s="84" t="n">
        <v>0</v>
      </c>
      <c r="AJ832" s="84">
        <f>SUMIFS(AH$8:AH$1039,$O$8:$O$1039,O832,$AB$8:$AB$1039,AB832,$R$8:$R$1039,R832,$AA$8:$AA$1039,"&lt;="&amp;AA832)</f>
        <v/>
      </c>
      <c r="AK832" s="84">
        <f>E85</f>
        <v/>
      </c>
      <c r="AL832" s="84">
        <f>E91</f>
        <v/>
      </c>
      <c r="AM832" s="84">
        <f>MAX(0,AJ832-AK832)</f>
        <v/>
      </c>
      <c r="AN832" s="84">
        <f>IF(AM832=0,AH832,IF(AM832&gt;=AH832,0,AH832-AM832))</f>
        <v/>
      </c>
      <c r="AO832" s="84">
        <f>IF(AM832&gt;=AH832,AI832,AI832*AM832/AH832)</f>
        <v/>
      </c>
      <c r="AP832">
        <f t="array" ref="AP832">INDEX($AU$8:$BB$25,6*(R832-1)+MATCH(AB832,$AS$8:$AS$13,0),MATCH(O832,$AU$7:$BB$7,0))</f>
        <v/>
      </c>
    </row>
    <row r="833" ht="14.25" customHeight="1">
      <c r="O833" s="43" t="inlineStr">
        <is>
          <t>Q3’27</t>
        </is>
      </c>
      <c r="P833" s="43" t="n">
        <v>2</v>
      </c>
      <c r="Q833" s="43" t="n">
        <v>7</v>
      </c>
      <c r="R833" s="43" t="n">
        <v>1</v>
      </c>
      <c r="S833" s="45" t="n">
        <v>3429.44</v>
      </c>
      <c r="T833">
        <f>(S833+S834+S835)=T3</f>
        <v/>
      </c>
      <c r="X833" s="84">
        <f>MAX(S830-S833,0)</f>
        <v/>
      </c>
      <c r="Y833" s="83" t="n">
        <v>0</v>
      </c>
      <c r="AA833" s="84" t="n">
        <v>4</v>
      </c>
      <c r="AB833" s="84" t="inlineStr">
        <is>
          <t>F</t>
        </is>
      </c>
      <c r="AC833" s="84" t="inlineStr">
        <is>
          <t>F+</t>
        </is>
      </c>
      <c r="AD833" s="84" t="n">
        <v>17</v>
      </c>
      <c r="AE833" s="84" t="n">
        <v>15</v>
      </c>
      <c r="AF833" s="84" t="n">
        <v>0.8</v>
      </c>
      <c r="AG833" s="84" t="n">
        <v>0.9</v>
      </c>
      <c r="AH833" s="84" t="n">
        <v>0</v>
      </c>
      <c r="AI833" s="84" t="n">
        <v>0</v>
      </c>
      <c r="AJ833" s="84">
        <f>SUMIFS(AH$8:AH$1039,$O$8:$O$1039,O833,$AB$8:$AB$1039,AB833,$R$8:$R$1039,R833,$AA$8:$AA$1039,"&lt;="&amp;AA833)</f>
        <v/>
      </c>
      <c r="AK833" s="84">
        <f>C85</f>
        <v/>
      </c>
      <c r="AL833" s="84">
        <f>C91</f>
        <v/>
      </c>
      <c r="AM833" s="84">
        <f>MAX(0,AJ833-AK833)</f>
        <v/>
      </c>
      <c r="AN833" s="84">
        <f>IF(AM833=0,AH833,IF(AM833&gt;=AH833,0,AH833-AM833))</f>
        <v/>
      </c>
      <c r="AO833" s="84">
        <f>IF(AM833&gt;=AH833,AI833,AI833*AM833/AH833)</f>
        <v/>
      </c>
      <c r="AP833">
        <f t="array" ref="AP833">INDEX($AU$8:$BB$25,6*(R833-1)+MATCH(AB833,$AS$8:$AS$13,0),MATCH(O833,$AU$7:$BB$7,0))</f>
        <v/>
      </c>
    </row>
    <row r="834" ht="14.25" customHeight="1">
      <c r="O834" s="43" t="inlineStr">
        <is>
          <t>Q3’27</t>
        </is>
      </c>
      <c r="P834" s="43" t="n">
        <v>2</v>
      </c>
      <c r="Q834" s="43" t="n">
        <v>7</v>
      </c>
      <c r="R834" s="43" t="n">
        <v>2</v>
      </c>
      <c r="S834" s="45" t="n">
        <v>910.5599999999999</v>
      </c>
      <c r="T834">
        <f>(S833+S834+S835)=T3</f>
        <v/>
      </c>
      <c r="X834" s="84">
        <f>MAX(S831-S834,0)</f>
        <v/>
      </c>
      <c r="Y834" s="83" t="n">
        <v>0</v>
      </c>
      <c r="AA834" s="84" t="n">
        <v>4</v>
      </c>
      <c r="AB834" s="84" t="inlineStr">
        <is>
          <t>F</t>
        </is>
      </c>
      <c r="AC834" s="84" t="inlineStr">
        <is>
          <t>F+</t>
        </is>
      </c>
      <c r="AD834" s="84" t="n">
        <v>17</v>
      </c>
      <c r="AE834" s="84" t="n">
        <v>15</v>
      </c>
      <c r="AF834" s="84" t="n">
        <v>0.8</v>
      </c>
      <c r="AG834" s="84" t="n">
        <v>0.9</v>
      </c>
      <c r="AH834" s="84" t="n">
        <v>0</v>
      </c>
      <c r="AI834" s="84" t="n">
        <v>0</v>
      </c>
      <c r="AJ834" s="84">
        <f>SUMIFS(AH$8:AH$1039,$O$8:$O$1039,O834,$AB$8:$AB$1039,AB834,$R$8:$R$1039,R834,$AA$8:$AA$1039,"&lt;="&amp;AA834)</f>
        <v/>
      </c>
      <c r="AK834" s="84">
        <f>D85</f>
        <v/>
      </c>
      <c r="AL834" s="84">
        <f>D91</f>
        <v/>
      </c>
      <c r="AM834" s="84">
        <f>MAX(0,AJ834-AK834)</f>
        <v/>
      </c>
      <c r="AN834" s="84">
        <f>IF(AM834=0,AH834,IF(AM834&gt;=AH834,0,AH834-AM834))</f>
        <v/>
      </c>
      <c r="AO834" s="84">
        <f>IF(AM834&gt;=AH834,AI834,AI834*AM834/AH834)</f>
        <v/>
      </c>
      <c r="AP834">
        <f t="array" ref="AP834">INDEX($AU$8:$BB$25,6*(R834-1)+MATCH(AB834,$AS$8:$AS$13,0),MATCH(O834,$AU$7:$BB$7,0))</f>
        <v/>
      </c>
    </row>
    <row r="835" ht="14.25" customHeight="1">
      <c r="O835" s="43" t="inlineStr">
        <is>
          <t>Q3’27</t>
        </is>
      </c>
      <c r="P835" s="43" t="n">
        <v>2</v>
      </c>
      <c r="Q835" s="43" t="n">
        <v>7</v>
      </c>
      <c r="R835" s="43" t="n">
        <v>3</v>
      </c>
      <c r="S835" s="45" t="n">
        <v>0</v>
      </c>
      <c r="T835">
        <f>(S833+S834+S835)=T3</f>
        <v/>
      </c>
      <c r="X835" s="84">
        <f>MAX(S832-S835,0)</f>
        <v/>
      </c>
      <c r="Y835" s="83" t="n">
        <v>0</v>
      </c>
      <c r="AA835" s="84" t="n">
        <v>4</v>
      </c>
      <c r="AB835" s="84" t="inlineStr">
        <is>
          <t>F</t>
        </is>
      </c>
      <c r="AC835" s="84" t="inlineStr">
        <is>
          <t>F+</t>
        </is>
      </c>
      <c r="AD835" s="84" t="n">
        <v>17</v>
      </c>
      <c r="AE835" s="84" t="n">
        <v>15</v>
      </c>
      <c r="AF835" s="84" t="n">
        <v>0.8</v>
      </c>
      <c r="AG835" s="84" t="n">
        <v>0.9</v>
      </c>
      <c r="AH835" s="84" t="n">
        <v>0</v>
      </c>
      <c r="AI835" s="84" t="n">
        <v>0</v>
      </c>
      <c r="AJ835" s="84">
        <f>SUMIFS(AH$8:AH$1039,$O$8:$O$1039,O835,$AB$8:$AB$1039,AB835,$R$8:$R$1039,R835,$AA$8:$AA$1039,"&lt;="&amp;AA835)</f>
        <v/>
      </c>
      <c r="AK835" s="84">
        <f>E85</f>
        <v/>
      </c>
      <c r="AL835" s="84">
        <f>E91</f>
        <v/>
      </c>
      <c r="AM835" s="84">
        <f>MAX(0,AJ835-AK835)</f>
        <v/>
      </c>
      <c r="AN835" s="84">
        <f>IF(AM835=0,AH835,IF(AM835&gt;=AH835,0,AH835-AM835))</f>
        <v/>
      </c>
      <c r="AO835" s="84">
        <f>IF(AM835&gt;=AH835,AI835,AI835*AM835/AH835)</f>
        <v/>
      </c>
      <c r="AP835">
        <f t="array" ref="AP835">INDEX($AU$8:$BB$25,6*(R835-1)+MATCH(AB835,$AS$8:$AS$13,0),MATCH(O835,$AU$7:$BB$7,0))</f>
        <v/>
      </c>
    </row>
    <row r="836" ht="14.25" customHeight="1">
      <c r="O836" s="43" t="inlineStr">
        <is>
          <t>Q3’27</t>
        </is>
      </c>
      <c r="P836" s="43" t="n">
        <v>2</v>
      </c>
      <c r="Q836" s="43" t="n">
        <v>8</v>
      </c>
      <c r="R836" s="43" t="n">
        <v>1</v>
      </c>
      <c r="S836" s="45" t="n">
        <v>3429.44</v>
      </c>
      <c r="T836">
        <f>(S836+S837+S838)=T3</f>
        <v/>
      </c>
      <c r="X836" s="84">
        <f>MAX(S833-S836,0)</f>
        <v/>
      </c>
      <c r="Y836" s="83" t="n">
        <v>0</v>
      </c>
      <c r="AA836" s="84" t="n">
        <v>4</v>
      </c>
      <c r="AB836" s="84" t="inlineStr">
        <is>
          <t>B</t>
        </is>
      </c>
      <c r="AC836" s="84" t="inlineStr">
        <is>
          <t>B+</t>
        </is>
      </c>
      <c r="AD836" s="84" t="n">
        <v>22</v>
      </c>
      <c r="AE836" s="84" t="n">
        <v>16</v>
      </c>
      <c r="AF836" s="84" t="n">
        <v>0.76</v>
      </c>
      <c r="AG836" s="84" t="n">
        <v>0.8100000000000001</v>
      </c>
      <c r="AH836" s="84" t="n">
        <v>0</v>
      </c>
      <c r="AI836" s="84" t="n">
        <v>0</v>
      </c>
      <c r="AJ836" s="84">
        <f>SUMIFS(AH$8:AH$1039,$O$8:$O$1039,O836,$AB$8:$AB$1039,AB836,$R$8:$R$1039,R836,$AA$8:$AA$1039,"&lt;="&amp;AA836)</f>
        <v/>
      </c>
      <c r="AK836" s="84">
        <f>C81</f>
        <v/>
      </c>
      <c r="AL836" s="84">
        <f>C87</f>
        <v/>
      </c>
      <c r="AM836" s="84">
        <f>MAX(0,AJ836-AK836)</f>
        <v/>
      </c>
      <c r="AN836" s="84">
        <f>IF(AM836=0,AH836,IF(AM836&gt;=AH836,0,AH836-AM836))</f>
        <v/>
      </c>
      <c r="AO836" s="84">
        <f>IF(AM836&gt;=AH836,AI836,AI836*AM836/AH836)</f>
        <v/>
      </c>
      <c r="AP836">
        <f t="array" ref="AP836">INDEX($AU$8:$BB$25,6*(R836-1)+MATCH(AB836,$AS$8:$AS$13,0),MATCH(O836,$AU$7:$BB$7,0))</f>
        <v/>
      </c>
    </row>
    <row r="837" ht="14.25" customHeight="1">
      <c r="O837" s="43" t="inlineStr">
        <is>
          <t>Q3’27</t>
        </is>
      </c>
      <c r="P837" s="43" t="n">
        <v>2</v>
      </c>
      <c r="Q837" s="43" t="n">
        <v>8</v>
      </c>
      <c r="R837" s="43" t="n">
        <v>2</v>
      </c>
      <c r="S837" s="45" t="n">
        <v>910.5599999999999</v>
      </c>
      <c r="T837">
        <f>(S836+S837+S838)=T3</f>
        <v/>
      </c>
      <c r="X837" s="84">
        <f>MAX(S834-S837,0)</f>
        <v/>
      </c>
      <c r="Y837" s="83" t="n">
        <v>0</v>
      </c>
      <c r="AA837" s="84" t="n">
        <v>4</v>
      </c>
      <c r="AB837" s="84" t="inlineStr">
        <is>
          <t>B</t>
        </is>
      </c>
      <c r="AC837" s="84" t="inlineStr">
        <is>
          <t>B+</t>
        </is>
      </c>
      <c r="AD837" s="84" t="n">
        <v>22</v>
      </c>
      <c r="AE837" s="84" t="n">
        <v>16</v>
      </c>
      <c r="AF837" s="84" t="n">
        <v>0.76</v>
      </c>
      <c r="AG837" s="84" t="n">
        <v>0.8100000000000001</v>
      </c>
      <c r="AH837" s="84" t="n">
        <v>0</v>
      </c>
      <c r="AI837" s="84" t="n">
        <v>0</v>
      </c>
      <c r="AJ837" s="84">
        <f>SUMIFS(AH$8:AH$1039,$O$8:$O$1039,O837,$AB$8:$AB$1039,AB837,$R$8:$R$1039,R837,$AA$8:$AA$1039,"&lt;="&amp;AA837)</f>
        <v/>
      </c>
      <c r="AK837" s="84">
        <f>D81</f>
        <v/>
      </c>
      <c r="AL837" s="84">
        <f>D87</f>
        <v/>
      </c>
      <c r="AM837" s="84">
        <f>MAX(0,AJ837-AK837)</f>
        <v/>
      </c>
      <c r="AN837" s="84">
        <f>IF(AM837=0,AH837,IF(AM837&gt;=AH837,0,AH837-AM837))</f>
        <v/>
      </c>
      <c r="AO837" s="84">
        <f>IF(AM837&gt;=AH837,AI837,AI837*AM837/AH837)</f>
        <v/>
      </c>
      <c r="AP837">
        <f t="array" ref="AP837">INDEX($AU$8:$BB$25,6*(R837-1)+MATCH(AB837,$AS$8:$AS$13,0),MATCH(O837,$AU$7:$BB$7,0))</f>
        <v/>
      </c>
    </row>
    <row r="838" ht="14.25" customHeight="1">
      <c r="O838" s="43" t="inlineStr">
        <is>
          <t>Q3’27</t>
        </is>
      </c>
      <c r="P838" s="43" t="n">
        <v>2</v>
      </c>
      <c r="Q838" s="43" t="n">
        <v>8</v>
      </c>
      <c r="R838" s="43" t="n">
        <v>3</v>
      </c>
      <c r="S838" s="45" t="n">
        <v>0</v>
      </c>
      <c r="T838">
        <f>(S836+S837+S838)=T3</f>
        <v/>
      </c>
      <c r="X838" s="84">
        <f>MAX(S835-S838,0)</f>
        <v/>
      </c>
      <c r="Y838" s="83" t="n">
        <v>0</v>
      </c>
      <c r="AA838" s="84" t="n">
        <v>4</v>
      </c>
      <c r="AB838" s="84" t="inlineStr">
        <is>
          <t>B</t>
        </is>
      </c>
      <c r="AC838" s="84" t="inlineStr">
        <is>
          <t>B+</t>
        </is>
      </c>
      <c r="AD838" s="84" t="n">
        <v>22</v>
      </c>
      <c r="AE838" s="84" t="n">
        <v>16</v>
      </c>
      <c r="AF838" s="84" t="n">
        <v>0.76</v>
      </c>
      <c r="AG838" s="84" t="n">
        <v>0.8100000000000001</v>
      </c>
      <c r="AH838" s="84" t="n">
        <v>0</v>
      </c>
      <c r="AI838" s="84" t="n">
        <v>0</v>
      </c>
      <c r="AJ838" s="84">
        <f>SUMIFS(AH$8:AH$1039,$O$8:$O$1039,O838,$AB$8:$AB$1039,AB838,$R$8:$R$1039,R838,$AA$8:$AA$1039,"&lt;="&amp;AA838)</f>
        <v/>
      </c>
      <c r="AK838" s="84">
        <f>E81</f>
        <v/>
      </c>
      <c r="AL838" s="84">
        <f>E87</f>
        <v/>
      </c>
      <c r="AM838" s="84">
        <f>MAX(0,AJ838-AK838)</f>
        <v/>
      </c>
      <c r="AN838" s="84">
        <f>IF(AM838=0,AH838,IF(AM838&gt;=AH838,0,AH838-AM838))</f>
        <v/>
      </c>
      <c r="AO838" s="84">
        <f>IF(AM838&gt;=AH838,AI838,AI838*AM838/AH838)</f>
        <v/>
      </c>
      <c r="AP838">
        <f t="array" ref="AP838">INDEX($AU$8:$BB$25,6*(R838-1)+MATCH(AB838,$AS$8:$AS$13,0),MATCH(O838,$AU$7:$BB$7,0))</f>
        <v/>
      </c>
    </row>
    <row r="839" ht="14.25" customHeight="1">
      <c r="O839" s="43" t="inlineStr">
        <is>
          <t>Q3’27</t>
        </is>
      </c>
      <c r="P839" s="43" t="n">
        <v>2</v>
      </c>
      <c r="Q839" s="43" t="n">
        <v>9</v>
      </c>
      <c r="R839" s="43" t="n">
        <v>1</v>
      </c>
      <c r="S839" s="45" t="n">
        <v>3429.44</v>
      </c>
      <c r="T839">
        <f>(S839+S840+S841)=T3</f>
        <v/>
      </c>
      <c r="X839" s="84">
        <f>MAX(S836-S839,0)</f>
        <v/>
      </c>
      <c r="Y839" s="83" t="n">
        <v>0</v>
      </c>
      <c r="AA839" s="84" t="n">
        <v>4</v>
      </c>
      <c r="AB839" s="84" t="inlineStr">
        <is>
          <t>E</t>
        </is>
      </c>
      <c r="AC839" s="84" t="inlineStr">
        <is>
          <t>E+</t>
        </is>
      </c>
      <c r="AD839" s="84" t="n">
        <v>7</v>
      </c>
      <c r="AE839" s="84" t="n">
        <v>6</v>
      </c>
      <c r="AF839" s="84" t="n">
        <v>0.76</v>
      </c>
      <c r="AG839" s="84" t="n">
        <v>0.84</v>
      </c>
      <c r="AH839" s="84" t="n">
        <v>0</v>
      </c>
      <c r="AI839" s="84" t="n">
        <v>0</v>
      </c>
      <c r="AJ839" s="84">
        <f>SUMIFS(AH$8:AH$1039,$O$8:$O$1039,O839,$AB$8:$AB$1039,AB839,$R$8:$R$1039,R839,$AA$8:$AA$1039,"&lt;="&amp;AA839)</f>
        <v/>
      </c>
      <c r="AK839" s="84">
        <f>C84</f>
        <v/>
      </c>
      <c r="AL839" s="84">
        <f>C90</f>
        <v/>
      </c>
      <c r="AM839" s="84">
        <f>MAX(0,AJ839-AK839)</f>
        <v/>
      </c>
      <c r="AN839" s="84">
        <f>IF(AM839=0,AH839,IF(AM839&gt;=AH839,0,AH839-AM839))</f>
        <v/>
      </c>
      <c r="AO839" s="84">
        <f>IF(AM839&gt;=AH839,AI839,AI839*AM839/AH839)</f>
        <v/>
      </c>
      <c r="AP839">
        <f t="array" ref="AP839">INDEX($AU$8:$BB$25,6*(R839-1)+MATCH(AB839,$AS$8:$AS$13,0),MATCH(O839,$AU$7:$BB$7,0))</f>
        <v/>
      </c>
    </row>
    <row r="840" ht="14.25" customHeight="1">
      <c r="O840" s="43" t="inlineStr">
        <is>
          <t>Q3’27</t>
        </is>
      </c>
      <c r="P840" s="43" t="n">
        <v>2</v>
      </c>
      <c r="Q840" s="43" t="n">
        <v>9</v>
      </c>
      <c r="R840" s="43" t="n">
        <v>2</v>
      </c>
      <c r="S840" s="45" t="n">
        <v>910.5599999999999</v>
      </c>
      <c r="T840">
        <f>(S839+S840+S841)=T3</f>
        <v/>
      </c>
      <c r="X840" s="84">
        <f>MAX(S837-S840,0)</f>
        <v/>
      </c>
      <c r="Y840" s="83" t="n">
        <v>0</v>
      </c>
      <c r="AA840" s="84" t="n">
        <v>4</v>
      </c>
      <c r="AB840" s="84" t="inlineStr">
        <is>
          <t>E</t>
        </is>
      </c>
      <c r="AC840" s="84" t="inlineStr">
        <is>
          <t>E+</t>
        </is>
      </c>
      <c r="AD840" s="84" t="n">
        <v>7</v>
      </c>
      <c r="AE840" s="84" t="n">
        <v>6</v>
      </c>
      <c r="AF840" s="84" t="n">
        <v>0.76</v>
      </c>
      <c r="AG840" s="84" t="n">
        <v>0.84</v>
      </c>
      <c r="AH840" s="84" t="n">
        <v>0</v>
      </c>
      <c r="AI840" s="84" t="n">
        <v>0</v>
      </c>
      <c r="AJ840" s="84">
        <f>SUMIFS(AH$8:AH$1039,$O$8:$O$1039,O840,$AB$8:$AB$1039,AB840,$R$8:$R$1039,R840,$AA$8:$AA$1039,"&lt;="&amp;AA840)</f>
        <v/>
      </c>
      <c r="AK840" s="84">
        <f>D84</f>
        <v/>
      </c>
      <c r="AL840" s="84">
        <f>D90</f>
        <v/>
      </c>
      <c r="AM840" s="84">
        <f>MAX(0,AJ840-AK840)</f>
        <v/>
      </c>
      <c r="AN840" s="84">
        <f>IF(AM840=0,AH840,IF(AM840&gt;=AH840,0,AH840-AM840))</f>
        <v/>
      </c>
      <c r="AO840" s="84">
        <f>IF(AM840&gt;=AH840,AI840,AI840*AM840/AH840)</f>
        <v/>
      </c>
      <c r="AP840">
        <f t="array" ref="AP840">INDEX($AU$8:$BB$25,6*(R840-1)+MATCH(AB840,$AS$8:$AS$13,0),MATCH(O840,$AU$7:$BB$7,0))</f>
        <v/>
      </c>
    </row>
    <row r="841" ht="14.25" customHeight="1">
      <c r="O841" s="43" t="inlineStr">
        <is>
          <t>Q3’27</t>
        </is>
      </c>
      <c r="P841" s="43" t="n">
        <v>2</v>
      </c>
      <c r="Q841" s="43" t="n">
        <v>9</v>
      </c>
      <c r="R841" s="43" t="n">
        <v>3</v>
      </c>
      <c r="S841" s="45" t="n">
        <v>0</v>
      </c>
      <c r="T841">
        <f>(S839+S840+S841)=T3</f>
        <v/>
      </c>
      <c r="X841" s="84">
        <f>MAX(S838-S841,0)</f>
        <v/>
      </c>
      <c r="Y841" s="83" t="n">
        <v>0</v>
      </c>
      <c r="AA841" s="84" t="n">
        <v>4</v>
      </c>
      <c r="AB841" s="84" t="inlineStr">
        <is>
          <t>E</t>
        </is>
      </c>
      <c r="AC841" s="84" t="inlineStr">
        <is>
          <t>E+</t>
        </is>
      </c>
      <c r="AD841" s="84" t="n">
        <v>7</v>
      </c>
      <c r="AE841" s="84" t="n">
        <v>6</v>
      </c>
      <c r="AF841" s="84" t="n">
        <v>0.76</v>
      </c>
      <c r="AG841" s="84" t="n">
        <v>0.84</v>
      </c>
      <c r="AH841" s="84" t="n">
        <v>0</v>
      </c>
      <c r="AI841" s="84" t="n">
        <v>0</v>
      </c>
      <c r="AJ841" s="84">
        <f>SUMIFS(AH$8:AH$1039,$O$8:$O$1039,O841,$AB$8:$AB$1039,AB841,$R$8:$R$1039,R841,$AA$8:$AA$1039,"&lt;="&amp;AA841)</f>
        <v/>
      </c>
      <c r="AK841" s="84">
        <f>E84</f>
        <v/>
      </c>
      <c r="AL841" s="84">
        <f>E90</f>
        <v/>
      </c>
      <c r="AM841" s="84">
        <f>MAX(0,AJ841-AK841)</f>
        <v/>
      </c>
      <c r="AN841" s="84">
        <f>IF(AM841=0,AH841,IF(AM841&gt;=AH841,0,AH841-AM841))</f>
        <v/>
      </c>
      <c r="AO841" s="84">
        <f>IF(AM841&gt;=AH841,AI841,AI841*AM841/AH841)</f>
        <v/>
      </c>
      <c r="AP841">
        <f t="array" ref="AP841">INDEX($AU$8:$BB$25,6*(R841-1)+MATCH(AB841,$AS$8:$AS$13,0),MATCH(O841,$AU$7:$BB$7,0))</f>
        <v/>
      </c>
    </row>
    <row r="842" ht="14.25" customHeight="1">
      <c r="O842" s="43" t="inlineStr">
        <is>
          <t>Q3’27</t>
        </is>
      </c>
      <c r="P842" s="43" t="n">
        <v>2</v>
      </c>
      <c r="Q842" s="43" t="n">
        <v>10</v>
      </c>
      <c r="R842" s="43" t="n">
        <v>1</v>
      </c>
      <c r="S842" s="45" t="n">
        <v>3429.44</v>
      </c>
      <c r="T842">
        <f>(S842+S843+S844)=T3</f>
        <v/>
      </c>
      <c r="X842" s="84">
        <f>MAX(S839-S842,0)</f>
        <v/>
      </c>
      <c r="Y842" s="83" t="n">
        <v>0</v>
      </c>
      <c r="AA842" s="84" t="n">
        <v>6</v>
      </c>
      <c r="AB842" s="84" t="inlineStr">
        <is>
          <t>E</t>
        </is>
      </c>
      <c r="AC842" s="84" t="inlineStr">
        <is>
          <t>E+</t>
        </is>
      </c>
      <c r="AD842" s="84" t="n">
        <v>9</v>
      </c>
      <c r="AE842" s="84" t="n">
        <v>7</v>
      </c>
      <c r="AF842" s="84" t="n">
        <v>0.76</v>
      </c>
      <c r="AG842" s="84" t="n">
        <v>0.84</v>
      </c>
      <c r="AH842" s="84" t="n">
        <v>0</v>
      </c>
      <c r="AI842" s="84" t="n">
        <v>0</v>
      </c>
      <c r="AJ842" s="84">
        <f>SUMIFS(AH$8:AH$1039,$O$8:$O$1039,O842,$AB$8:$AB$1039,AB842,$R$8:$R$1039,R842,$AA$8:$AA$1039,"&lt;="&amp;AA842)</f>
        <v/>
      </c>
      <c r="AK842" s="84">
        <f>C84</f>
        <v/>
      </c>
      <c r="AL842" s="84">
        <f>C90</f>
        <v/>
      </c>
      <c r="AM842" s="84">
        <f>MAX(0,AJ842-AK842)</f>
        <v/>
      </c>
      <c r="AN842" s="84">
        <f>IF(AM842=0,AH842,IF(AM842&gt;=AH842,0,AH842-AM842))</f>
        <v/>
      </c>
      <c r="AO842" s="84">
        <f>IF(AM842&gt;=AH842,AI842,AI842*AM842/AH842)</f>
        <v/>
      </c>
      <c r="AP842">
        <f t="array" ref="AP842">INDEX($AU$8:$BB$25,6*(R842-1)+MATCH(AB842,$AS$8:$AS$13,0),MATCH(O842,$AU$7:$BB$7,0))</f>
        <v/>
      </c>
    </row>
    <row r="843" ht="14.25" customHeight="1">
      <c r="O843" s="43" t="inlineStr">
        <is>
          <t>Q3’27</t>
        </is>
      </c>
      <c r="P843" s="43" t="n">
        <v>2</v>
      </c>
      <c r="Q843" s="43" t="n">
        <v>10</v>
      </c>
      <c r="R843" s="43" t="n">
        <v>2</v>
      </c>
      <c r="S843" s="45" t="n">
        <v>910.5599999999999</v>
      </c>
      <c r="T843">
        <f>(S842+S843+S844)=T3</f>
        <v/>
      </c>
      <c r="X843" s="84">
        <f>MAX(S840-S843,0)</f>
        <v/>
      </c>
      <c r="Y843" s="83" t="n">
        <v>0</v>
      </c>
      <c r="AA843" s="84" t="n">
        <v>6</v>
      </c>
      <c r="AB843" s="84" t="inlineStr">
        <is>
          <t>E</t>
        </is>
      </c>
      <c r="AC843" s="84" t="inlineStr">
        <is>
          <t>E+</t>
        </is>
      </c>
      <c r="AD843" s="84" t="n">
        <v>9</v>
      </c>
      <c r="AE843" s="84" t="n">
        <v>7</v>
      </c>
      <c r="AF843" s="84" t="n">
        <v>0.76</v>
      </c>
      <c r="AG843" s="84" t="n">
        <v>0.84</v>
      </c>
      <c r="AH843" s="84" t="n">
        <v>0</v>
      </c>
      <c r="AI843" s="84" t="n">
        <v>0</v>
      </c>
      <c r="AJ843" s="84">
        <f>SUMIFS(AH$8:AH$1039,$O$8:$O$1039,O843,$AB$8:$AB$1039,AB843,$R$8:$R$1039,R843,$AA$8:$AA$1039,"&lt;="&amp;AA843)</f>
        <v/>
      </c>
      <c r="AK843" s="84">
        <f>D84</f>
        <v/>
      </c>
      <c r="AL843" s="84">
        <f>D90</f>
        <v/>
      </c>
      <c r="AM843" s="84">
        <f>MAX(0,AJ843-AK843)</f>
        <v/>
      </c>
      <c r="AN843" s="84">
        <f>IF(AM843=0,AH843,IF(AM843&gt;=AH843,0,AH843-AM843))</f>
        <v/>
      </c>
      <c r="AO843" s="84">
        <f>IF(AM843&gt;=AH843,AI843,AI843*AM843/AH843)</f>
        <v/>
      </c>
      <c r="AP843">
        <f t="array" ref="AP843">INDEX($AU$8:$BB$25,6*(R843-1)+MATCH(AB843,$AS$8:$AS$13,0),MATCH(O843,$AU$7:$BB$7,0))</f>
        <v/>
      </c>
    </row>
    <row r="844" ht="14.25" customHeight="1">
      <c r="O844" s="43" t="inlineStr">
        <is>
          <t>Q3’27</t>
        </is>
      </c>
      <c r="P844" s="43" t="n">
        <v>2</v>
      </c>
      <c r="Q844" s="43" t="n">
        <v>10</v>
      </c>
      <c r="R844" s="43" t="n">
        <v>3</v>
      </c>
      <c r="S844" s="45" t="n">
        <v>-0</v>
      </c>
      <c r="T844">
        <f>(S842+S843+S844)=T3</f>
        <v/>
      </c>
      <c r="X844" s="84">
        <f>MAX(S841-S844,0)</f>
        <v/>
      </c>
      <c r="Y844" s="83" t="n">
        <v>0</v>
      </c>
      <c r="AA844" s="84" t="n">
        <v>6</v>
      </c>
      <c r="AB844" s="84" t="inlineStr">
        <is>
          <t>E</t>
        </is>
      </c>
      <c r="AC844" s="84" t="inlineStr">
        <is>
          <t>E+</t>
        </is>
      </c>
      <c r="AD844" s="84" t="n">
        <v>9</v>
      </c>
      <c r="AE844" s="84" t="n">
        <v>7</v>
      </c>
      <c r="AF844" s="84" t="n">
        <v>0.76</v>
      </c>
      <c r="AG844" s="84" t="n">
        <v>0.84</v>
      </c>
      <c r="AH844" s="84" t="n">
        <v>0</v>
      </c>
      <c r="AI844" s="84" t="n">
        <v>0</v>
      </c>
      <c r="AJ844" s="84">
        <f>SUMIFS(AH$8:AH$1039,$O$8:$O$1039,O844,$AB$8:$AB$1039,AB844,$R$8:$R$1039,R844,$AA$8:$AA$1039,"&lt;="&amp;AA844)</f>
        <v/>
      </c>
      <c r="AK844" s="84">
        <f>E84</f>
        <v/>
      </c>
      <c r="AL844" s="84">
        <f>E90</f>
        <v/>
      </c>
      <c r="AM844" s="84">
        <f>MAX(0,AJ844-AK844)</f>
        <v/>
      </c>
      <c r="AN844" s="84">
        <f>IF(AM844=0,AH844,IF(AM844&gt;=AH844,0,AH844-AM844))</f>
        <v/>
      </c>
      <c r="AO844" s="84">
        <f>IF(AM844&gt;=AH844,AI844,AI844*AM844/AH844)</f>
        <v/>
      </c>
      <c r="AP844">
        <f t="array" ref="AP844">INDEX($AU$8:$BB$25,6*(R844-1)+MATCH(AB844,$AS$8:$AS$13,0),MATCH(O844,$AU$7:$BB$7,0))</f>
        <v/>
      </c>
    </row>
    <row r="845" ht="14.25" customHeight="1">
      <c r="O845" s="43" t="inlineStr">
        <is>
          <t>Q3’27</t>
        </is>
      </c>
      <c r="P845" s="43" t="n">
        <v>2</v>
      </c>
      <c r="Q845" s="43" t="n">
        <v>11</v>
      </c>
      <c r="R845" s="43" t="n">
        <v>1</v>
      </c>
      <c r="S845" s="45" t="n">
        <v>3429.44</v>
      </c>
      <c r="T845">
        <f>(S845+S846+S847)=T3</f>
        <v/>
      </c>
      <c r="X845" s="84">
        <f>MAX(S842-S845,0)</f>
        <v/>
      </c>
      <c r="Y845" s="83" t="n">
        <v>0</v>
      </c>
      <c r="AA845" s="84" t="n">
        <v>2</v>
      </c>
      <c r="AB845" s="84" t="inlineStr">
        <is>
          <t>E</t>
        </is>
      </c>
      <c r="AC845" s="84" t="inlineStr">
        <is>
          <t>E+</t>
        </is>
      </c>
      <c r="AD845" s="84" t="n">
        <v>20</v>
      </c>
      <c r="AE845" s="84" t="n">
        <v>19</v>
      </c>
      <c r="AF845" s="84" t="n">
        <v>0.76</v>
      </c>
      <c r="AG845" s="84" t="n">
        <v>0.84</v>
      </c>
      <c r="AH845" s="84" t="n">
        <v>0</v>
      </c>
      <c r="AI845" s="84" t="n">
        <v>0</v>
      </c>
      <c r="AJ845" s="84">
        <f>SUMIFS(AH$8:AH$1039,$O$8:$O$1039,O845,$AB$8:$AB$1039,AB845,$R$8:$R$1039,R845,$AA$8:$AA$1039,"&lt;="&amp;AA845)</f>
        <v/>
      </c>
      <c r="AK845" s="84">
        <f>C84</f>
        <v/>
      </c>
      <c r="AL845" s="84">
        <f>C90</f>
        <v/>
      </c>
      <c r="AM845" s="84">
        <f>MAX(0,AJ845-AK845)</f>
        <v/>
      </c>
      <c r="AN845" s="84">
        <f>IF(AM845=0,AH845,IF(AM845&gt;=AH845,0,AH845-AM845))</f>
        <v/>
      </c>
      <c r="AO845" s="84">
        <f>IF(AM845&gt;=AH845,AI845,AI845*AM845/AH845)</f>
        <v/>
      </c>
      <c r="AP845">
        <f t="array" ref="AP845">INDEX($AU$8:$BB$25,6*(R845-1)+MATCH(AB845,$AS$8:$AS$13,0),MATCH(O845,$AU$7:$BB$7,0))</f>
        <v/>
      </c>
    </row>
    <row r="846" ht="14.25" customHeight="1">
      <c r="O846" s="43" t="inlineStr">
        <is>
          <t>Q3’27</t>
        </is>
      </c>
      <c r="P846" s="43" t="n">
        <v>2</v>
      </c>
      <c r="Q846" s="43" t="n">
        <v>11</v>
      </c>
      <c r="R846" s="43" t="n">
        <v>2</v>
      </c>
      <c r="S846" s="45" t="n">
        <v>910.5599999999999</v>
      </c>
      <c r="T846">
        <f>(S845+S846+S847)=T3</f>
        <v/>
      </c>
      <c r="X846" s="84">
        <f>MAX(S843-S846,0)</f>
        <v/>
      </c>
      <c r="Y846" s="83" t="n">
        <v>0</v>
      </c>
      <c r="AA846" s="84" t="n">
        <v>2</v>
      </c>
      <c r="AB846" s="84" t="inlineStr">
        <is>
          <t>E</t>
        </is>
      </c>
      <c r="AC846" s="84" t="inlineStr">
        <is>
          <t>E+</t>
        </is>
      </c>
      <c r="AD846" s="84" t="n">
        <v>20</v>
      </c>
      <c r="AE846" s="84" t="n">
        <v>19</v>
      </c>
      <c r="AF846" s="84" t="n">
        <v>0.76</v>
      </c>
      <c r="AG846" s="84" t="n">
        <v>0.84</v>
      </c>
      <c r="AH846" s="84" t="n">
        <v>0</v>
      </c>
      <c r="AI846" s="84" t="n">
        <v>0</v>
      </c>
      <c r="AJ846" s="84">
        <f>SUMIFS(AH$8:AH$1039,$O$8:$O$1039,O846,$AB$8:$AB$1039,AB846,$R$8:$R$1039,R846,$AA$8:$AA$1039,"&lt;="&amp;AA846)</f>
        <v/>
      </c>
      <c r="AK846" s="84">
        <f>D84</f>
        <v/>
      </c>
      <c r="AL846" s="84">
        <f>D90</f>
        <v/>
      </c>
      <c r="AM846" s="84">
        <f>MAX(0,AJ846-AK846)</f>
        <v/>
      </c>
      <c r="AN846" s="84">
        <f>IF(AM846=0,AH846,IF(AM846&gt;=AH846,0,AH846-AM846))</f>
        <v/>
      </c>
      <c r="AO846" s="84">
        <f>IF(AM846&gt;=AH846,AI846,AI846*AM846/AH846)</f>
        <v/>
      </c>
      <c r="AP846">
        <f t="array" ref="AP846">INDEX($AU$8:$BB$25,6*(R846-1)+MATCH(AB846,$AS$8:$AS$13,0),MATCH(O846,$AU$7:$BB$7,0))</f>
        <v/>
      </c>
    </row>
    <row r="847" ht="14.25" customHeight="1">
      <c r="O847" s="43" t="inlineStr">
        <is>
          <t>Q3’27</t>
        </is>
      </c>
      <c r="P847" s="43" t="n">
        <v>2</v>
      </c>
      <c r="Q847" s="43" t="n">
        <v>11</v>
      </c>
      <c r="R847" s="43" t="n">
        <v>3</v>
      </c>
      <c r="S847" s="45" t="n">
        <v>-0</v>
      </c>
      <c r="T847">
        <f>(S845+S846+S847)=T3</f>
        <v/>
      </c>
      <c r="X847" s="84">
        <f>MAX(S844-S847,0)</f>
        <v/>
      </c>
      <c r="Y847" s="83" t="n">
        <v>0</v>
      </c>
      <c r="AA847" s="84" t="n">
        <v>2</v>
      </c>
      <c r="AB847" s="84" t="inlineStr">
        <is>
          <t>E</t>
        </is>
      </c>
      <c r="AC847" s="84" t="inlineStr">
        <is>
          <t>E+</t>
        </is>
      </c>
      <c r="AD847" s="84" t="n">
        <v>20</v>
      </c>
      <c r="AE847" s="84" t="n">
        <v>19</v>
      </c>
      <c r="AF847" s="84" t="n">
        <v>0.76</v>
      </c>
      <c r="AG847" s="84" t="n">
        <v>0.84</v>
      </c>
      <c r="AH847" s="84" t="n">
        <v>0</v>
      </c>
      <c r="AI847" s="84" t="n">
        <v>0</v>
      </c>
      <c r="AJ847" s="84">
        <f>SUMIFS(AH$8:AH$1039,$O$8:$O$1039,O847,$AB$8:$AB$1039,AB847,$R$8:$R$1039,R847,$AA$8:$AA$1039,"&lt;="&amp;AA847)</f>
        <v/>
      </c>
      <c r="AK847" s="84">
        <f>E84</f>
        <v/>
      </c>
      <c r="AL847" s="84">
        <f>E90</f>
        <v/>
      </c>
      <c r="AM847" s="84">
        <f>MAX(0,AJ847-AK847)</f>
        <v/>
      </c>
      <c r="AN847" s="84">
        <f>IF(AM847=0,AH847,IF(AM847&gt;=AH847,0,AH847-AM847))</f>
        <v/>
      </c>
      <c r="AO847" s="84">
        <f>IF(AM847&gt;=AH847,AI847,AI847*AM847/AH847)</f>
        <v/>
      </c>
      <c r="AP847">
        <f t="array" ref="AP847">INDEX($AU$8:$BB$25,6*(R847-1)+MATCH(AB847,$AS$8:$AS$13,0),MATCH(O847,$AU$7:$BB$7,0))</f>
        <v/>
      </c>
    </row>
    <row r="848" ht="14.25" customHeight="1">
      <c r="O848" s="43" t="inlineStr">
        <is>
          <t>Q3’27</t>
        </is>
      </c>
      <c r="P848" s="43" t="n">
        <v>2</v>
      </c>
      <c r="Q848" s="43" t="n">
        <v>12</v>
      </c>
      <c r="R848" s="43" t="n">
        <v>1</v>
      </c>
      <c r="S848" s="45" t="n">
        <v>3429.44</v>
      </c>
      <c r="T848">
        <f>(S848+S849+S850)=T3</f>
        <v/>
      </c>
      <c r="X848" s="84">
        <f>MAX(S845-S848,0)</f>
        <v/>
      </c>
      <c r="Y848" s="83" t="n">
        <v>0</v>
      </c>
      <c r="AA848" s="84" t="n">
        <v>7</v>
      </c>
      <c r="AB848" s="84" t="inlineStr">
        <is>
          <t>F</t>
        </is>
      </c>
      <c r="AC848" s="84" t="inlineStr">
        <is>
          <t>F+</t>
        </is>
      </c>
      <c r="AD848" s="84" t="n">
        <v>21</v>
      </c>
      <c r="AE848" s="84" t="n">
        <v>18</v>
      </c>
      <c r="AF848" s="84" t="n">
        <v>0.8</v>
      </c>
      <c r="AG848" s="84" t="n">
        <v>0.9</v>
      </c>
      <c r="AH848" s="84" t="n">
        <v>0</v>
      </c>
      <c r="AI848" s="84" t="n">
        <v>0</v>
      </c>
      <c r="AJ848" s="84">
        <f>SUMIFS(AH$8:AH$1039,$O$8:$O$1039,O848,$AB$8:$AB$1039,AB848,$R$8:$R$1039,R848,$AA$8:$AA$1039,"&lt;="&amp;AA848)</f>
        <v/>
      </c>
      <c r="AK848" s="84">
        <f>C85</f>
        <v/>
      </c>
      <c r="AL848" s="84">
        <f>C91</f>
        <v/>
      </c>
      <c r="AM848" s="84">
        <f>MAX(0,AJ848-AK848)</f>
        <v/>
      </c>
      <c r="AN848" s="84">
        <f>IF(AM848=0,AH848,IF(AM848&gt;=AH848,0,AH848-AM848))</f>
        <v/>
      </c>
      <c r="AO848" s="84">
        <f>IF(AM848&gt;=AH848,AI848,AI848*AM848/AH848)</f>
        <v/>
      </c>
      <c r="AP848">
        <f t="array" ref="AP848">INDEX($AU$8:$BB$25,6*(R848-1)+MATCH(AB848,$AS$8:$AS$13,0),MATCH(O848,$AU$7:$BB$7,0))</f>
        <v/>
      </c>
    </row>
    <row r="849" ht="14.25" customHeight="1">
      <c r="O849" s="43" t="inlineStr">
        <is>
          <t>Q3’27</t>
        </is>
      </c>
      <c r="P849" s="43" t="n">
        <v>2</v>
      </c>
      <c r="Q849" s="43" t="n">
        <v>12</v>
      </c>
      <c r="R849" s="43" t="n">
        <v>2</v>
      </c>
      <c r="S849" s="45" t="n">
        <v>910.5599999999999</v>
      </c>
      <c r="T849">
        <f>(S848+S849+S850)=T3</f>
        <v/>
      </c>
      <c r="X849" s="84">
        <f>MAX(S846-S849,0)</f>
        <v/>
      </c>
      <c r="Y849" s="83" t="n">
        <v>0</v>
      </c>
      <c r="AA849" s="84" t="n">
        <v>7</v>
      </c>
      <c r="AB849" s="84" t="inlineStr">
        <is>
          <t>F</t>
        </is>
      </c>
      <c r="AC849" s="84" t="inlineStr">
        <is>
          <t>F+</t>
        </is>
      </c>
      <c r="AD849" s="84" t="n">
        <v>21</v>
      </c>
      <c r="AE849" s="84" t="n">
        <v>18</v>
      </c>
      <c r="AF849" s="84" t="n">
        <v>0.8</v>
      </c>
      <c r="AG849" s="84" t="n">
        <v>0.9</v>
      </c>
      <c r="AH849" s="84" t="n">
        <v>0</v>
      </c>
      <c r="AI849" s="84" t="n">
        <v>0</v>
      </c>
      <c r="AJ849" s="84">
        <f>SUMIFS(AH$8:AH$1039,$O$8:$O$1039,O849,$AB$8:$AB$1039,AB849,$R$8:$R$1039,R849,$AA$8:$AA$1039,"&lt;="&amp;AA849)</f>
        <v/>
      </c>
      <c r="AK849" s="84">
        <f>D85</f>
        <v/>
      </c>
      <c r="AL849" s="84">
        <f>D91</f>
        <v/>
      </c>
      <c r="AM849" s="84">
        <f>MAX(0,AJ849-AK849)</f>
        <v/>
      </c>
      <c r="AN849" s="84">
        <f>IF(AM849=0,AH849,IF(AM849&gt;=AH849,0,AH849-AM849))</f>
        <v/>
      </c>
      <c r="AO849" s="84">
        <f>IF(AM849&gt;=AH849,AI849,AI849*AM849/AH849)</f>
        <v/>
      </c>
      <c r="AP849">
        <f t="array" ref="AP849">INDEX($AU$8:$BB$25,6*(R849-1)+MATCH(AB849,$AS$8:$AS$13,0),MATCH(O849,$AU$7:$BB$7,0))</f>
        <v/>
      </c>
    </row>
    <row r="850" ht="14.25" customHeight="1">
      <c r="O850" s="43" t="inlineStr">
        <is>
          <t>Q3’27</t>
        </is>
      </c>
      <c r="P850" s="43" t="n">
        <v>2</v>
      </c>
      <c r="Q850" s="43" t="n">
        <v>12</v>
      </c>
      <c r="R850" s="43" t="n">
        <v>3</v>
      </c>
      <c r="S850" s="45" t="n">
        <v>-0</v>
      </c>
      <c r="T850">
        <f>(S848+S849+S850)=T3</f>
        <v/>
      </c>
      <c r="X850" s="84">
        <f>MAX(S847-S850,0)</f>
        <v/>
      </c>
      <c r="Y850" s="83" t="n">
        <v>0</v>
      </c>
      <c r="AA850" s="84" t="n">
        <v>7</v>
      </c>
      <c r="AB850" s="84" t="inlineStr">
        <is>
          <t>F</t>
        </is>
      </c>
      <c r="AC850" s="84" t="inlineStr">
        <is>
          <t>F+</t>
        </is>
      </c>
      <c r="AD850" s="84" t="n">
        <v>21</v>
      </c>
      <c r="AE850" s="84" t="n">
        <v>18</v>
      </c>
      <c r="AF850" s="84" t="n">
        <v>0.8</v>
      </c>
      <c r="AG850" s="84" t="n">
        <v>0.9</v>
      </c>
      <c r="AH850" s="84" t="n">
        <v>0</v>
      </c>
      <c r="AI850" s="84" t="n">
        <v>0</v>
      </c>
      <c r="AJ850" s="84">
        <f>SUMIFS(AH$8:AH$1039,$O$8:$O$1039,O850,$AB$8:$AB$1039,AB850,$R$8:$R$1039,R850,$AA$8:$AA$1039,"&lt;="&amp;AA850)</f>
        <v/>
      </c>
      <c r="AK850" s="84">
        <f>E85</f>
        <v/>
      </c>
      <c r="AL850" s="84">
        <f>E91</f>
        <v/>
      </c>
      <c r="AM850" s="84">
        <f>MAX(0,AJ850-AK850)</f>
        <v/>
      </c>
      <c r="AN850" s="84">
        <f>IF(AM850=0,AH850,IF(AM850&gt;=AH850,0,AH850-AM850))</f>
        <v/>
      </c>
      <c r="AO850" s="84">
        <f>IF(AM850&gt;=AH850,AI850,AI850*AM850/AH850)</f>
        <v/>
      </c>
      <c r="AP850">
        <f t="array" ref="AP850">INDEX($AU$8:$BB$25,6*(R850-1)+MATCH(AB850,$AS$8:$AS$13,0),MATCH(O850,$AU$7:$BB$7,0))</f>
        <v/>
      </c>
    </row>
    <row r="851" ht="14.25" customHeight="1">
      <c r="O851" s="43" t="inlineStr">
        <is>
          <t>Q3’27</t>
        </is>
      </c>
      <c r="P851" s="43" t="n">
        <v>2</v>
      </c>
      <c r="Q851" s="43" t="n">
        <v>13</v>
      </c>
      <c r="R851" s="43" t="n">
        <v>1</v>
      </c>
      <c r="S851" s="45" t="n">
        <v>3429.44</v>
      </c>
      <c r="T851">
        <f>(S851+S852+S853)=T3</f>
        <v/>
      </c>
      <c r="X851" s="84">
        <f>MAX(S848-S851,0)</f>
        <v/>
      </c>
      <c r="Y851" s="83" t="n">
        <v>0</v>
      </c>
      <c r="AA851" s="84" t="n">
        <v>8</v>
      </c>
      <c r="AB851" s="84" t="inlineStr">
        <is>
          <t>E</t>
        </is>
      </c>
      <c r="AC851" s="84" t="inlineStr">
        <is>
          <t>E+</t>
        </is>
      </c>
      <c r="AD851" s="84" t="n">
        <v>12</v>
      </c>
      <c r="AE851" s="84" t="n">
        <v>9</v>
      </c>
      <c r="AF851" s="84" t="n">
        <v>0.76</v>
      </c>
      <c r="AG851" s="84" t="n">
        <v>0.84</v>
      </c>
      <c r="AH851" s="84" t="n">
        <v>0</v>
      </c>
      <c r="AI851" s="84" t="n">
        <v>0</v>
      </c>
      <c r="AJ851" s="84">
        <f>SUMIFS(AH$8:AH$1039,$O$8:$O$1039,O851,$AB$8:$AB$1039,AB851,$R$8:$R$1039,R851,$AA$8:$AA$1039,"&lt;="&amp;AA851)</f>
        <v/>
      </c>
      <c r="AK851" s="84">
        <f>C84</f>
        <v/>
      </c>
      <c r="AL851" s="84">
        <f>C90</f>
        <v/>
      </c>
      <c r="AM851" s="84">
        <f>MAX(0,AJ851-AK851)</f>
        <v/>
      </c>
      <c r="AN851" s="84">
        <f>IF(AM851=0,AH851,IF(AM851&gt;=AH851,0,AH851-AM851))</f>
        <v/>
      </c>
      <c r="AO851" s="84">
        <f>IF(AM851&gt;=AH851,AI851,AI851*AM851/AH851)</f>
        <v/>
      </c>
      <c r="AP851">
        <f t="array" ref="AP851">INDEX($AU$8:$BB$25,6*(R851-1)+MATCH(AB851,$AS$8:$AS$13,0),MATCH(O851,$AU$7:$BB$7,0))</f>
        <v/>
      </c>
    </row>
    <row r="852" ht="14.25" customHeight="1">
      <c r="O852" s="43" t="inlineStr">
        <is>
          <t>Q3’27</t>
        </is>
      </c>
      <c r="P852" s="43" t="n">
        <v>2</v>
      </c>
      <c r="Q852" s="43" t="n">
        <v>13</v>
      </c>
      <c r="R852" s="43" t="n">
        <v>2</v>
      </c>
      <c r="S852" s="45" t="n">
        <v>910.5599999999999</v>
      </c>
      <c r="T852">
        <f>(S851+S852+S853)=T3</f>
        <v/>
      </c>
      <c r="X852" s="84">
        <f>MAX(S849-S852,0)</f>
        <v/>
      </c>
      <c r="Y852" s="83" t="n">
        <v>0</v>
      </c>
      <c r="AA852" s="84" t="n">
        <v>8</v>
      </c>
      <c r="AB852" s="84" t="inlineStr">
        <is>
          <t>E</t>
        </is>
      </c>
      <c r="AC852" s="84" t="inlineStr">
        <is>
          <t>E+</t>
        </is>
      </c>
      <c r="AD852" s="84" t="n">
        <v>12</v>
      </c>
      <c r="AE852" s="84" t="n">
        <v>9</v>
      </c>
      <c r="AF852" s="84" t="n">
        <v>0.76</v>
      </c>
      <c r="AG852" s="84" t="n">
        <v>0.84</v>
      </c>
      <c r="AH852" s="84" t="n">
        <v>0</v>
      </c>
      <c r="AI852" s="84" t="n">
        <v>0</v>
      </c>
      <c r="AJ852" s="84">
        <f>SUMIFS(AH$8:AH$1039,$O$8:$O$1039,O852,$AB$8:$AB$1039,AB852,$R$8:$R$1039,R852,$AA$8:$AA$1039,"&lt;="&amp;AA852)</f>
        <v/>
      </c>
      <c r="AK852" s="84">
        <f>D84</f>
        <v/>
      </c>
      <c r="AL852" s="84">
        <f>D90</f>
        <v/>
      </c>
      <c r="AM852" s="84">
        <f>MAX(0,AJ852-AK852)</f>
        <v/>
      </c>
      <c r="AN852" s="84">
        <f>IF(AM852=0,AH852,IF(AM852&gt;=AH852,0,AH852-AM852))</f>
        <v/>
      </c>
      <c r="AO852" s="84">
        <f>IF(AM852&gt;=AH852,AI852,AI852*AM852/AH852)</f>
        <v/>
      </c>
      <c r="AP852">
        <f t="array" ref="AP852">INDEX($AU$8:$BB$25,6*(R852-1)+MATCH(AB852,$AS$8:$AS$13,0),MATCH(O852,$AU$7:$BB$7,0))</f>
        <v/>
      </c>
    </row>
    <row r="853" ht="14.25" customHeight="1">
      <c r="O853" s="43" t="inlineStr">
        <is>
          <t>Q3’27</t>
        </is>
      </c>
      <c r="P853" s="43" t="n">
        <v>2</v>
      </c>
      <c r="Q853" s="43" t="n">
        <v>13</v>
      </c>
      <c r="R853" s="43" t="n">
        <v>3</v>
      </c>
      <c r="S853" s="45" t="n">
        <v>-0</v>
      </c>
      <c r="T853">
        <f>(S851+S852+S853)=T3</f>
        <v/>
      </c>
      <c r="X853" s="84">
        <f>MAX(S850-S853,0)</f>
        <v/>
      </c>
      <c r="Y853" s="83" t="n">
        <v>0</v>
      </c>
      <c r="AA853" s="84" t="n">
        <v>8</v>
      </c>
      <c r="AB853" s="84" t="inlineStr">
        <is>
          <t>E</t>
        </is>
      </c>
      <c r="AC853" s="84" t="inlineStr">
        <is>
          <t>E+</t>
        </is>
      </c>
      <c r="AD853" s="84" t="n">
        <v>12</v>
      </c>
      <c r="AE853" s="84" t="n">
        <v>9</v>
      </c>
      <c r="AF853" s="84" t="n">
        <v>0.76</v>
      </c>
      <c r="AG853" s="84" t="n">
        <v>0.84</v>
      </c>
      <c r="AH853" s="84" t="n">
        <v>0</v>
      </c>
      <c r="AI853" s="84" t="n">
        <v>0</v>
      </c>
      <c r="AJ853" s="84">
        <f>SUMIFS(AH$8:AH$1039,$O$8:$O$1039,O853,$AB$8:$AB$1039,AB853,$R$8:$R$1039,R853,$AA$8:$AA$1039,"&lt;="&amp;AA853)</f>
        <v/>
      </c>
      <c r="AK853" s="84">
        <f>E84</f>
        <v/>
      </c>
      <c r="AL853" s="84">
        <f>E90</f>
        <v/>
      </c>
      <c r="AM853" s="84">
        <f>MAX(0,AJ853-AK853)</f>
        <v/>
      </c>
      <c r="AN853" s="84">
        <f>IF(AM853=0,AH853,IF(AM853&gt;=AH853,0,AH853-AM853))</f>
        <v/>
      </c>
      <c r="AO853" s="84">
        <f>IF(AM853&gt;=AH853,AI853,AI853*AM853/AH853)</f>
        <v/>
      </c>
      <c r="AP853">
        <f t="array" ref="AP853">INDEX($AU$8:$BB$25,6*(R853-1)+MATCH(AB853,$AS$8:$AS$13,0),MATCH(O853,$AU$7:$BB$7,0))</f>
        <v/>
      </c>
    </row>
    <row r="854" ht="14.25" customHeight="1">
      <c r="O854" s="43" t="inlineStr">
        <is>
          <t>Q3’27</t>
        </is>
      </c>
      <c r="P854" s="43" t="n">
        <v>2</v>
      </c>
      <c r="Q854" s="43" t="n">
        <v>14</v>
      </c>
      <c r="R854" s="43" t="n">
        <v>1</v>
      </c>
      <c r="S854" s="45" t="n">
        <v>3429.44</v>
      </c>
      <c r="T854">
        <f>(S854+S855+S856)=T3</f>
        <v/>
      </c>
      <c r="X854" s="84">
        <f>MAX(S851-S854,0)</f>
        <v/>
      </c>
      <c r="Y854" s="83" t="n">
        <v>0</v>
      </c>
      <c r="AA854" s="84" t="n">
        <v>5</v>
      </c>
      <c r="AB854" s="84" t="inlineStr">
        <is>
          <t>E</t>
        </is>
      </c>
      <c r="AC854" s="84" t="inlineStr">
        <is>
          <t>E+</t>
        </is>
      </c>
      <c r="AD854" s="84" t="n">
        <v>15</v>
      </c>
      <c r="AE854" s="84" t="n">
        <v>12</v>
      </c>
      <c r="AF854" s="84" t="n">
        <v>0.76</v>
      </c>
      <c r="AG854" s="84" t="n">
        <v>0.84</v>
      </c>
      <c r="AH854" s="84" t="n">
        <v>0</v>
      </c>
      <c r="AI854" s="84" t="n">
        <v>0</v>
      </c>
      <c r="AJ854" s="84">
        <f>SUMIFS(AH$8:AH$1039,$O$8:$O$1039,O854,$AB$8:$AB$1039,AB854,$R$8:$R$1039,R854,$AA$8:$AA$1039,"&lt;="&amp;AA854)</f>
        <v/>
      </c>
      <c r="AK854" s="84">
        <f>C84</f>
        <v/>
      </c>
      <c r="AL854" s="84">
        <f>C90</f>
        <v/>
      </c>
      <c r="AM854" s="84">
        <f>MAX(0,AJ854-AK854)</f>
        <v/>
      </c>
      <c r="AN854" s="84">
        <f>IF(AM854=0,AH854,IF(AM854&gt;=AH854,0,AH854-AM854))</f>
        <v/>
      </c>
      <c r="AO854" s="84">
        <f>IF(AM854&gt;=AH854,AI854,AI854*AM854/AH854)</f>
        <v/>
      </c>
      <c r="AP854">
        <f t="array" ref="AP854">INDEX($AU$8:$BB$25,6*(R854-1)+MATCH(AB854,$AS$8:$AS$13,0),MATCH(O854,$AU$7:$BB$7,0))</f>
        <v/>
      </c>
    </row>
    <row r="855" ht="14.25" customHeight="1">
      <c r="O855" s="43" t="inlineStr">
        <is>
          <t>Q3’27</t>
        </is>
      </c>
      <c r="P855" s="43" t="n">
        <v>2</v>
      </c>
      <c r="Q855" s="43" t="n">
        <v>14</v>
      </c>
      <c r="R855" s="43" t="n">
        <v>2</v>
      </c>
      <c r="S855" s="45" t="n">
        <v>910.5599999999999</v>
      </c>
      <c r="T855">
        <f>(S854+S855+S856)=T3</f>
        <v/>
      </c>
      <c r="X855" s="84">
        <f>MAX(S852-S855,0)</f>
        <v/>
      </c>
      <c r="Y855" s="83" t="n">
        <v>0</v>
      </c>
      <c r="AA855" s="84" t="n">
        <v>5</v>
      </c>
      <c r="AB855" s="84" t="inlineStr">
        <is>
          <t>E</t>
        </is>
      </c>
      <c r="AC855" s="84" t="inlineStr">
        <is>
          <t>E+</t>
        </is>
      </c>
      <c r="AD855" s="84" t="n">
        <v>15</v>
      </c>
      <c r="AE855" s="84" t="n">
        <v>12</v>
      </c>
      <c r="AF855" s="84" t="n">
        <v>0.76</v>
      </c>
      <c r="AG855" s="84" t="n">
        <v>0.84</v>
      </c>
      <c r="AH855" s="84" t="n">
        <v>0</v>
      </c>
      <c r="AI855" s="84" t="n">
        <v>0</v>
      </c>
      <c r="AJ855" s="84">
        <f>SUMIFS(AH$8:AH$1039,$O$8:$O$1039,O855,$AB$8:$AB$1039,AB855,$R$8:$R$1039,R855,$AA$8:$AA$1039,"&lt;="&amp;AA855)</f>
        <v/>
      </c>
      <c r="AK855" s="84">
        <f>D84</f>
        <v/>
      </c>
      <c r="AL855" s="84">
        <f>D90</f>
        <v/>
      </c>
      <c r="AM855" s="84">
        <f>MAX(0,AJ855-AK855)</f>
        <v/>
      </c>
      <c r="AN855" s="84">
        <f>IF(AM855=0,AH855,IF(AM855&gt;=AH855,0,AH855-AM855))</f>
        <v/>
      </c>
      <c r="AO855" s="84">
        <f>IF(AM855&gt;=AH855,AI855,AI855*AM855/AH855)</f>
        <v/>
      </c>
      <c r="AP855">
        <f t="array" ref="AP855">INDEX($AU$8:$BB$25,6*(R855-1)+MATCH(AB855,$AS$8:$AS$13,0),MATCH(O855,$AU$7:$BB$7,0))</f>
        <v/>
      </c>
    </row>
    <row r="856" ht="14.25" customHeight="1">
      <c r="O856" s="43" t="inlineStr">
        <is>
          <t>Q3’27</t>
        </is>
      </c>
      <c r="P856" s="43" t="n">
        <v>2</v>
      </c>
      <c r="Q856" s="43" t="n">
        <v>14</v>
      </c>
      <c r="R856" s="43" t="n">
        <v>3</v>
      </c>
      <c r="S856" s="45" t="n">
        <v>-0</v>
      </c>
      <c r="T856">
        <f>(S854+S855+S856)=T3</f>
        <v/>
      </c>
      <c r="X856" s="84">
        <f>MAX(S853-S856,0)</f>
        <v/>
      </c>
      <c r="Y856" s="83" t="n">
        <v>0</v>
      </c>
      <c r="AA856" s="84" t="n">
        <v>5</v>
      </c>
      <c r="AB856" s="84" t="inlineStr">
        <is>
          <t>E</t>
        </is>
      </c>
      <c r="AC856" s="84" t="inlineStr">
        <is>
          <t>E+</t>
        </is>
      </c>
      <c r="AD856" s="84" t="n">
        <v>15</v>
      </c>
      <c r="AE856" s="84" t="n">
        <v>12</v>
      </c>
      <c r="AF856" s="84" t="n">
        <v>0.76</v>
      </c>
      <c r="AG856" s="84" t="n">
        <v>0.84</v>
      </c>
      <c r="AH856" s="84" t="n">
        <v>0</v>
      </c>
      <c r="AI856" s="84" t="n">
        <v>0</v>
      </c>
      <c r="AJ856" s="84">
        <f>SUMIFS(AH$8:AH$1039,$O$8:$O$1039,O856,$AB$8:$AB$1039,AB856,$R$8:$R$1039,R856,$AA$8:$AA$1039,"&lt;="&amp;AA856)</f>
        <v/>
      </c>
      <c r="AK856" s="84">
        <f>E84</f>
        <v/>
      </c>
      <c r="AL856" s="84">
        <f>E90</f>
        <v/>
      </c>
      <c r="AM856" s="84">
        <f>MAX(0,AJ856-AK856)</f>
        <v/>
      </c>
      <c r="AN856" s="84">
        <f>IF(AM856=0,AH856,IF(AM856&gt;=AH856,0,AH856-AM856))</f>
        <v/>
      </c>
      <c r="AO856" s="84">
        <f>IF(AM856&gt;=AH856,AI856,AI856*AM856/AH856)</f>
        <v/>
      </c>
      <c r="AP856">
        <f t="array" ref="AP856">INDEX($AU$8:$BB$25,6*(R856-1)+MATCH(AB856,$AS$8:$AS$13,0),MATCH(O856,$AU$7:$BB$7,0))</f>
        <v/>
      </c>
    </row>
    <row r="857" ht="14.25" customHeight="1">
      <c r="O857" s="43" t="inlineStr">
        <is>
          <t>Q3’27</t>
        </is>
      </c>
      <c r="P857" s="43" t="n">
        <v>2</v>
      </c>
      <c r="Q857" s="43" t="n">
        <v>15</v>
      </c>
      <c r="R857" s="43" t="n">
        <v>1</v>
      </c>
      <c r="S857" s="45" t="n">
        <v>3429.44</v>
      </c>
      <c r="T857">
        <f>(S857+S858+S859)=T3</f>
        <v/>
      </c>
      <c r="X857" s="84">
        <f>MAX(S854-S857,0)</f>
        <v/>
      </c>
      <c r="Y857" s="83" t="n">
        <v>0</v>
      </c>
      <c r="AA857" s="84" t="n">
        <v>7</v>
      </c>
      <c r="AB857" s="84" t="inlineStr">
        <is>
          <t>E</t>
        </is>
      </c>
      <c r="AC857" s="84" t="inlineStr">
        <is>
          <t>E+</t>
        </is>
      </c>
      <c r="AD857" s="84" t="n">
        <v>13</v>
      </c>
      <c r="AE857" s="84" t="n">
        <v>10</v>
      </c>
      <c r="AF857" s="84" t="n">
        <v>0.76</v>
      </c>
      <c r="AG857" s="84" t="n">
        <v>0.84</v>
      </c>
      <c r="AH857" s="84" t="n">
        <v>0</v>
      </c>
      <c r="AI857" s="84" t="n">
        <v>0</v>
      </c>
      <c r="AJ857" s="84">
        <f>SUMIFS(AH$8:AH$1039,$O$8:$O$1039,O857,$AB$8:$AB$1039,AB857,$R$8:$R$1039,R857,$AA$8:$AA$1039,"&lt;="&amp;AA857)</f>
        <v/>
      </c>
      <c r="AK857" s="84">
        <f>C84</f>
        <v/>
      </c>
      <c r="AL857" s="84">
        <f>C90</f>
        <v/>
      </c>
      <c r="AM857" s="84">
        <f>MAX(0,AJ857-AK857)</f>
        <v/>
      </c>
      <c r="AN857" s="84">
        <f>IF(AM857=0,AH857,IF(AM857&gt;=AH857,0,AH857-AM857))</f>
        <v/>
      </c>
      <c r="AO857" s="84">
        <f>IF(AM857&gt;=AH857,AI857,AI857*AM857/AH857)</f>
        <v/>
      </c>
      <c r="AP857">
        <f t="array" ref="AP857">INDEX($AU$8:$BB$25,6*(R857-1)+MATCH(AB857,$AS$8:$AS$13,0),MATCH(O857,$AU$7:$BB$7,0))</f>
        <v/>
      </c>
    </row>
    <row r="858" ht="14.25" customHeight="1">
      <c r="O858" s="43" t="inlineStr">
        <is>
          <t>Q3’27</t>
        </is>
      </c>
      <c r="P858" s="43" t="n">
        <v>2</v>
      </c>
      <c r="Q858" s="43" t="n">
        <v>15</v>
      </c>
      <c r="R858" s="43" t="n">
        <v>2</v>
      </c>
      <c r="S858" s="45" t="n">
        <v>910.5599999999999</v>
      </c>
      <c r="T858">
        <f>(S857+S858+S859)=T3</f>
        <v/>
      </c>
      <c r="X858" s="84">
        <f>MAX(S855-S858,0)</f>
        <v/>
      </c>
      <c r="Y858" s="83" t="n">
        <v>0</v>
      </c>
      <c r="AA858" s="84" t="n">
        <v>7</v>
      </c>
      <c r="AB858" s="84" t="inlineStr">
        <is>
          <t>E</t>
        </is>
      </c>
      <c r="AC858" s="84" t="inlineStr">
        <is>
          <t>E+</t>
        </is>
      </c>
      <c r="AD858" s="84" t="n">
        <v>13</v>
      </c>
      <c r="AE858" s="84" t="n">
        <v>10</v>
      </c>
      <c r="AF858" s="84" t="n">
        <v>0.76</v>
      </c>
      <c r="AG858" s="84" t="n">
        <v>0.84</v>
      </c>
      <c r="AH858" s="84" t="n">
        <v>0</v>
      </c>
      <c r="AI858" s="84" t="n">
        <v>0</v>
      </c>
      <c r="AJ858" s="84">
        <f>SUMIFS(AH$8:AH$1039,$O$8:$O$1039,O858,$AB$8:$AB$1039,AB858,$R$8:$R$1039,R858,$AA$8:$AA$1039,"&lt;="&amp;AA858)</f>
        <v/>
      </c>
      <c r="AK858" s="84">
        <f>D84</f>
        <v/>
      </c>
      <c r="AL858" s="84">
        <f>D90</f>
        <v/>
      </c>
      <c r="AM858" s="84">
        <f>MAX(0,AJ858-AK858)</f>
        <v/>
      </c>
      <c r="AN858" s="84">
        <f>IF(AM858=0,AH858,IF(AM858&gt;=AH858,0,AH858-AM858))</f>
        <v/>
      </c>
      <c r="AO858" s="84">
        <f>IF(AM858&gt;=AH858,AI858,AI858*AM858/AH858)</f>
        <v/>
      </c>
      <c r="AP858">
        <f t="array" ref="AP858">INDEX($AU$8:$BB$25,6*(R858-1)+MATCH(AB858,$AS$8:$AS$13,0),MATCH(O858,$AU$7:$BB$7,0))</f>
        <v/>
      </c>
    </row>
    <row r="859" ht="14.25" customHeight="1">
      <c r="O859" s="43" t="inlineStr">
        <is>
          <t>Q3’27</t>
        </is>
      </c>
      <c r="P859" s="43" t="n">
        <v>2</v>
      </c>
      <c r="Q859" s="43" t="n">
        <v>15</v>
      </c>
      <c r="R859" s="43" t="n">
        <v>3</v>
      </c>
      <c r="S859" s="45" t="n">
        <v>-0</v>
      </c>
      <c r="T859">
        <f>(S857+S858+S859)=T3</f>
        <v/>
      </c>
      <c r="X859" s="84">
        <f>MAX(S856-S859,0)</f>
        <v/>
      </c>
      <c r="Y859" s="83" t="n">
        <v>0</v>
      </c>
      <c r="AA859" s="84" t="n">
        <v>7</v>
      </c>
      <c r="AB859" s="84" t="inlineStr">
        <is>
          <t>E</t>
        </is>
      </c>
      <c r="AC859" s="84" t="inlineStr">
        <is>
          <t>E+</t>
        </is>
      </c>
      <c r="AD859" s="84" t="n">
        <v>13</v>
      </c>
      <c r="AE859" s="84" t="n">
        <v>10</v>
      </c>
      <c r="AF859" s="84" t="n">
        <v>0.76</v>
      </c>
      <c r="AG859" s="84" t="n">
        <v>0.84</v>
      </c>
      <c r="AH859" s="84" t="n">
        <v>0</v>
      </c>
      <c r="AI859" s="84" t="n">
        <v>0</v>
      </c>
      <c r="AJ859" s="84">
        <f>SUMIFS(AH$8:AH$1039,$O$8:$O$1039,O859,$AB$8:$AB$1039,AB859,$R$8:$R$1039,R859,$AA$8:$AA$1039,"&lt;="&amp;AA859)</f>
        <v/>
      </c>
      <c r="AK859" s="84">
        <f>E84</f>
        <v/>
      </c>
      <c r="AL859" s="84">
        <f>E90</f>
        <v/>
      </c>
      <c r="AM859" s="84">
        <f>MAX(0,AJ859-AK859)</f>
        <v/>
      </c>
      <c r="AN859" s="84">
        <f>IF(AM859=0,AH859,IF(AM859&gt;=AH859,0,AH859-AM859))</f>
        <v/>
      </c>
      <c r="AO859" s="84">
        <f>IF(AM859&gt;=AH859,AI859,AI859*AM859/AH859)</f>
        <v/>
      </c>
      <c r="AP859">
        <f t="array" ref="AP859">INDEX($AU$8:$BB$25,6*(R859-1)+MATCH(AB859,$AS$8:$AS$13,0),MATCH(O859,$AU$7:$BB$7,0))</f>
        <v/>
      </c>
    </row>
    <row r="860" ht="14.25" customHeight="1">
      <c r="O860" s="43" t="inlineStr">
        <is>
          <t>Q3’27</t>
        </is>
      </c>
      <c r="P860" s="43" t="n">
        <v>3</v>
      </c>
      <c r="Q860" s="43" t="n">
        <v>1</v>
      </c>
      <c r="R860" s="43" t="n">
        <v>1</v>
      </c>
      <c r="S860" s="45" t="n">
        <v>2039.717647058823</v>
      </c>
      <c r="T860">
        <f>(S860+S861+S862)=T4</f>
        <v/>
      </c>
      <c r="X860" s="84" t="n">
        <v>0</v>
      </c>
      <c r="Y860" s="83" t="n">
        <v>0</v>
      </c>
      <c r="AA860" s="84" t="n">
        <v>1</v>
      </c>
      <c r="AB860" s="84" t="inlineStr">
        <is>
          <t>C</t>
        </is>
      </c>
      <c r="AC860" s="84" t="inlineStr">
        <is>
          <t>C+</t>
        </is>
      </c>
      <c r="AD860" s="84" t="n">
        <v>21</v>
      </c>
      <c r="AE860" s="84" t="n">
        <v>20</v>
      </c>
      <c r="AF860" s="84" t="n">
        <v>0.8</v>
      </c>
      <c r="AG860" s="84" t="n">
        <v>0.86</v>
      </c>
      <c r="AH860" s="84" t="n">
        <v>0</v>
      </c>
      <c r="AI860" s="84" t="n">
        <v>0</v>
      </c>
      <c r="AJ860" s="84">
        <f>SUMIFS(AH$8:AH$1039,$O$8:$O$1039,O860,$AB$8:$AB$1039,AB860,$R$8:$R$1039,R860,$AA$8:$AA$1039,"&lt;="&amp;AA860)</f>
        <v/>
      </c>
      <c r="AK860" s="84">
        <f>C82</f>
        <v/>
      </c>
      <c r="AL860" s="84">
        <f>C88</f>
        <v/>
      </c>
      <c r="AM860" s="84">
        <f>MAX(0,AJ860-AK860)</f>
        <v/>
      </c>
      <c r="AN860" s="84">
        <f>IF(AM860=0,AH860,IF(AM860&gt;=AH860,0,AH860-AM860))</f>
        <v/>
      </c>
      <c r="AO860" s="84">
        <f>IF(AM860&gt;=AH860,AI860,AI860*AM860/AH860)</f>
        <v/>
      </c>
      <c r="AP860">
        <f t="array" ref="AP860">INDEX($AU$8:$BB$25,6*(R860-1)+MATCH(AB860,$AS$8:$AS$13,0),MATCH(O860,$AU$7:$BB$7,0))</f>
        <v/>
      </c>
    </row>
    <row r="861" ht="14.25" customHeight="1">
      <c r="O861" s="43" t="inlineStr">
        <is>
          <t>Q3’27</t>
        </is>
      </c>
      <c r="P861" s="43" t="n">
        <v>3</v>
      </c>
      <c r="Q861" s="43" t="n">
        <v>1</v>
      </c>
      <c r="R861" s="43" t="n">
        <v>2</v>
      </c>
      <c r="S861" s="45" t="n">
        <v>3671.491764705882</v>
      </c>
      <c r="T861">
        <f>(S860+S861+S862)=T4</f>
        <v/>
      </c>
      <c r="X861" s="84" t="n">
        <v>0</v>
      </c>
      <c r="Y861" s="83" t="n">
        <v>0</v>
      </c>
      <c r="AA861" s="84" t="n">
        <v>1</v>
      </c>
      <c r="AB861" s="84" t="inlineStr">
        <is>
          <t>C</t>
        </is>
      </c>
      <c r="AC861" s="84" t="inlineStr">
        <is>
          <t>C+</t>
        </is>
      </c>
      <c r="AD861" s="84" t="n">
        <v>21</v>
      </c>
      <c r="AE861" s="84" t="n">
        <v>20</v>
      </c>
      <c r="AF861" s="84" t="n">
        <v>0.8</v>
      </c>
      <c r="AG861" s="84" t="n">
        <v>0.86</v>
      </c>
      <c r="AH861" s="84" t="n">
        <v>0</v>
      </c>
      <c r="AI861" s="84" t="n">
        <v>0</v>
      </c>
      <c r="AJ861" s="84">
        <f>SUMIFS(AH$8:AH$1039,$O$8:$O$1039,O861,$AB$8:$AB$1039,AB861,$R$8:$R$1039,R861,$AA$8:$AA$1039,"&lt;="&amp;AA861)</f>
        <v/>
      </c>
      <c r="AK861" s="84">
        <f>D82</f>
        <v/>
      </c>
      <c r="AL861" s="84">
        <f>D88</f>
        <v/>
      </c>
      <c r="AM861" s="84">
        <f>MAX(0,AJ861-AK861)</f>
        <v/>
      </c>
      <c r="AN861" s="84">
        <f>IF(AM861=0,AH861,IF(AM861&gt;=AH861,0,AH861-AM861))</f>
        <v/>
      </c>
      <c r="AO861" s="84">
        <f>IF(AM861&gt;=AH861,AI861,AI861*AM861/AH861)</f>
        <v/>
      </c>
      <c r="AP861">
        <f t="array" ref="AP861">INDEX($AU$8:$BB$25,6*(R861-1)+MATCH(AB861,$AS$8:$AS$13,0),MATCH(O861,$AU$7:$BB$7,0))</f>
        <v/>
      </c>
    </row>
    <row r="862" ht="14.25" customHeight="1">
      <c r="O862" s="43" t="inlineStr">
        <is>
          <t>Q3’27</t>
        </is>
      </c>
      <c r="P862" s="43" t="n">
        <v>3</v>
      </c>
      <c r="Q862" s="43" t="n">
        <v>1</v>
      </c>
      <c r="R862" s="43" t="n">
        <v>3</v>
      </c>
      <c r="S862" s="45" t="n">
        <v>2348.790588235294</v>
      </c>
      <c r="T862">
        <f>(S860+S861+S862)=T4</f>
        <v/>
      </c>
      <c r="X862" s="84" t="n">
        <v>0</v>
      </c>
      <c r="Y862" s="83" t="n">
        <v>0</v>
      </c>
      <c r="AA862" s="84" t="n">
        <v>1</v>
      </c>
      <c r="AB862" s="84" t="inlineStr">
        <is>
          <t>C</t>
        </is>
      </c>
      <c r="AC862" s="84" t="inlineStr">
        <is>
          <t>C+</t>
        </is>
      </c>
      <c r="AD862" s="84" t="n">
        <v>21</v>
      </c>
      <c r="AE862" s="84" t="n">
        <v>20</v>
      </c>
      <c r="AF862" s="84" t="n">
        <v>0.8</v>
      </c>
      <c r="AG862" s="84" t="n">
        <v>0.86</v>
      </c>
      <c r="AH862" s="84" t="n">
        <v>0</v>
      </c>
      <c r="AI862" s="84" t="n">
        <v>0</v>
      </c>
      <c r="AJ862" s="84">
        <f>SUMIFS(AH$8:AH$1039,$O$8:$O$1039,O862,$AB$8:$AB$1039,AB862,$R$8:$R$1039,R862,$AA$8:$AA$1039,"&lt;="&amp;AA862)</f>
        <v/>
      </c>
      <c r="AK862" s="84">
        <f>E82</f>
        <v/>
      </c>
      <c r="AL862" s="84">
        <f>E88</f>
        <v/>
      </c>
      <c r="AM862" s="84">
        <f>MAX(0,AJ862-AK862)</f>
        <v/>
      </c>
      <c r="AN862" s="84">
        <f>IF(AM862=0,AH862,IF(AM862&gt;=AH862,0,AH862-AM862))</f>
        <v/>
      </c>
      <c r="AO862" s="84">
        <f>IF(AM862&gt;=AH862,AI862,AI862*AM862/AH862)</f>
        <v/>
      </c>
      <c r="AP862">
        <f t="array" ref="AP862">INDEX($AU$8:$BB$25,6*(R862-1)+MATCH(AB862,$AS$8:$AS$13,0),MATCH(O862,$AU$7:$BB$7,0))</f>
        <v/>
      </c>
    </row>
    <row r="863" ht="14.25" customHeight="1">
      <c r="O863" s="43" t="inlineStr">
        <is>
          <t>Q3’27</t>
        </is>
      </c>
      <c r="P863" s="43" t="n">
        <v>3</v>
      </c>
      <c r="Q863" s="43" t="n">
        <v>2</v>
      </c>
      <c r="R863" s="43" t="n">
        <v>1</v>
      </c>
      <c r="S863" s="45" t="n">
        <v>2039.717647058824</v>
      </c>
      <c r="T863">
        <f>(S863+S864+S865)=T4</f>
        <v/>
      </c>
      <c r="X863" s="84">
        <f>MAX(S860-S863,0)</f>
        <v/>
      </c>
      <c r="Y863" s="83" t="n">
        <v>0</v>
      </c>
      <c r="AA863" s="84" t="n">
        <v>8</v>
      </c>
      <c r="AB863" s="84" t="inlineStr">
        <is>
          <t>D</t>
        </is>
      </c>
      <c r="AC863" s="84" t="inlineStr">
        <is>
          <t>D+</t>
        </is>
      </c>
      <c r="AD863" s="84" t="n">
        <v>9</v>
      </c>
      <c r="AE863" s="84" t="n">
        <v>7</v>
      </c>
      <c r="AF863" s="84" t="n">
        <v>0.8</v>
      </c>
      <c r="AG863" s="84" t="n">
        <v>0.88</v>
      </c>
      <c r="AH863" s="84" t="n">
        <v>0</v>
      </c>
      <c r="AI863" s="84" t="n">
        <v>0</v>
      </c>
      <c r="AJ863" s="84">
        <f>SUMIFS(AH$8:AH$1039,$O$8:$O$1039,O863,$AB$8:$AB$1039,AB863,$R$8:$R$1039,R863,$AA$8:$AA$1039,"&lt;="&amp;AA863)</f>
        <v/>
      </c>
      <c r="AK863" s="84">
        <f>C83</f>
        <v/>
      </c>
      <c r="AL863" s="84">
        <f>C89</f>
        <v/>
      </c>
      <c r="AM863" s="84">
        <f>MAX(0,AJ863-AK863)</f>
        <v/>
      </c>
      <c r="AN863" s="84">
        <f>IF(AM863=0,AH863,IF(AM863&gt;=AH863,0,AH863-AM863))</f>
        <v/>
      </c>
      <c r="AO863" s="84">
        <f>IF(AM863&gt;=AH863,AI863,AI863*AM863/AH863)</f>
        <v/>
      </c>
      <c r="AP863">
        <f t="array" ref="AP863">INDEX($AU$8:$BB$25,6*(R863-1)+MATCH(AB863,$AS$8:$AS$13,0),MATCH(O863,$AU$7:$BB$7,0))</f>
        <v/>
      </c>
    </row>
    <row r="864" ht="14.25" customHeight="1">
      <c r="O864" s="43" t="inlineStr">
        <is>
          <t>Q3’27</t>
        </is>
      </c>
      <c r="P864" s="43" t="n">
        <v>3</v>
      </c>
      <c r="Q864" s="43" t="n">
        <v>2</v>
      </c>
      <c r="R864" s="43" t="n">
        <v>2</v>
      </c>
      <c r="S864" s="45" t="n">
        <v>3671.491764705882</v>
      </c>
      <c r="T864">
        <f>(S863+S864+S865)=T4</f>
        <v/>
      </c>
      <c r="X864" s="84">
        <f>MAX(S861-S864,0)</f>
        <v/>
      </c>
      <c r="Y864" s="83" t="n">
        <v>0</v>
      </c>
      <c r="AA864" s="84" t="n">
        <v>8</v>
      </c>
      <c r="AB864" s="84" t="inlineStr">
        <is>
          <t>D</t>
        </is>
      </c>
      <c r="AC864" s="84" t="inlineStr">
        <is>
          <t>D+</t>
        </is>
      </c>
      <c r="AD864" s="84" t="n">
        <v>9</v>
      </c>
      <c r="AE864" s="84" t="n">
        <v>7</v>
      </c>
      <c r="AF864" s="84" t="n">
        <v>0.8</v>
      </c>
      <c r="AG864" s="84" t="n">
        <v>0.88</v>
      </c>
      <c r="AH864" s="84" t="n">
        <v>0</v>
      </c>
      <c r="AI864" s="84" t="n">
        <v>0</v>
      </c>
      <c r="AJ864" s="84">
        <f>SUMIFS(AH$8:AH$1039,$O$8:$O$1039,O864,$AB$8:$AB$1039,AB864,$R$8:$R$1039,R864,$AA$8:$AA$1039,"&lt;="&amp;AA864)</f>
        <v/>
      </c>
      <c r="AK864" s="84">
        <f>D83</f>
        <v/>
      </c>
      <c r="AL864" s="84">
        <f>D89</f>
        <v/>
      </c>
      <c r="AM864" s="84">
        <f>MAX(0,AJ864-AK864)</f>
        <v/>
      </c>
      <c r="AN864" s="84">
        <f>IF(AM864=0,AH864,IF(AM864&gt;=AH864,0,AH864-AM864))</f>
        <v/>
      </c>
      <c r="AO864" s="84">
        <f>IF(AM864&gt;=AH864,AI864,AI864*AM864/AH864)</f>
        <v/>
      </c>
      <c r="AP864">
        <f t="array" ref="AP864">INDEX($AU$8:$BB$25,6*(R864-1)+MATCH(AB864,$AS$8:$AS$13,0),MATCH(O864,$AU$7:$BB$7,0))</f>
        <v/>
      </c>
    </row>
    <row r="865" ht="14.25" customHeight="1">
      <c r="O865" s="43" t="inlineStr">
        <is>
          <t>Q3’27</t>
        </is>
      </c>
      <c r="P865" s="43" t="n">
        <v>3</v>
      </c>
      <c r="Q865" s="43" t="n">
        <v>2</v>
      </c>
      <c r="R865" s="43" t="n">
        <v>3</v>
      </c>
      <c r="S865" s="45" t="n">
        <v>2348.790588235294</v>
      </c>
      <c r="T865">
        <f>(S863+S864+S865)=T4</f>
        <v/>
      </c>
      <c r="X865" s="84">
        <f>MAX(S862-S865,0)</f>
        <v/>
      </c>
      <c r="Y865" s="83" t="n">
        <v>0</v>
      </c>
      <c r="AA865" s="84" t="n">
        <v>8</v>
      </c>
      <c r="AB865" s="84" t="inlineStr">
        <is>
          <t>D</t>
        </is>
      </c>
      <c r="AC865" s="84" t="inlineStr">
        <is>
          <t>D+</t>
        </is>
      </c>
      <c r="AD865" s="84" t="n">
        <v>9</v>
      </c>
      <c r="AE865" s="84" t="n">
        <v>7</v>
      </c>
      <c r="AF865" s="84" t="n">
        <v>0.8</v>
      </c>
      <c r="AG865" s="84" t="n">
        <v>0.88</v>
      </c>
      <c r="AH865" s="84" t="n">
        <v>0</v>
      </c>
      <c r="AI865" s="84" t="n">
        <v>0</v>
      </c>
      <c r="AJ865" s="84">
        <f>SUMIFS(AH$8:AH$1039,$O$8:$O$1039,O865,$AB$8:$AB$1039,AB865,$R$8:$R$1039,R865,$AA$8:$AA$1039,"&lt;="&amp;AA865)</f>
        <v/>
      </c>
      <c r="AK865" s="84">
        <f>E83</f>
        <v/>
      </c>
      <c r="AL865" s="84">
        <f>E89</f>
        <v/>
      </c>
      <c r="AM865" s="84">
        <f>MAX(0,AJ865-AK865)</f>
        <v/>
      </c>
      <c r="AN865" s="84">
        <f>IF(AM865=0,AH865,IF(AM865&gt;=AH865,0,AH865-AM865))</f>
        <v/>
      </c>
      <c r="AO865" s="84">
        <f>IF(AM865&gt;=AH865,AI865,AI865*AM865/AH865)</f>
        <v/>
      </c>
      <c r="AP865">
        <f t="array" ref="AP865">INDEX($AU$8:$BB$25,6*(R865-1)+MATCH(AB865,$AS$8:$AS$13,0),MATCH(O865,$AU$7:$BB$7,0))</f>
        <v/>
      </c>
    </row>
    <row r="866" ht="14.25" customHeight="1">
      <c r="O866" s="43" t="inlineStr">
        <is>
          <t>Q3’27</t>
        </is>
      </c>
      <c r="P866" s="43" t="n">
        <v>3</v>
      </c>
      <c r="Q866" s="43" t="n">
        <v>3</v>
      </c>
      <c r="R866" s="43" t="n">
        <v>1</v>
      </c>
      <c r="S866" s="45" t="n">
        <v>2039.717647058824</v>
      </c>
      <c r="T866">
        <f>(S866+S867+S868)=T4</f>
        <v/>
      </c>
      <c r="X866" s="84">
        <f>MAX(S863-S866,0)</f>
        <v/>
      </c>
      <c r="Y866" s="83" t="n">
        <v>0</v>
      </c>
      <c r="AA866" s="84" t="n">
        <v>1</v>
      </c>
      <c r="AB866" s="84" t="inlineStr">
        <is>
          <t>E</t>
        </is>
      </c>
      <c r="AC866" s="84" t="inlineStr">
        <is>
          <t>E+</t>
        </is>
      </c>
      <c r="AD866" s="84" t="n">
        <v>24</v>
      </c>
      <c r="AE866" s="84" t="n">
        <v>23</v>
      </c>
      <c r="AF866" s="84" t="n">
        <v>0.76</v>
      </c>
      <c r="AG866" s="84" t="n">
        <v>0.84</v>
      </c>
      <c r="AH866" s="84" t="n">
        <v>0</v>
      </c>
      <c r="AI866" s="84" t="n">
        <v>0</v>
      </c>
      <c r="AJ866" s="84">
        <f>SUMIFS(AH$8:AH$1039,$O$8:$O$1039,O866,$AB$8:$AB$1039,AB866,$R$8:$R$1039,R866,$AA$8:$AA$1039,"&lt;="&amp;AA866)</f>
        <v/>
      </c>
      <c r="AK866" s="84">
        <f>C84</f>
        <v/>
      </c>
      <c r="AL866" s="84">
        <f>C90</f>
        <v/>
      </c>
      <c r="AM866" s="84">
        <f>MAX(0,AJ866-AK866)</f>
        <v/>
      </c>
      <c r="AN866" s="84">
        <f>IF(AM866=0,AH866,IF(AM866&gt;=AH866,0,AH866-AM866))</f>
        <v/>
      </c>
      <c r="AO866" s="84">
        <f>IF(AM866&gt;=AH866,AI866,AI866*AM866/AH866)</f>
        <v/>
      </c>
      <c r="AP866">
        <f t="array" ref="AP866">INDEX($AU$8:$BB$25,6*(R866-1)+MATCH(AB866,$AS$8:$AS$13,0),MATCH(O866,$AU$7:$BB$7,0))</f>
        <v/>
      </c>
    </row>
    <row r="867" ht="14.25" customHeight="1">
      <c r="O867" s="43" t="inlineStr">
        <is>
          <t>Q3’27</t>
        </is>
      </c>
      <c r="P867" s="43" t="n">
        <v>3</v>
      </c>
      <c r="Q867" s="43" t="n">
        <v>3</v>
      </c>
      <c r="R867" s="43" t="n">
        <v>2</v>
      </c>
      <c r="S867" s="45" t="n">
        <v>3671.491764705882</v>
      </c>
      <c r="T867">
        <f>(S866+S867+S868)=T4</f>
        <v/>
      </c>
      <c r="X867" s="84">
        <f>MAX(S864-S867,0)</f>
        <v/>
      </c>
      <c r="Y867" s="83" t="n">
        <v>0</v>
      </c>
      <c r="AA867" s="84" t="n">
        <v>1</v>
      </c>
      <c r="AB867" s="84" t="inlineStr">
        <is>
          <t>E</t>
        </is>
      </c>
      <c r="AC867" s="84" t="inlineStr">
        <is>
          <t>E+</t>
        </is>
      </c>
      <c r="AD867" s="84" t="n">
        <v>24</v>
      </c>
      <c r="AE867" s="84" t="n">
        <v>23</v>
      </c>
      <c r="AF867" s="84" t="n">
        <v>0.76</v>
      </c>
      <c r="AG867" s="84" t="n">
        <v>0.84</v>
      </c>
      <c r="AH867" s="84" t="n">
        <v>0</v>
      </c>
      <c r="AI867" s="84" t="n">
        <v>0</v>
      </c>
      <c r="AJ867" s="84">
        <f>SUMIFS(AH$8:AH$1039,$O$8:$O$1039,O867,$AB$8:$AB$1039,AB867,$R$8:$R$1039,R867,$AA$8:$AA$1039,"&lt;="&amp;AA867)</f>
        <v/>
      </c>
      <c r="AK867" s="84">
        <f>D84</f>
        <v/>
      </c>
      <c r="AL867" s="84">
        <f>D90</f>
        <v/>
      </c>
      <c r="AM867" s="84">
        <f>MAX(0,AJ867-AK867)</f>
        <v/>
      </c>
      <c r="AN867" s="84">
        <f>IF(AM867=0,AH867,IF(AM867&gt;=AH867,0,AH867-AM867))</f>
        <v/>
      </c>
      <c r="AO867" s="84">
        <f>IF(AM867&gt;=AH867,AI867,AI867*AM867/AH867)</f>
        <v/>
      </c>
      <c r="AP867">
        <f t="array" ref="AP867">INDEX($AU$8:$BB$25,6*(R867-1)+MATCH(AB867,$AS$8:$AS$13,0),MATCH(O867,$AU$7:$BB$7,0))</f>
        <v/>
      </c>
    </row>
    <row r="868" ht="14.25" customHeight="1">
      <c r="O868" s="43" t="inlineStr">
        <is>
          <t>Q3’27</t>
        </is>
      </c>
      <c r="P868" s="43" t="n">
        <v>3</v>
      </c>
      <c r="Q868" s="43" t="n">
        <v>3</v>
      </c>
      <c r="R868" s="43" t="n">
        <v>3</v>
      </c>
      <c r="S868" s="45" t="n">
        <v>2348.790588235294</v>
      </c>
      <c r="T868">
        <f>(S866+S867+S868)=T4</f>
        <v/>
      </c>
      <c r="X868" s="84">
        <f>MAX(S865-S868,0)</f>
        <v/>
      </c>
      <c r="Y868" s="83" t="n">
        <v>0</v>
      </c>
      <c r="AA868" s="84" t="n">
        <v>1</v>
      </c>
      <c r="AB868" s="84" t="inlineStr">
        <is>
          <t>E</t>
        </is>
      </c>
      <c r="AC868" s="84" t="inlineStr">
        <is>
          <t>E+</t>
        </is>
      </c>
      <c r="AD868" s="84" t="n">
        <v>24</v>
      </c>
      <c r="AE868" s="84" t="n">
        <v>23</v>
      </c>
      <c r="AF868" s="84" t="n">
        <v>0.76</v>
      </c>
      <c r="AG868" s="84" t="n">
        <v>0.84</v>
      </c>
      <c r="AH868" s="84" t="n">
        <v>0</v>
      </c>
      <c r="AI868" s="84" t="n">
        <v>0</v>
      </c>
      <c r="AJ868" s="84">
        <f>SUMIFS(AH$8:AH$1039,$O$8:$O$1039,O868,$AB$8:$AB$1039,AB868,$R$8:$R$1039,R868,$AA$8:$AA$1039,"&lt;="&amp;AA868)</f>
        <v/>
      </c>
      <c r="AK868" s="84">
        <f>E84</f>
        <v/>
      </c>
      <c r="AL868" s="84">
        <f>E90</f>
        <v/>
      </c>
      <c r="AM868" s="84">
        <f>MAX(0,AJ868-AK868)</f>
        <v/>
      </c>
      <c r="AN868" s="84">
        <f>IF(AM868=0,AH868,IF(AM868&gt;=AH868,0,AH868-AM868))</f>
        <v/>
      </c>
      <c r="AO868" s="84">
        <f>IF(AM868&gt;=AH868,AI868,AI868*AM868/AH868)</f>
        <v/>
      </c>
      <c r="AP868">
        <f t="array" ref="AP868">INDEX($AU$8:$BB$25,6*(R868-1)+MATCH(AB868,$AS$8:$AS$13,0),MATCH(O868,$AU$7:$BB$7,0))</f>
        <v/>
      </c>
    </row>
    <row r="869" ht="14.25" customHeight="1">
      <c r="O869" s="43" t="inlineStr">
        <is>
          <t>Q3’27</t>
        </is>
      </c>
      <c r="P869" s="43" t="n">
        <v>3</v>
      </c>
      <c r="Q869" s="43" t="n">
        <v>4</v>
      </c>
      <c r="R869" s="43" t="n">
        <v>1</v>
      </c>
      <c r="S869" s="45" t="n">
        <v>2039.717647058823</v>
      </c>
      <c r="T869">
        <f>(S869+S870+S871)=T4</f>
        <v/>
      </c>
      <c r="X869" s="84">
        <f>MAX(S866-S869,0)</f>
        <v/>
      </c>
      <c r="Y869" s="83" t="n">
        <v>0</v>
      </c>
      <c r="AA869" s="84" t="n">
        <v>9</v>
      </c>
      <c r="AB869" s="84" t="inlineStr">
        <is>
          <t>E</t>
        </is>
      </c>
      <c r="AC869" s="84" t="inlineStr">
        <is>
          <t>E+</t>
        </is>
      </c>
      <c r="AD869" s="84" t="n">
        <v>15</v>
      </c>
      <c r="AE869" s="84" t="n">
        <v>11</v>
      </c>
      <c r="AF869" s="84" t="n">
        <v>0.76</v>
      </c>
      <c r="AG869" s="84" t="n">
        <v>0.84</v>
      </c>
      <c r="AH869" s="84" t="n">
        <v>0</v>
      </c>
      <c r="AI869" s="84" t="n">
        <v>0</v>
      </c>
      <c r="AJ869" s="84">
        <f>SUMIFS(AH$8:AH$1039,$O$8:$O$1039,O869,$AB$8:$AB$1039,AB869,$R$8:$R$1039,R869,$AA$8:$AA$1039,"&lt;="&amp;AA869)</f>
        <v/>
      </c>
      <c r="AK869" s="84">
        <f>C84</f>
        <v/>
      </c>
      <c r="AL869" s="84">
        <f>C90</f>
        <v/>
      </c>
      <c r="AM869" s="84">
        <f>MAX(0,AJ869-AK869)</f>
        <v/>
      </c>
      <c r="AN869" s="84">
        <f>IF(AM869=0,AH869,IF(AM869&gt;=AH869,0,AH869-AM869))</f>
        <v/>
      </c>
      <c r="AO869" s="84">
        <f>IF(AM869&gt;=AH869,AI869,AI869*AM869/AH869)</f>
        <v/>
      </c>
      <c r="AP869">
        <f t="array" ref="AP869">INDEX($AU$8:$BB$25,6*(R869-1)+MATCH(AB869,$AS$8:$AS$13,0),MATCH(O869,$AU$7:$BB$7,0))</f>
        <v/>
      </c>
    </row>
    <row r="870" ht="14.25" customHeight="1">
      <c r="O870" s="43" t="inlineStr">
        <is>
          <t>Q3’27</t>
        </is>
      </c>
      <c r="P870" s="43" t="n">
        <v>3</v>
      </c>
      <c r="Q870" s="43" t="n">
        <v>4</v>
      </c>
      <c r="R870" s="43" t="n">
        <v>2</v>
      </c>
      <c r="S870" s="45" t="n">
        <v>3671.491764705883</v>
      </c>
      <c r="T870">
        <f>(S869+S870+S871)=T4</f>
        <v/>
      </c>
      <c r="X870" s="84">
        <f>MAX(S867-S870,0)</f>
        <v/>
      </c>
      <c r="Y870" s="83" t="n">
        <v>0</v>
      </c>
      <c r="AA870" s="84" t="n">
        <v>9</v>
      </c>
      <c r="AB870" s="84" t="inlineStr">
        <is>
          <t>E</t>
        </is>
      </c>
      <c r="AC870" s="84" t="inlineStr">
        <is>
          <t>E+</t>
        </is>
      </c>
      <c r="AD870" s="84" t="n">
        <v>15</v>
      </c>
      <c r="AE870" s="84" t="n">
        <v>11</v>
      </c>
      <c r="AF870" s="84" t="n">
        <v>0.76</v>
      </c>
      <c r="AG870" s="84" t="n">
        <v>0.84</v>
      </c>
      <c r="AH870" s="84" t="n">
        <v>0</v>
      </c>
      <c r="AI870" s="84" t="n">
        <v>0</v>
      </c>
      <c r="AJ870" s="84">
        <f>SUMIFS(AH$8:AH$1039,$O$8:$O$1039,O870,$AB$8:$AB$1039,AB870,$R$8:$R$1039,R870,$AA$8:$AA$1039,"&lt;="&amp;AA870)</f>
        <v/>
      </c>
      <c r="AK870" s="84">
        <f>D84</f>
        <v/>
      </c>
      <c r="AL870" s="84">
        <f>D90</f>
        <v/>
      </c>
      <c r="AM870" s="84">
        <f>MAX(0,AJ870-AK870)</f>
        <v/>
      </c>
      <c r="AN870" s="84">
        <f>IF(AM870=0,AH870,IF(AM870&gt;=AH870,0,AH870-AM870))</f>
        <v/>
      </c>
      <c r="AO870" s="84">
        <f>IF(AM870&gt;=AH870,AI870,AI870*AM870/AH870)</f>
        <v/>
      </c>
      <c r="AP870">
        <f t="array" ref="AP870">INDEX($AU$8:$BB$25,6*(R870-1)+MATCH(AB870,$AS$8:$AS$13,0),MATCH(O870,$AU$7:$BB$7,0))</f>
        <v/>
      </c>
    </row>
    <row r="871" ht="14.25" customHeight="1">
      <c r="O871" s="43" t="inlineStr">
        <is>
          <t>Q3’27</t>
        </is>
      </c>
      <c r="P871" s="43" t="n">
        <v>3</v>
      </c>
      <c r="Q871" s="43" t="n">
        <v>4</v>
      </c>
      <c r="R871" s="43" t="n">
        <v>3</v>
      </c>
      <c r="S871" s="45" t="n">
        <v>2348.790588235294</v>
      </c>
      <c r="T871">
        <f>(S869+S870+S871)=T4</f>
        <v/>
      </c>
      <c r="X871" s="84">
        <f>MAX(S868-S871,0)</f>
        <v/>
      </c>
      <c r="Y871" s="83" t="n">
        <v>0</v>
      </c>
      <c r="AA871" s="84" t="n">
        <v>9</v>
      </c>
      <c r="AB871" s="84" t="inlineStr">
        <is>
          <t>E</t>
        </is>
      </c>
      <c r="AC871" s="84" t="inlineStr">
        <is>
          <t>E+</t>
        </is>
      </c>
      <c r="AD871" s="84" t="n">
        <v>15</v>
      </c>
      <c r="AE871" s="84" t="n">
        <v>11</v>
      </c>
      <c r="AF871" s="84" t="n">
        <v>0.76</v>
      </c>
      <c r="AG871" s="84" t="n">
        <v>0.84</v>
      </c>
      <c r="AH871" s="84" t="n">
        <v>0</v>
      </c>
      <c r="AI871" s="84" t="n">
        <v>0</v>
      </c>
      <c r="AJ871" s="84">
        <f>SUMIFS(AH$8:AH$1039,$O$8:$O$1039,O871,$AB$8:$AB$1039,AB871,$R$8:$R$1039,R871,$AA$8:$AA$1039,"&lt;="&amp;AA871)</f>
        <v/>
      </c>
      <c r="AK871" s="84">
        <f>E84</f>
        <v/>
      </c>
      <c r="AL871" s="84">
        <f>E90</f>
        <v/>
      </c>
      <c r="AM871" s="84">
        <f>MAX(0,AJ871-AK871)</f>
        <v/>
      </c>
      <c r="AN871" s="84">
        <f>IF(AM871=0,AH871,IF(AM871&gt;=AH871,0,AH871-AM871))</f>
        <v/>
      </c>
      <c r="AO871" s="84">
        <f>IF(AM871&gt;=AH871,AI871,AI871*AM871/AH871)</f>
        <v/>
      </c>
      <c r="AP871">
        <f t="array" ref="AP871">INDEX($AU$8:$BB$25,6*(R871-1)+MATCH(AB871,$AS$8:$AS$13,0),MATCH(O871,$AU$7:$BB$7,0))</f>
        <v/>
      </c>
    </row>
    <row r="872" ht="14.25" customHeight="1">
      <c r="O872" s="43" t="inlineStr">
        <is>
          <t>Q3’27</t>
        </is>
      </c>
      <c r="P872" s="43" t="n">
        <v>3</v>
      </c>
      <c r="Q872" s="43" t="n">
        <v>5</v>
      </c>
      <c r="R872" s="43" t="n">
        <v>1</v>
      </c>
      <c r="S872" s="45" t="n">
        <v>2039.717647058823</v>
      </c>
      <c r="T872">
        <f>(S872+S873+S874)=T4</f>
        <v/>
      </c>
      <c r="X872" s="84">
        <f>MAX(S869-S872,0)</f>
        <v/>
      </c>
      <c r="Y872" s="83" t="n">
        <v>0</v>
      </c>
      <c r="AA872" s="84" t="n">
        <v>6</v>
      </c>
      <c r="AB872" s="84" t="inlineStr">
        <is>
          <t>F</t>
        </is>
      </c>
      <c r="AC872" s="84" t="inlineStr">
        <is>
          <t>F+</t>
        </is>
      </c>
      <c r="AD872" s="84" t="n">
        <v>16</v>
      </c>
      <c r="AE872" s="84" t="n">
        <v>14</v>
      </c>
      <c r="AF872" s="84" t="n">
        <v>0.8</v>
      </c>
      <c r="AG872" s="84" t="n">
        <v>0.9</v>
      </c>
      <c r="AH872" s="84" t="n">
        <v>0</v>
      </c>
      <c r="AI872" s="84" t="n">
        <v>0</v>
      </c>
      <c r="AJ872" s="84">
        <f>SUMIFS(AH$8:AH$1039,$O$8:$O$1039,O872,$AB$8:$AB$1039,AB872,$R$8:$R$1039,R872,$AA$8:$AA$1039,"&lt;="&amp;AA872)</f>
        <v/>
      </c>
      <c r="AK872" s="84">
        <f>C85</f>
        <v/>
      </c>
      <c r="AL872" s="84">
        <f>C91</f>
        <v/>
      </c>
      <c r="AM872" s="84">
        <f>MAX(0,AJ872-AK872)</f>
        <v/>
      </c>
      <c r="AN872" s="84">
        <f>IF(AM872=0,AH872,IF(AM872&gt;=AH872,0,AH872-AM872))</f>
        <v/>
      </c>
      <c r="AO872" s="84">
        <f>IF(AM872&gt;=AH872,AI872,AI872*AM872/AH872)</f>
        <v/>
      </c>
      <c r="AP872">
        <f t="array" ref="AP872">INDEX($AU$8:$BB$25,6*(R872-1)+MATCH(AB872,$AS$8:$AS$13,0),MATCH(O872,$AU$7:$BB$7,0))</f>
        <v/>
      </c>
    </row>
    <row r="873" ht="14.25" customHeight="1">
      <c r="O873" s="43" t="inlineStr">
        <is>
          <t>Q3’27</t>
        </is>
      </c>
      <c r="P873" s="43" t="n">
        <v>3</v>
      </c>
      <c r="Q873" s="43" t="n">
        <v>5</v>
      </c>
      <c r="R873" s="43" t="n">
        <v>2</v>
      </c>
      <c r="S873" s="45" t="n">
        <v>3671.491764705883</v>
      </c>
      <c r="T873">
        <f>(S872+S873+S874)=T4</f>
        <v/>
      </c>
      <c r="X873" s="84">
        <f>MAX(S870-S873,0)</f>
        <v/>
      </c>
      <c r="Y873" s="83" t="n">
        <v>0</v>
      </c>
      <c r="AA873" s="84" t="n">
        <v>6</v>
      </c>
      <c r="AB873" s="84" t="inlineStr">
        <is>
          <t>F</t>
        </is>
      </c>
      <c r="AC873" s="84" t="inlineStr">
        <is>
          <t>F+</t>
        </is>
      </c>
      <c r="AD873" s="84" t="n">
        <v>16</v>
      </c>
      <c r="AE873" s="84" t="n">
        <v>14</v>
      </c>
      <c r="AF873" s="84" t="n">
        <v>0.8</v>
      </c>
      <c r="AG873" s="84" t="n">
        <v>0.9</v>
      </c>
      <c r="AH873" s="84" t="n">
        <v>0</v>
      </c>
      <c r="AI873" s="84" t="n">
        <v>0</v>
      </c>
      <c r="AJ873" s="84">
        <f>SUMIFS(AH$8:AH$1039,$O$8:$O$1039,O873,$AB$8:$AB$1039,AB873,$R$8:$R$1039,R873,$AA$8:$AA$1039,"&lt;="&amp;AA873)</f>
        <v/>
      </c>
      <c r="AK873" s="84">
        <f>D85</f>
        <v/>
      </c>
      <c r="AL873" s="84">
        <f>D91</f>
        <v/>
      </c>
      <c r="AM873" s="84">
        <f>MAX(0,AJ873-AK873)</f>
        <v/>
      </c>
      <c r="AN873" s="84">
        <f>IF(AM873=0,AH873,IF(AM873&gt;=AH873,0,AH873-AM873))</f>
        <v/>
      </c>
      <c r="AO873" s="84">
        <f>IF(AM873&gt;=AH873,AI873,AI873*AM873/AH873)</f>
        <v/>
      </c>
      <c r="AP873">
        <f t="array" ref="AP873">INDEX($AU$8:$BB$25,6*(R873-1)+MATCH(AB873,$AS$8:$AS$13,0),MATCH(O873,$AU$7:$BB$7,0))</f>
        <v/>
      </c>
    </row>
    <row r="874" ht="14.25" customHeight="1">
      <c r="O874" s="43" t="inlineStr">
        <is>
          <t>Q3’27</t>
        </is>
      </c>
      <c r="P874" s="43" t="n">
        <v>3</v>
      </c>
      <c r="Q874" s="43" t="n">
        <v>5</v>
      </c>
      <c r="R874" s="43" t="n">
        <v>3</v>
      </c>
      <c r="S874" s="45" t="n">
        <v>2348.790588235294</v>
      </c>
      <c r="T874">
        <f>(S872+S873+S874)=T4</f>
        <v/>
      </c>
      <c r="X874" s="84">
        <f>MAX(S871-S874,0)</f>
        <v/>
      </c>
      <c r="Y874" s="83" t="n">
        <v>0</v>
      </c>
      <c r="AA874" s="84" t="n">
        <v>6</v>
      </c>
      <c r="AB874" s="84" t="inlineStr">
        <is>
          <t>F</t>
        </is>
      </c>
      <c r="AC874" s="84" t="inlineStr">
        <is>
          <t>F+</t>
        </is>
      </c>
      <c r="AD874" s="84" t="n">
        <v>16</v>
      </c>
      <c r="AE874" s="84" t="n">
        <v>14</v>
      </c>
      <c r="AF874" s="84" t="n">
        <v>0.8</v>
      </c>
      <c r="AG874" s="84" t="n">
        <v>0.9</v>
      </c>
      <c r="AH874" s="84" t="n">
        <v>0</v>
      </c>
      <c r="AI874" s="84" t="n">
        <v>0</v>
      </c>
      <c r="AJ874" s="84">
        <f>SUMIFS(AH$8:AH$1039,$O$8:$O$1039,O874,$AB$8:$AB$1039,AB874,$R$8:$R$1039,R874,$AA$8:$AA$1039,"&lt;="&amp;AA874)</f>
        <v/>
      </c>
      <c r="AK874" s="84">
        <f>E85</f>
        <v/>
      </c>
      <c r="AL874" s="84">
        <f>E91</f>
        <v/>
      </c>
      <c r="AM874" s="84">
        <f>MAX(0,AJ874-AK874)</f>
        <v/>
      </c>
      <c r="AN874" s="84">
        <f>IF(AM874=0,AH874,IF(AM874&gt;=AH874,0,AH874-AM874))</f>
        <v/>
      </c>
      <c r="AO874" s="84">
        <f>IF(AM874&gt;=AH874,AI874,AI874*AM874/AH874)</f>
        <v/>
      </c>
      <c r="AP874">
        <f t="array" ref="AP874">INDEX($AU$8:$BB$25,6*(R874-1)+MATCH(AB874,$AS$8:$AS$13,0),MATCH(O874,$AU$7:$BB$7,0))</f>
        <v/>
      </c>
    </row>
    <row r="875" ht="14.25" customHeight="1">
      <c r="O875" s="43" t="inlineStr">
        <is>
          <t>Q3’27</t>
        </is>
      </c>
      <c r="P875" s="43" t="n">
        <v>3</v>
      </c>
      <c r="Q875" s="43" t="n">
        <v>6</v>
      </c>
      <c r="R875" s="43" t="n">
        <v>1</v>
      </c>
      <c r="S875" s="45" t="n">
        <v>2039.717647058823</v>
      </c>
      <c r="T875">
        <f>(S875+S876+S877)=T4</f>
        <v/>
      </c>
      <c r="X875" s="84">
        <f>MAX(S872-S875,0)</f>
        <v/>
      </c>
      <c r="Y875" s="83" t="n">
        <v>0</v>
      </c>
      <c r="AA875" s="84" t="n">
        <v>1</v>
      </c>
      <c r="AB875" s="84" t="inlineStr">
        <is>
          <t>D</t>
        </is>
      </c>
      <c r="AC875" s="84" t="inlineStr">
        <is>
          <t>D+</t>
        </is>
      </c>
      <c r="AD875" s="84" t="n">
        <v>12</v>
      </c>
      <c r="AE875" s="84" t="n">
        <v>11</v>
      </c>
      <c r="AF875" s="84" t="n">
        <v>0.8</v>
      </c>
      <c r="AG875" s="84" t="n">
        <v>0.88</v>
      </c>
      <c r="AH875" s="84" t="n">
        <v>0</v>
      </c>
      <c r="AI875" s="84" t="n">
        <v>0</v>
      </c>
      <c r="AJ875" s="84">
        <f>SUMIFS(AH$8:AH$1039,$O$8:$O$1039,O875,$AB$8:$AB$1039,AB875,$R$8:$R$1039,R875,$AA$8:$AA$1039,"&lt;="&amp;AA875)</f>
        <v/>
      </c>
      <c r="AK875" s="84">
        <f>C83</f>
        <v/>
      </c>
      <c r="AL875" s="84">
        <f>C89</f>
        <v/>
      </c>
      <c r="AM875" s="84">
        <f>MAX(0,AJ875-AK875)</f>
        <v/>
      </c>
      <c r="AN875" s="84">
        <f>IF(AM875=0,AH875,IF(AM875&gt;=AH875,0,AH875-AM875))</f>
        <v/>
      </c>
      <c r="AO875" s="84">
        <f>IF(AM875&gt;=AH875,AI875,AI875*AM875/AH875)</f>
        <v/>
      </c>
      <c r="AP875">
        <f t="array" ref="AP875">INDEX($AU$8:$BB$25,6*(R875-1)+MATCH(AB875,$AS$8:$AS$13,0),MATCH(O875,$AU$7:$BB$7,0))</f>
        <v/>
      </c>
    </row>
    <row r="876" ht="14.25" customHeight="1">
      <c r="O876" s="43" t="inlineStr">
        <is>
          <t>Q3’27</t>
        </is>
      </c>
      <c r="P876" s="43" t="n">
        <v>3</v>
      </c>
      <c r="Q876" s="43" t="n">
        <v>6</v>
      </c>
      <c r="R876" s="43" t="n">
        <v>2</v>
      </c>
      <c r="S876" s="45" t="n">
        <v>3671.491764705883</v>
      </c>
      <c r="T876">
        <f>(S875+S876+S877)=T4</f>
        <v/>
      </c>
      <c r="X876" s="84">
        <f>MAX(S873-S876,0)</f>
        <v/>
      </c>
      <c r="Y876" s="83" t="n">
        <v>0</v>
      </c>
      <c r="AA876" s="84" t="n">
        <v>1</v>
      </c>
      <c r="AB876" s="84" t="inlineStr">
        <is>
          <t>D</t>
        </is>
      </c>
      <c r="AC876" s="84" t="inlineStr">
        <is>
          <t>D+</t>
        </is>
      </c>
      <c r="AD876" s="84" t="n">
        <v>12</v>
      </c>
      <c r="AE876" s="84" t="n">
        <v>11</v>
      </c>
      <c r="AF876" s="84" t="n">
        <v>0.8</v>
      </c>
      <c r="AG876" s="84" t="n">
        <v>0.88</v>
      </c>
      <c r="AH876" s="84" t="n">
        <v>0</v>
      </c>
      <c r="AI876" s="84" t="n">
        <v>0</v>
      </c>
      <c r="AJ876" s="84">
        <f>SUMIFS(AH$8:AH$1039,$O$8:$O$1039,O876,$AB$8:$AB$1039,AB876,$R$8:$R$1039,R876,$AA$8:$AA$1039,"&lt;="&amp;AA876)</f>
        <v/>
      </c>
      <c r="AK876" s="84">
        <f>D83</f>
        <v/>
      </c>
      <c r="AL876" s="84">
        <f>D89</f>
        <v/>
      </c>
      <c r="AM876" s="84">
        <f>MAX(0,AJ876-AK876)</f>
        <v/>
      </c>
      <c r="AN876" s="84">
        <f>IF(AM876=0,AH876,IF(AM876&gt;=AH876,0,AH876-AM876))</f>
        <v/>
      </c>
      <c r="AO876" s="84">
        <f>IF(AM876&gt;=AH876,AI876,AI876*AM876/AH876)</f>
        <v/>
      </c>
      <c r="AP876">
        <f t="array" ref="AP876">INDEX($AU$8:$BB$25,6*(R876-1)+MATCH(AB876,$AS$8:$AS$13,0),MATCH(O876,$AU$7:$BB$7,0))</f>
        <v/>
      </c>
    </row>
    <row r="877" ht="14.25" customHeight="1">
      <c r="O877" s="43" t="inlineStr">
        <is>
          <t>Q3’27</t>
        </is>
      </c>
      <c r="P877" s="43" t="n">
        <v>3</v>
      </c>
      <c r="Q877" s="43" t="n">
        <v>6</v>
      </c>
      <c r="R877" s="43" t="n">
        <v>3</v>
      </c>
      <c r="S877" s="45" t="n">
        <v>2348.790588235294</v>
      </c>
      <c r="T877">
        <f>(S875+S876+S877)=T4</f>
        <v/>
      </c>
      <c r="X877" s="84">
        <f>MAX(S874-S877,0)</f>
        <v/>
      </c>
      <c r="Y877" s="83" t="n">
        <v>0</v>
      </c>
      <c r="AA877" s="84" t="n">
        <v>1</v>
      </c>
      <c r="AB877" s="84" t="inlineStr">
        <is>
          <t>D</t>
        </is>
      </c>
      <c r="AC877" s="84" t="inlineStr">
        <is>
          <t>D+</t>
        </is>
      </c>
      <c r="AD877" s="84" t="n">
        <v>12</v>
      </c>
      <c r="AE877" s="84" t="n">
        <v>11</v>
      </c>
      <c r="AF877" s="84" t="n">
        <v>0.8</v>
      </c>
      <c r="AG877" s="84" t="n">
        <v>0.88</v>
      </c>
      <c r="AH877" s="84" t="n">
        <v>0</v>
      </c>
      <c r="AI877" s="84" t="n">
        <v>0</v>
      </c>
      <c r="AJ877" s="84">
        <f>SUMIFS(AH$8:AH$1039,$O$8:$O$1039,O877,$AB$8:$AB$1039,AB877,$R$8:$R$1039,R877,$AA$8:$AA$1039,"&lt;="&amp;AA877)</f>
        <v/>
      </c>
      <c r="AK877" s="84">
        <f>E83</f>
        <v/>
      </c>
      <c r="AL877" s="84">
        <f>E89</f>
        <v/>
      </c>
      <c r="AM877" s="84">
        <f>MAX(0,AJ877-AK877)</f>
        <v/>
      </c>
      <c r="AN877" s="84">
        <f>IF(AM877=0,AH877,IF(AM877&gt;=AH877,0,AH877-AM877))</f>
        <v/>
      </c>
      <c r="AO877" s="84">
        <f>IF(AM877&gt;=AH877,AI877,AI877*AM877/AH877)</f>
        <v/>
      </c>
      <c r="AP877">
        <f t="array" ref="AP877">INDEX($AU$8:$BB$25,6*(R877-1)+MATCH(AB877,$AS$8:$AS$13,0),MATCH(O877,$AU$7:$BB$7,0))</f>
        <v/>
      </c>
    </row>
    <row r="878" ht="14.25" customHeight="1">
      <c r="O878" s="43" t="inlineStr">
        <is>
          <t>Q3’27</t>
        </is>
      </c>
      <c r="P878" s="43" t="n">
        <v>3</v>
      </c>
      <c r="Q878" s="43" t="n">
        <v>7</v>
      </c>
      <c r="R878" s="43" t="n">
        <v>1</v>
      </c>
      <c r="S878" s="45" t="n">
        <v>2039.717647058824</v>
      </c>
      <c r="T878">
        <f>(S878+S879+S880)=T4</f>
        <v/>
      </c>
      <c r="X878" s="84">
        <f>MAX(S875-S878,0)</f>
        <v/>
      </c>
      <c r="Y878" s="83" t="n">
        <v>0</v>
      </c>
      <c r="AA878" s="84" t="n">
        <v>3</v>
      </c>
      <c r="AB878" s="84" t="inlineStr">
        <is>
          <t>C</t>
        </is>
      </c>
      <c r="AC878" s="84" t="inlineStr">
        <is>
          <t>C+</t>
        </is>
      </c>
      <c r="AD878" s="84" t="n">
        <v>24</v>
      </c>
      <c r="AE878" s="84" t="n">
        <v>21</v>
      </c>
      <c r="AF878" s="84" t="n">
        <v>0.8</v>
      </c>
      <c r="AG878" s="84" t="n">
        <v>0.86</v>
      </c>
      <c r="AH878" s="84" t="n">
        <v>0</v>
      </c>
      <c r="AI878" s="84" t="n">
        <v>0</v>
      </c>
      <c r="AJ878" s="84">
        <f>SUMIFS(AH$8:AH$1039,$O$8:$O$1039,O878,$AB$8:$AB$1039,AB878,$R$8:$R$1039,R878,$AA$8:$AA$1039,"&lt;="&amp;AA878)</f>
        <v/>
      </c>
      <c r="AK878" s="84">
        <f>C82</f>
        <v/>
      </c>
      <c r="AL878" s="84">
        <f>C88</f>
        <v/>
      </c>
      <c r="AM878" s="84">
        <f>MAX(0,AJ878-AK878)</f>
        <v/>
      </c>
      <c r="AN878" s="84">
        <f>IF(AM878=0,AH878,IF(AM878&gt;=AH878,0,AH878-AM878))</f>
        <v/>
      </c>
      <c r="AO878" s="84">
        <f>IF(AM878&gt;=AH878,AI878,AI878*AM878/AH878)</f>
        <v/>
      </c>
      <c r="AP878">
        <f t="array" ref="AP878">INDEX($AU$8:$BB$25,6*(R878-1)+MATCH(AB878,$AS$8:$AS$13,0),MATCH(O878,$AU$7:$BB$7,0))</f>
        <v/>
      </c>
    </row>
    <row r="879" ht="14.25" customHeight="1">
      <c r="O879" s="43" t="inlineStr">
        <is>
          <t>Q3’27</t>
        </is>
      </c>
      <c r="P879" s="43" t="n">
        <v>3</v>
      </c>
      <c r="Q879" s="43" t="n">
        <v>7</v>
      </c>
      <c r="R879" s="43" t="n">
        <v>2</v>
      </c>
      <c r="S879" s="45" t="n">
        <v>3671.491764705882</v>
      </c>
      <c r="T879">
        <f>(S878+S879+S880)=T4</f>
        <v/>
      </c>
      <c r="X879" s="84">
        <f>MAX(S876-S879,0)</f>
        <v/>
      </c>
      <c r="Y879" s="83" t="n">
        <v>0</v>
      </c>
      <c r="AA879" s="84" t="n">
        <v>3</v>
      </c>
      <c r="AB879" s="84" t="inlineStr">
        <is>
          <t>C</t>
        </is>
      </c>
      <c r="AC879" s="84" t="inlineStr">
        <is>
          <t>C+</t>
        </is>
      </c>
      <c r="AD879" s="84" t="n">
        <v>24</v>
      </c>
      <c r="AE879" s="84" t="n">
        <v>21</v>
      </c>
      <c r="AF879" s="84" t="n">
        <v>0.8</v>
      </c>
      <c r="AG879" s="84" t="n">
        <v>0.86</v>
      </c>
      <c r="AH879" s="84" t="n">
        <v>0</v>
      </c>
      <c r="AI879" s="84" t="n">
        <v>0</v>
      </c>
      <c r="AJ879" s="84">
        <f>SUMIFS(AH$8:AH$1039,$O$8:$O$1039,O879,$AB$8:$AB$1039,AB879,$R$8:$R$1039,R879,$AA$8:$AA$1039,"&lt;="&amp;AA879)</f>
        <v/>
      </c>
      <c r="AK879" s="84">
        <f>D82</f>
        <v/>
      </c>
      <c r="AL879" s="84">
        <f>D88</f>
        <v/>
      </c>
      <c r="AM879" s="84">
        <f>MAX(0,AJ879-AK879)</f>
        <v/>
      </c>
      <c r="AN879" s="84">
        <f>IF(AM879=0,AH879,IF(AM879&gt;=AH879,0,AH879-AM879))</f>
        <v/>
      </c>
      <c r="AO879" s="84">
        <f>IF(AM879&gt;=AH879,AI879,AI879*AM879/AH879)</f>
        <v/>
      </c>
      <c r="AP879">
        <f t="array" ref="AP879">INDEX($AU$8:$BB$25,6*(R879-1)+MATCH(AB879,$AS$8:$AS$13,0),MATCH(O879,$AU$7:$BB$7,0))</f>
        <v/>
      </c>
    </row>
    <row r="880" ht="14.25" customHeight="1">
      <c r="O880" s="43" t="inlineStr">
        <is>
          <t>Q3’27</t>
        </is>
      </c>
      <c r="P880" s="43" t="n">
        <v>3</v>
      </c>
      <c r="Q880" s="43" t="n">
        <v>7</v>
      </c>
      <c r="R880" s="43" t="n">
        <v>3</v>
      </c>
      <c r="S880" s="45" t="n">
        <v>2348.790588235294</v>
      </c>
      <c r="T880">
        <f>(S878+S879+S880)=T4</f>
        <v/>
      </c>
      <c r="X880" s="84">
        <f>MAX(S877-S880,0)</f>
        <v/>
      </c>
      <c r="Y880" s="83" t="n">
        <v>0</v>
      </c>
      <c r="AA880" s="84" t="n">
        <v>3</v>
      </c>
      <c r="AB880" s="84" t="inlineStr">
        <is>
          <t>C</t>
        </is>
      </c>
      <c r="AC880" s="84" t="inlineStr">
        <is>
          <t>C+</t>
        </is>
      </c>
      <c r="AD880" s="84" t="n">
        <v>24</v>
      </c>
      <c r="AE880" s="84" t="n">
        <v>21</v>
      </c>
      <c r="AF880" s="84" t="n">
        <v>0.8</v>
      </c>
      <c r="AG880" s="84" t="n">
        <v>0.86</v>
      </c>
      <c r="AH880" s="84" t="n">
        <v>0</v>
      </c>
      <c r="AI880" s="84" t="n">
        <v>0</v>
      </c>
      <c r="AJ880" s="84">
        <f>SUMIFS(AH$8:AH$1039,$O$8:$O$1039,O880,$AB$8:$AB$1039,AB880,$R$8:$R$1039,R880,$AA$8:$AA$1039,"&lt;="&amp;AA880)</f>
        <v/>
      </c>
      <c r="AK880" s="84">
        <f>E82</f>
        <v/>
      </c>
      <c r="AL880" s="84">
        <f>E88</f>
        <v/>
      </c>
      <c r="AM880" s="84">
        <f>MAX(0,AJ880-AK880)</f>
        <v/>
      </c>
      <c r="AN880" s="84">
        <f>IF(AM880=0,AH880,IF(AM880&gt;=AH880,0,AH880-AM880))</f>
        <v/>
      </c>
      <c r="AO880" s="84">
        <f>IF(AM880&gt;=AH880,AI880,AI880*AM880/AH880)</f>
        <v/>
      </c>
      <c r="AP880">
        <f t="array" ref="AP880">INDEX($AU$8:$BB$25,6*(R880-1)+MATCH(AB880,$AS$8:$AS$13,0),MATCH(O880,$AU$7:$BB$7,0))</f>
        <v/>
      </c>
    </row>
    <row r="881" ht="14.25" customHeight="1">
      <c r="O881" s="43" t="inlineStr">
        <is>
          <t>Q3’27</t>
        </is>
      </c>
      <c r="P881" s="43" t="n">
        <v>3</v>
      </c>
      <c r="Q881" s="43" t="n">
        <v>8</v>
      </c>
      <c r="R881" s="43" t="n">
        <v>1</v>
      </c>
      <c r="S881" s="45" t="n">
        <v>2039.717647058824</v>
      </c>
      <c r="T881">
        <f>(S881+S882+S883)=T4</f>
        <v/>
      </c>
      <c r="X881" s="84">
        <f>MAX(S878-S881,0)</f>
        <v/>
      </c>
      <c r="Y881" s="83" t="n">
        <v>0</v>
      </c>
      <c r="AA881" s="84" t="n">
        <v>5</v>
      </c>
      <c r="AB881" s="84" t="inlineStr">
        <is>
          <t>C</t>
        </is>
      </c>
      <c r="AC881" s="84" t="inlineStr">
        <is>
          <t>C+</t>
        </is>
      </c>
      <c r="AD881" s="84" t="n">
        <v>19</v>
      </c>
      <c r="AE881" s="84" t="n">
        <v>13</v>
      </c>
      <c r="AF881" s="84" t="n">
        <v>0.8</v>
      </c>
      <c r="AG881" s="84" t="n">
        <v>0.86</v>
      </c>
      <c r="AH881" s="84" t="n">
        <v>0</v>
      </c>
      <c r="AI881" s="84" t="n">
        <v>0</v>
      </c>
      <c r="AJ881" s="84">
        <f>SUMIFS(AH$8:AH$1039,$O$8:$O$1039,O881,$AB$8:$AB$1039,AB881,$R$8:$R$1039,R881,$AA$8:$AA$1039,"&lt;="&amp;AA881)</f>
        <v/>
      </c>
      <c r="AK881" s="84">
        <f>C82</f>
        <v/>
      </c>
      <c r="AL881" s="84">
        <f>C88</f>
        <v/>
      </c>
      <c r="AM881" s="84">
        <f>MAX(0,AJ881-AK881)</f>
        <v/>
      </c>
      <c r="AN881" s="84">
        <f>IF(AM881=0,AH881,IF(AM881&gt;=AH881,0,AH881-AM881))</f>
        <v/>
      </c>
      <c r="AO881" s="84">
        <f>IF(AM881&gt;=AH881,AI881,AI881*AM881/AH881)</f>
        <v/>
      </c>
      <c r="AP881">
        <f t="array" ref="AP881">INDEX($AU$8:$BB$25,6*(R881-1)+MATCH(AB881,$AS$8:$AS$13,0),MATCH(O881,$AU$7:$BB$7,0))</f>
        <v/>
      </c>
    </row>
    <row r="882" ht="14.25" customHeight="1">
      <c r="O882" s="43" t="inlineStr">
        <is>
          <t>Q3’27</t>
        </is>
      </c>
      <c r="P882" s="43" t="n">
        <v>3</v>
      </c>
      <c r="Q882" s="43" t="n">
        <v>8</v>
      </c>
      <c r="R882" s="43" t="n">
        <v>2</v>
      </c>
      <c r="S882" s="45" t="n">
        <v>3671.491764705882</v>
      </c>
      <c r="T882">
        <f>(S881+S882+S883)=T4</f>
        <v/>
      </c>
      <c r="X882" s="84">
        <f>MAX(S879-S882,0)</f>
        <v/>
      </c>
      <c r="Y882" s="83" t="n">
        <v>0</v>
      </c>
      <c r="AA882" s="84" t="n">
        <v>5</v>
      </c>
      <c r="AB882" s="84" t="inlineStr">
        <is>
          <t>C</t>
        </is>
      </c>
      <c r="AC882" s="84" t="inlineStr">
        <is>
          <t>C+</t>
        </is>
      </c>
      <c r="AD882" s="84" t="n">
        <v>19</v>
      </c>
      <c r="AE882" s="84" t="n">
        <v>13</v>
      </c>
      <c r="AF882" s="84" t="n">
        <v>0.8</v>
      </c>
      <c r="AG882" s="84" t="n">
        <v>0.86</v>
      </c>
      <c r="AH882" s="84" t="n">
        <v>0</v>
      </c>
      <c r="AI882" s="84" t="n">
        <v>0</v>
      </c>
      <c r="AJ882" s="84">
        <f>SUMIFS(AH$8:AH$1039,$O$8:$O$1039,O882,$AB$8:$AB$1039,AB882,$R$8:$R$1039,R882,$AA$8:$AA$1039,"&lt;="&amp;AA882)</f>
        <v/>
      </c>
      <c r="AK882" s="84">
        <f>D82</f>
        <v/>
      </c>
      <c r="AL882" s="84">
        <f>D88</f>
        <v/>
      </c>
      <c r="AM882" s="84">
        <f>MAX(0,AJ882-AK882)</f>
        <v/>
      </c>
      <c r="AN882" s="84">
        <f>IF(AM882=0,AH882,IF(AM882&gt;=AH882,0,AH882-AM882))</f>
        <v/>
      </c>
      <c r="AO882" s="84">
        <f>IF(AM882&gt;=AH882,AI882,AI882*AM882/AH882)</f>
        <v/>
      </c>
      <c r="AP882">
        <f t="array" ref="AP882">INDEX($AU$8:$BB$25,6*(R882-1)+MATCH(AB882,$AS$8:$AS$13,0),MATCH(O882,$AU$7:$BB$7,0))</f>
        <v/>
      </c>
    </row>
    <row r="883" ht="14.25" customHeight="1">
      <c r="O883" s="43" t="inlineStr">
        <is>
          <t>Q3’27</t>
        </is>
      </c>
      <c r="P883" s="43" t="n">
        <v>3</v>
      </c>
      <c r="Q883" s="43" t="n">
        <v>8</v>
      </c>
      <c r="R883" s="43" t="n">
        <v>3</v>
      </c>
      <c r="S883" s="45" t="n">
        <v>2348.790588235294</v>
      </c>
      <c r="T883">
        <f>(S881+S882+S883)=T4</f>
        <v/>
      </c>
      <c r="X883" s="84">
        <f>MAX(S880-S883,0)</f>
        <v/>
      </c>
      <c r="Y883" s="83" t="n">
        <v>0</v>
      </c>
      <c r="AA883" s="84" t="n">
        <v>5</v>
      </c>
      <c r="AB883" s="84" t="inlineStr">
        <is>
          <t>C</t>
        </is>
      </c>
      <c r="AC883" s="84" t="inlineStr">
        <is>
          <t>C+</t>
        </is>
      </c>
      <c r="AD883" s="84" t="n">
        <v>19</v>
      </c>
      <c r="AE883" s="84" t="n">
        <v>13</v>
      </c>
      <c r="AF883" s="84" t="n">
        <v>0.8</v>
      </c>
      <c r="AG883" s="84" t="n">
        <v>0.86</v>
      </c>
      <c r="AH883" s="84" t="n">
        <v>0</v>
      </c>
      <c r="AI883" s="84" t="n">
        <v>0</v>
      </c>
      <c r="AJ883" s="84">
        <f>SUMIFS(AH$8:AH$1039,$O$8:$O$1039,O883,$AB$8:$AB$1039,AB883,$R$8:$R$1039,R883,$AA$8:$AA$1039,"&lt;="&amp;AA883)</f>
        <v/>
      </c>
      <c r="AK883" s="84">
        <f>E82</f>
        <v/>
      </c>
      <c r="AL883" s="84">
        <f>E88</f>
        <v/>
      </c>
      <c r="AM883" s="84">
        <f>MAX(0,AJ883-AK883)</f>
        <v/>
      </c>
      <c r="AN883" s="84">
        <f>IF(AM883=0,AH883,IF(AM883&gt;=AH883,0,AH883-AM883))</f>
        <v/>
      </c>
      <c r="AO883" s="84">
        <f>IF(AM883&gt;=AH883,AI883,AI883*AM883/AH883)</f>
        <v/>
      </c>
      <c r="AP883">
        <f t="array" ref="AP883">INDEX($AU$8:$BB$25,6*(R883-1)+MATCH(AB883,$AS$8:$AS$13,0),MATCH(O883,$AU$7:$BB$7,0))</f>
        <v/>
      </c>
    </row>
    <row r="884" ht="14.25" customHeight="1">
      <c r="O884" s="43" t="inlineStr">
        <is>
          <t>Q3’27</t>
        </is>
      </c>
      <c r="P884" s="43" t="n">
        <v>3</v>
      </c>
      <c r="Q884" s="43" t="n">
        <v>9</v>
      </c>
      <c r="R884" s="43" t="n">
        <v>1</v>
      </c>
      <c r="S884" s="45" t="n">
        <v>2039.717647058824</v>
      </c>
      <c r="T884">
        <f>(S884+S885+S886)=T4</f>
        <v/>
      </c>
      <c r="X884" s="84">
        <f>MAX(S881-S884,0)</f>
        <v/>
      </c>
      <c r="Y884" s="83" t="n">
        <v>0</v>
      </c>
      <c r="AA884" s="84" t="n">
        <v>3</v>
      </c>
      <c r="AB884" s="84" t="inlineStr">
        <is>
          <t>D</t>
        </is>
      </c>
      <c r="AC884" s="84" t="inlineStr">
        <is>
          <t>D+</t>
        </is>
      </c>
      <c r="AD884" s="84" t="n">
        <v>15</v>
      </c>
      <c r="AE884" s="84" t="n">
        <v>13</v>
      </c>
      <c r="AF884" s="84" t="n">
        <v>0.8</v>
      </c>
      <c r="AG884" s="84" t="n">
        <v>0.88</v>
      </c>
      <c r="AH884" s="84" t="n">
        <v>0</v>
      </c>
      <c r="AI884" s="84" t="n">
        <v>0</v>
      </c>
      <c r="AJ884" s="84">
        <f>SUMIFS(AH$8:AH$1039,$O$8:$O$1039,O884,$AB$8:$AB$1039,AB884,$R$8:$R$1039,R884,$AA$8:$AA$1039,"&lt;="&amp;AA884)</f>
        <v/>
      </c>
      <c r="AK884" s="84">
        <f>C83</f>
        <v/>
      </c>
      <c r="AL884" s="84">
        <f>C89</f>
        <v/>
      </c>
      <c r="AM884" s="84">
        <f>MAX(0,AJ884-AK884)</f>
        <v/>
      </c>
      <c r="AN884" s="84">
        <f>IF(AM884=0,AH884,IF(AM884&gt;=AH884,0,AH884-AM884))</f>
        <v/>
      </c>
      <c r="AO884" s="84">
        <f>IF(AM884&gt;=AH884,AI884,AI884*AM884/AH884)</f>
        <v/>
      </c>
      <c r="AP884">
        <f t="array" ref="AP884">INDEX($AU$8:$BB$25,6*(R884-1)+MATCH(AB884,$AS$8:$AS$13,0),MATCH(O884,$AU$7:$BB$7,0))</f>
        <v/>
      </c>
    </row>
    <row r="885" ht="14.25" customHeight="1">
      <c r="O885" s="43" t="inlineStr">
        <is>
          <t>Q3’27</t>
        </is>
      </c>
      <c r="P885" s="43" t="n">
        <v>3</v>
      </c>
      <c r="Q885" s="43" t="n">
        <v>9</v>
      </c>
      <c r="R885" s="43" t="n">
        <v>2</v>
      </c>
      <c r="S885" s="45" t="n">
        <v>3671.491764705882</v>
      </c>
      <c r="T885">
        <f>(S884+S885+S886)=T4</f>
        <v/>
      </c>
      <c r="X885" s="84">
        <f>MAX(S882-S885,0)</f>
        <v/>
      </c>
      <c r="Y885" s="83" t="n">
        <v>0</v>
      </c>
      <c r="AA885" s="84" t="n">
        <v>3</v>
      </c>
      <c r="AB885" s="84" t="inlineStr">
        <is>
          <t>D</t>
        </is>
      </c>
      <c r="AC885" s="84" t="inlineStr">
        <is>
          <t>D+</t>
        </is>
      </c>
      <c r="AD885" s="84" t="n">
        <v>15</v>
      </c>
      <c r="AE885" s="84" t="n">
        <v>13</v>
      </c>
      <c r="AF885" s="84" t="n">
        <v>0.8</v>
      </c>
      <c r="AG885" s="84" t="n">
        <v>0.88</v>
      </c>
      <c r="AH885" s="84" t="n">
        <v>0</v>
      </c>
      <c r="AI885" s="84" t="n">
        <v>0</v>
      </c>
      <c r="AJ885" s="84">
        <f>SUMIFS(AH$8:AH$1039,$O$8:$O$1039,O885,$AB$8:$AB$1039,AB885,$R$8:$R$1039,R885,$AA$8:$AA$1039,"&lt;="&amp;AA885)</f>
        <v/>
      </c>
      <c r="AK885" s="84">
        <f>D83</f>
        <v/>
      </c>
      <c r="AL885" s="84">
        <f>D89</f>
        <v/>
      </c>
      <c r="AM885" s="84">
        <f>MAX(0,AJ885-AK885)</f>
        <v/>
      </c>
      <c r="AN885" s="84">
        <f>IF(AM885=0,AH885,IF(AM885&gt;=AH885,0,AH885-AM885))</f>
        <v/>
      </c>
      <c r="AO885" s="84">
        <f>IF(AM885&gt;=AH885,AI885,AI885*AM885/AH885)</f>
        <v/>
      </c>
      <c r="AP885">
        <f t="array" ref="AP885">INDEX($AU$8:$BB$25,6*(R885-1)+MATCH(AB885,$AS$8:$AS$13,0),MATCH(O885,$AU$7:$BB$7,0))</f>
        <v/>
      </c>
    </row>
    <row r="886" ht="14.25" customHeight="1">
      <c r="O886" s="43" t="inlineStr">
        <is>
          <t>Q3’27</t>
        </is>
      </c>
      <c r="P886" s="43" t="n">
        <v>3</v>
      </c>
      <c r="Q886" s="43" t="n">
        <v>9</v>
      </c>
      <c r="R886" s="43" t="n">
        <v>3</v>
      </c>
      <c r="S886" s="45" t="n">
        <v>2348.790588235294</v>
      </c>
      <c r="T886">
        <f>(S884+S885+S886)=T4</f>
        <v/>
      </c>
      <c r="X886" s="84">
        <f>MAX(S883-S886,0)</f>
        <v/>
      </c>
      <c r="Y886" s="83" t="n">
        <v>0</v>
      </c>
      <c r="AA886" s="84" t="n">
        <v>3</v>
      </c>
      <c r="AB886" s="84" t="inlineStr">
        <is>
          <t>D</t>
        </is>
      </c>
      <c r="AC886" s="84" t="inlineStr">
        <is>
          <t>D+</t>
        </is>
      </c>
      <c r="AD886" s="84" t="n">
        <v>15</v>
      </c>
      <c r="AE886" s="84" t="n">
        <v>13</v>
      </c>
      <c r="AF886" s="84" t="n">
        <v>0.8</v>
      </c>
      <c r="AG886" s="84" t="n">
        <v>0.88</v>
      </c>
      <c r="AH886" s="84" t="n">
        <v>0</v>
      </c>
      <c r="AI886" s="84" t="n">
        <v>0</v>
      </c>
      <c r="AJ886" s="84">
        <f>SUMIFS(AH$8:AH$1039,$O$8:$O$1039,O886,$AB$8:$AB$1039,AB886,$R$8:$R$1039,R886,$AA$8:$AA$1039,"&lt;="&amp;AA886)</f>
        <v/>
      </c>
      <c r="AK886" s="84">
        <f>E83</f>
        <v/>
      </c>
      <c r="AL886" s="84">
        <f>E89</f>
        <v/>
      </c>
      <c r="AM886" s="84">
        <f>MAX(0,AJ886-AK886)</f>
        <v/>
      </c>
      <c r="AN886" s="84">
        <f>IF(AM886=0,AH886,IF(AM886&gt;=AH886,0,AH886-AM886))</f>
        <v/>
      </c>
      <c r="AO886" s="84">
        <f>IF(AM886&gt;=AH886,AI886,AI886*AM886/AH886)</f>
        <v/>
      </c>
      <c r="AP886">
        <f t="array" ref="AP886">INDEX($AU$8:$BB$25,6*(R886-1)+MATCH(AB886,$AS$8:$AS$13,0),MATCH(O886,$AU$7:$BB$7,0))</f>
        <v/>
      </c>
    </row>
    <row r="887" ht="14.25" customHeight="1">
      <c r="O887" s="43" t="inlineStr">
        <is>
          <t>Q3’27</t>
        </is>
      </c>
      <c r="P887" s="43" t="n">
        <v>3</v>
      </c>
      <c r="Q887" s="43" t="n">
        <v>10</v>
      </c>
      <c r="R887" s="43" t="n">
        <v>1</v>
      </c>
      <c r="S887" s="45" t="n">
        <v>2039.717647058824</v>
      </c>
      <c r="T887">
        <f>(S887+S888+S889)=T4</f>
        <v/>
      </c>
      <c r="X887" s="84">
        <f>MAX(S884-S887,0)</f>
        <v/>
      </c>
      <c r="Y887" s="83" t="n">
        <v>0</v>
      </c>
      <c r="AA887" s="84" t="n">
        <v>5</v>
      </c>
      <c r="AB887" s="84" t="inlineStr">
        <is>
          <t>D</t>
        </is>
      </c>
      <c r="AC887" s="84" t="inlineStr">
        <is>
          <t>D+</t>
        </is>
      </c>
      <c r="AD887" s="84" t="n">
        <v>24</v>
      </c>
      <c r="AE887" s="84" t="n">
        <v>20</v>
      </c>
      <c r="AF887" s="84" t="n">
        <v>0.8</v>
      </c>
      <c r="AG887" s="84" t="n">
        <v>0.88</v>
      </c>
      <c r="AH887" s="84" t="n">
        <v>0</v>
      </c>
      <c r="AI887" s="84" t="n">
        <v>0</v>
      </c>
      <c r="AJ887" s="84">
        <f>SUMIFS(AH$8:AH$1039,$O$8:$O$1039,O887,$AB$8:$AB$1039,AB887,$R$8:$R$1039,R887,$AA$8:$AA$1039,"&lt;="&amp;AA887)</f>
        <v/>
      </c>
      <c r="AK887" s="84">
        <f>C83</f>
        <v/>
      </c>
      <c r="AL887" s="84">
        <f>C89</f>
        <v/>
      </c>
      <c r="AM887" s="84">
        <f>MAX(0,AJ887-AK887)</f>
        <v/>
      </c>
      <c r="AN887" s="84">
        <f>IF(AM887=0,AH887,IF(AM887&gt;=AH887,0,AH887-AM887))</f>
        <v/>
      </c>
      <c r="AO887" s="84">
        <f>IF(AM887&gt;=AH887,AI887,AI887*AM887/AH887)</f>
        <v/>
      </c>
      <c r="AP887">
        <f t="array" ref="AP887">INDEX($AU$8:$BB$25,6*(R887-1)+MATCH(AB887,$AS$8:$AS$13,0),MATCH(O887,$AU$7:$BB$7,0))</f>
        <v/>
      </c>
    </row>
    <row r="888" ht="14.25" customHeight="1">
      <c r="O888" s="43" t="inlineStr">
        <is>
          <t>Q3’27</t>
        </is>
      </c>
      <c r="P888" s="43" t="n">
        <v>3</v>
      </c>
      <c r="Q888" s="43" t="n">
        <v>10</v>
      </c>
      <c r="R888" s="43" t="n">
        <v>2</v>
      </c>
      <c r="S888" s="45" t="n">
        <v>3671.491764705882</v>
      </c>
      <c r="T888">
        <f>(S887+S888+S889)=T4</f>
        <v/>
      </c>
      <c r="X888" s="84">
        <f>MAX(S885-S888,0)</f>
        <v/>
      </c>
      <c r="Y888" s="83" t="n">
        <v>0</v>
      </c>
      <c r="AA888" s="84" t="n">
        <v>5</v>
      </c>
      <c r="AB888" s="84" t="inlineStr">
        <is>
          <t>D</t>
        </is>
      </c>
      <c r="AC888" s="84" t="inlineStr">
        <is>
          <t>D+</t>
        </is>
      </c>
      <c r="AD888" s="84" t="n">
        <v>24</v>
      </c>
      <c r="AE888" s="84" t="n">
        <v>20</v>
      </c>
      <c r="AF888" s="84" t="n">
        <v>0.8</v>
      </c>
      <c r="AG888" s="84" t="n">
        <v>0.88</v>
      </c>
      <c r="AH888" s="84" t="n">
        <v>0</v>
      </c>
      <c r="AI888" s="84" t="n">
        <v>0</v>
      </c>
      <c r="AJ888" s="84">
        <f>SUMIFS(AH$8:AH$1039,$O$8:$O$1039,O888,$AB$8:$AB$1039,AB888,$R$8:$R$1039,R888,$AA$8:$AA$1039,"&lt;="&amp;AA888)</f>
        <v/>
      </c>
      <c r="AK888" s="84">
        <f>D83</f>
        <v/>
      </c>
      <c r="AL888" s="84">
        <f>D89</f>
        <v/>
      </c>
      <c r="AM888" s="84">
        <f>MAX(0,AJ888-AK888)</f>
        <v/>
      </c>
      <c r="AN888" s="84">
        <f>IF(AM888=0,AH888,IF(AM888&gt;=AH888,0,AH888-AM888))</f>
        <v/>
      </c>
      <c r="AO888" s="84">
        <f>IF(AM888&gt;=AH888,AI888,AI888*AM888/AH888)</f>
        <v/>
      </c>
      <c r="AP888">
        <f t="array" ref="AP888">INDEX($AU$8:$BB$25,6*(R888-1)+MATCH(AB888,$AS$8:$AS$13,0),MATCH(O888,$AU$7:$BB$7,0))</f>
        <v/>
      </c>
    </row>
    <row r="889" ht="14.25" customHeight="1">
      <c r="O889" s="43" t="inlineStr">
        <is>
          <t>Q3’27</t>
        </is>
      </c>
      <c r="P889" s="43" t="n">
        <v>3</v>
      </c>
      <c r="Q889" s="43" t="n">
        <v>10</v>
      </c>
      <c r="R889" s="43" t="n">
        <v>3</v>
      </c>
      <c r="S889" s="45" t="n">
        <v>2348.790588235294</v>
      </c>
      <c r="T889">
        <f>(S887+S888+S889)=T4</f>
        <v/>
      </c>
      <c r="X889" s="84">
        <f>MAX(S886-S889,0)</f>
        <v/>
      </c>
      <c r="Y889" s="83" t="n">
        <v>0</v>
      </c>
      <c r="AA889" s="84" t="n">
        <v>5</v>
      </c>
      <c r="AB889" s="84" t="inlineStr">
        <is>
          <t>D</t>
        </is>
      </c>
      <c r="AC889" s="84" t="inlineStr">
        <is>
          <t>D+</t>
        </is>
      </c>
      <c r="AD889" s="84" t="n">
        <v>24</v>
      </c>
      <c r="AE889" s="84" t="n">
        <v>20</v>
      </c>
      <c r="AF889" s="84" t="n">
        <v>0.8</v>
      </c>
      <c r="AG889" s="84" t="n">
        <v>0.88</v>
      </c>
      <c r="AH889" s="84" t="n">
        <v>0</v>
      </c>
      <c r="AI889" s="84" t="n">
        <v>0</v>
      </c>
      <c r="AJ889" s="84">
        <f>SUMIFS(AH$8:AH$1039,$O$8:$O$1039,O889,$AB$8:$AB$1039,AB889,$R$8:$R$1039,R889,$AA$8:$AA$1039,"&lt;="&amp;AA889)</f>
        <v/>
      </c>
      <c r="AK889" s="84">
        <f>E83</f>
        <v/>
      </c>
      <c r="AL889" s="84">
        <f>E89</f>
        <v/>
      </c>
      <c r="AM889" s="84">
        <f>MAX(0,AJ889-AK889)</f>
        <v/>
      </c>
      <c r="AN889" s="84">
        <f>IF(AM889=0,AH889,IF(AM889&gt;=AH889,0,AH889-AM889))</f>
        <v/>
      </c>
      <c r="AO889" s="84">
        <f>IF(AM889&gt;=AH889,AI889,AI889*AM889/AH889)</f>
        <v/>
      </c>
      <c r="AP889">
        <f t="array" ref="AP889">INDEX($AU$8:$BB$25,6*(R889-1)+MATCH(AB889,$AS$8:$AS$13,0),MATCH(O889,$AU$7:$BB$7,0))</f>
        <v/>
      </c>
    </row>
    <row r="890" ht="14.25" customHeight="1">
      <c r="O890" s="43" t="inlineStr">
        <is>
          <t>Q3’27</t>
        </is>
      </c>
      <c r="P890" s="43" t="n">
        <v>3</v>
      </c>
      <c r="Q890" s="43" t="n">
        <v>11</v>
      </c>
      <c r="R890" s="43" t="n">
        <v>1</v>
      </c>
      <c r="S890" s="45" t="n">
        <v>2039.717647058824</v>
      </c>
      <c r="T890">
        <f>(S890+S891+S892)=T4</f>
        <v/>
      </c>
      <c r="X890" s="84">
        <f>MAX(S887-S890,0)</f>
        <v/>
      </c>
      <c r="Y890" s="83" t="n">
        <v>0</v>
      </c>
      <c r="AA890" s="84" t="n">
        <v>3</v>
      </c>
      <c r="AB890" s="84" t="inlineStr">
        <is>
          <t>E</t>
        </is>
      </c>
      <c r="AC890" s="84" t="inlineStr">
        <is>
          <t>E+</t>
        </is>
      </c>
      <c r="AD890" s="84" t="n">
        <v>17</v>
      </c>
      <c r="AE890" s="84" t="n">
        <v>15</v>
      </c>
      <c r="AF890" s="84" t="n">
        <v>0.76</v>
      </c>
      <c r="AG890" s="84" t="n">
        <v>0.84</v>
      </c>
      <c r="AH890" s="84" t="n">
        <v>0</v>
      </c>
      <c r="AI890" s="84" t="n">
        <v>0</v>
      </c>
      <c r="AJ890" s="84">
        <f>SUMIFS(AH$8:AH$1039,$O$8:$O$1039,O890,$AB$8:$AB$1039,AB890,$R$8:$R$1039,R890,$AA$8:$AA$1039,"&lt;="&amp;AA890)</f>
        <v/>
      </c>
      <c r="AK890" s="84">
        <f>C84</f>
        <v/>
      </c>
      <c r="AL890" s="84">
        <f>C90</f>
        <v/>
      </c>
      <c r="AM890" s="84">
        <f>MAX(0,AJ890-AK890)</f>
        <v/>
      </c>
      <c r="AN890" s="84">
        <f>IF(AM890=0,AH890,IF(AM890&gt;=AH890,0,AH890-AM890))</f>
        <v/>
      </c>
      <c r="AO890" s="84">
        <f>IF(AM890&gt;=AH890,AI890,AI890*AM890/AH890)</f>
        <v/>
      </c>
      <c r="AP890">
        <f t="array" ref="AP890">INDEX($AU$8:$BB$25,6*(R890-1)+MATCH(AB890,$AS$8:$AS$13,0),MATCH(O890,$AU$7:$BB$7,0))</f>
        <v/>
      </c>
    </row>
    <row r="891" ht="14.25" customHeight="1">
      <c r="O891" s="43" t="inlineStr">
        <is>
          <t>Q3’27</t>
        </is>
      </c>
      <c r="P891" s="43" t="n">
        <v>3</v>
      </c>
      <c r="Q891" s="43" t="n">
        <v>11</v>
      </c>
      <c r="R891" s="43" t="n">
        <v>2</v>
      </c>
      <c r="S891" s="45" t="n">
        <v>3671.491764705882</v>
      </c>
      <c r="T891">
        <f>(S890+S891+S892)=T4</f>
        <v/>
      </c>
      <c r="X891" s="84">
        <f>MAX(S888-S891,0)</f>
        <v/>
      </c>
      <c r="Y891" s="83" t="n">
        <v>0</v>
      </c>
      <c r="AA891" s="84" t="n">
        <v>3</v>
      </c>
      <c r="AB891" s="84" t="inlineStr">
        <is>
          <t>E</t>
        </is>
      </c>
      <c r="AC891" s="84" t="inlineStr">
        <is>
          <t>E+</t>
        </is>
      </c>
      <c r="AD891" s="84" t="n">
        <v>17</v>
      </c>
      <c r="AE891" s="84" t="n">
        <v>15</v>
      </c>
      <c r="AF891" s="84" t="n">
        <v>0.76</v>
      </c>
      <c r="AG891" s="84" t="n">
        <v>0.84</v>
      </c>
      <c r="AH891" s="84" t="n">
        <v>0</v>
      </c>
      <c r="AI891" s="84" t="n">
        <v>0</v>
      </c>
      <c r="AJ891" s="84">
        <f>SUMIFS(AH$8:AH$1039,$O$8:$O$1039,O891,$AB$8:$AB$1039,AB891,$R$8:$R$1039,R891,$AA$8:$AA$1039,"&lt;="&amp;AA891)</f>
        <v/>
      </c>
      <c r="AK891" s="84">
        <f>D84</f>
        <v/>
      </c>
      <c r="AL891" s="84">
        <f>D90</f>
        <v/>
      </c>
      <c r="AM891" s="84">
        <f>MAX(0,AJ891-AK891)</f>
        <v/>
      </c>
      <c r="AN891" s="84">
        <f>IF(AM891=0,AH891,IF(AM891&gt;=AH891,0,AH891-AM891))</f>
        <v/>
      </c>
      <c r="AO891" s="84">
        <f>IF(AM891&gt;=AH891,AI891,AI891*AM891/AH891)</f>
        <v/>
      </c>
      <c r="AP891">
        <f t="array" ref="AP891">INDEX($AU$8:$BB$25,6*(R891-1)+MATCH(AB891,$AS$8:$AS$13,0),MATCH(O891,$AU$7:$BB$7,0))</f>
        <v/>
      </c>
    </row>
    <row r="892" ht="14.25" customHeight="1">
      <c r="O892" s="43" t="inlineStr">
        <is>
          <t>Q3’27</t>
        </is>
      </c>
      <c r="P892" s="43" t="n">
        <v>3</v>
      </c>
      <c r="Q892" s="43" t="n">
        <v>11</v>
      </c>
      <c r="R892" s="43" t="n">
        <v>3</v>
      </c>
      <c r="S892" s="45" t="n">
        <v>2348.790588235294</v>
      </c>
      <c r="T892">
        <f>(S890+S891+S892)=T4</f>
        <v/>
      </c>
      <c r="X892" s="84">
        <f>MAX(S889-S892,0)</f>
        <v/>
      </c>
      <c r="Y892" s="83" t="n">
        <v>0</v>
      </c>
      <c r="AA892" s="84" t="n">
        <v>3</v>
      </c>
      <c r="AB892" s="84" t="inlineStr">
        <is>
          <t>E</t>
        </is>
      </c>
      <c r="AC892" s="84" t="inlineStr">
        <is>
          <t>E+</t>
        </is>
      </c>
      <c r="AD892" s="84" t="n">
        <v>17</v>
      </c>
      <c r="AE892" s="84" t="n">
        <v>15</v>
      </c>
      <c r="AF892" s="84" t="n">
        <v>0.76</v>
      </c>
      <c r="AG892" s="84" t="n">
        <v>0.84</v>
      </c>
      <c r="AH892" s="84" t="n">
        <v>0</v>
      </c>
      <c r="AI892" s="84" t="n">
        <v>0</v>
      </c>
      <c r="AJ892" s="84">
        <f>SUMIFS(AH$8:AH$1039,$O$8:$O$1039,O892,$AB$8:$AB$1039,AB892,$R$8:$R$1039,R892,$AA$8:$AA$1039,"&lt;="&amp;AA892)</f>
        <v/>
      </c>
      <c r="AK892" s="84">
        <f>E84</f>
        <v/>
      </c>
      <c r="AL892" s="84">
        <f>E90</f>
        <v/>
      </c>
      <c r="AM892" s="84">
        <f>MAX(0,AJ892-AK892)</f>
        <v/>
      </c>
      <c r="AN892" s="84">
        <f>IF(AM892=0,AH892,IF(AM892&gt;=AH892,0,AH892-AM892))</f>
        <v/>
      </c>
      <c r="AO892" s="84">
        <f>IF(AM892&gt;=AH892,AI892,AI892*AM892/AH892)</f>
        <v/>
      </c>
      <c r="AP892">
        <f t="array" ref="AP892">INDEX($AU$8:$BB$25,6*(R892-1)+MATCH(AB892,$AS$8:$AS$13,0),MATCH(O892,$AU$7:$BB$7,0))</f>
        <v/>
      </c>
    </row>
    <row r="893" ht="14.25" customHeight="1">
      <c r="O893" s="43" t="inlineStr">
        <is>
          <t>Q3’27</t>
        </is>
      </c>
      <c r="P893" s="43" t="n">
        <v>3</v>
      </c>
      <c r="Q893" s="43" t="n">
        <v>12</v>
      </c>
      <c r="R893" s="43" t="n">
        <v>1</v>
      </c>
      <c r="S893" s="45" t="n">
        <v>2039.717647058824</v>
      </c>
      <c r="T893">
        <f>(S893+S894+S895)=T4</f>
        <v/>
      </c>
      <c r="X893" s="84">
        <f>MAX(S890-S893,0)</f>
        <v/>
      </c>
      <c r="Y893" s="83" t="n">
        <v>0</v>
      </c>
      <c r="AA893" s="84" t="n">
        <v>10</v>
      </c>
      <c r="AB893" s="84" t="inlineStr">
        <is>
          <t>E</t>
        </is>
      </c>
      <c r="AC893" s="84" t="inlineStr">
        <is>
          <t>E+</t>
        </is>
      </c>
      <c r="AD893" s="84" t="n">
        <v>18</v>
      </c>
      <c r="AE893" s="84" t="n">
        <v>13</v>
      </c>
      <c r="AF893" s="84" t="n">
        <v>0.76</v>
      </c>
      <c r="AG893" s="84" t="n">
        <v>0.84</v>
      </c>
      <c r="AH893" s="84" t="n">
        <v>0</v>
      </c>
      <c r="AI893" s="84" t="n">
        <v>0</v>
      </c>
      <c r="AJ893" s="84">
        <f>SUMIFS(AH$8:AH$1039,$O$8:$O$1039,O893,$AB$8:$AB$1039,AB893,$R$8:$R$1039,R893,$AA$8:$AA$1039,"&lt;="&amp;AA893)</f>
        <v/>
      </c>
      <c r="AK893" s="84">
        <f>C84</f>
        <v/>
      </c>
      <c r="AL893" s="84">
        <f>C90</f>
        <v/>
      </c>
      <c r="AM893" s="84">
        <f>MAX(0,AJ893-AK893)</f>
        <v/>
      </c>
      <c r="AN893" s="84">
        <f>IF(AM893=0,AH893,IF(AM893&gt;=AH893,0,AH893-AM893))</f>
        <v/>
      </c>
      <c r="AO893" s="84">
        <f>IF(AM893&gt;=AH893,AI893,AI893*AM893/AH893)</f>
        <v/>
      </c>
      <c r="AP893">
        <f t="array" ref="AP893">INDEX($AU$8:$BB$25,6*(R893-1)+MATCH(AB893,$AS$8:$AS$13,0),MATCH(O893,$AU$7:$BB$7,0))</f>
        <v/>
      </c>
    </row>
    <row r="894" ht="14.25" customHeight="1">
      <c r="O894" s="43" t="inlineStr">
        <is>
          <t>Q3’27</t>
        </is>
      </c>
      <c r="P894" s="43" t="n">
        <v>3</v>
      </c>
      <c r="Q894" s="43" t="n">
        <v>12</v>
      </c>
      <c r="R894" s="43" t="n">
        <v>2</v>
      </c>
      <c r="S894" s="45" t="n">
        <v>3671.491764705882</v>
      </c>
      <c r="T894">
        <f>(S893+S894+S895)=T4</f>
        <v/>
      </c>
      <c r="X894" s="84">
        <f>MAX(S891-S894,0)</f>
        <v/>
      </c>
      <c r="Y894" s="83" t="n">
        <v>0</v>
      </c>
      <c r="AA894" s="84" t="n">
        <v>10</v>
      </c>
      <c r="AB894" s="84" t="inlineStr">
        <is>
          <t>E</t>
        </is>
      </c>
      <c r="AC894" s="84" t="inlineStr">
        <is>
          <t>E+</t>
        </is>
      </c>
      <c r="AD894" s="84" t="n">
        <v>18</v>
      </c>
      <c r="AE894" s="84" t="n">
        <v>13</v>
      </c>
      <c r="AF894" s="84" t="n">
        <v>0.76</v>
      </c>
      <c r="AG894" s="84" t="n">
        <v>0.84</v>
      </c>
      <c r="AH894" s="84" t="n">
        <v>0</v>
      </c>
      <c r="AI894" s="84" t="n">
        <v>0</v>
      </c>
      <c r="AJ894" s="84">
        <f>SUMIFS(AH$8:AH$1039,$O$8:$O$1039,O894,$AB$8:$AB$1039,AB894,$R$8:$R$1039,R894,$AA$8:$AA$1039,"&lt;="&amp;AA894)</f>
        <v/>
      </c>
      <c r="AK894" s="84">
        <f>D84</f>
        <v/>
      </c>
      <c r="AL894" s="84">
        <f>D90</f>
        <v/>
      </c>
      <c r="AM894" s="84">
        <f>MAX(0,AJ894-AK894)</f>
        <v/>
      </c>
      <c r="AN894" s="84">
        <f>IF(AM894=0,AH894,IF(AM894&gt;=AH894,0,AH894-AM894))</f>
        <v/>
      </c>
      <c r="AO894" s="84">
        <f>IF(AM894&gt;=AH894,AI894,AI894*AM894/AH894)</f>
        <v/>
      </c>
      <c r="AP894">
        <f t="array" ref="AP894">INDEX($AU$8:$BB$25,6*(R894-1)+MATCH(AB894,$AS$8:$AS$13,0),MATCH(O894,$AU$7:$BB$7,0))</f>
        <v/>
      </c>
    </row>
    <row r="895" ht="14.25" customHeight="1">
      <c r="O895" s="43" t="inlineStr">
        <is>
          <t>Q3’27</t>
        </is>
      </c>
      <c r="P895" s="43" t="n">
        <v>3</v>
      </c>
      <c r="Q895" s="43" t="n">
        <v>12</v>
      </c>
      <c r="R895" s="43" t="n">
        <v>3</v>
      </c>
      <c r="S895" s="45" t="n">
        <v>2348.790588235294</v>
      </c>
      <c r="T895">
        <f>(S893+S894+S895)=T4</f>
        <v/>
      </c>
      <c r="X895" s="84">
        <f>MAX(S892-S895,0)</f>
        <v/>
      </c>
      <c r="Y895" s="83" t="n">
        <v>0</v>
      </c>
      <c r="AA895" s="84" t="n">
        <v>10</v>
      </c>
      <c r="AB895" s="84" t="inlineStr">
        <is>
          <t>E</t>
        </is>
      </c>
      <c r="AC895" s="84" t="inlineStr">
        <is>
          <t>E+</t>
        </is>
      </c>
      <c r="AD895" s="84" t="n">
        <v>18</v>
      </c>
      <c r="AE895" s="84" t="n">
        <v>13</v>
      </c>
      <c r="AF895" s="84" t="n">
        <v>0.76</v>
      </c>
      <c r="AG895" s="84" t="n">
        <v>0.84</v>
      </c>
      <c r="AH895" s="84" t="n">
        <v>0</v>
      </c>
      <c r="AI895" s="84" t="n">
        <v>0</v>
      </c>
      <c r="AJ895" s="84">
        <f>SUMIFS(AH$8:AH$1039,$O$8:$O$1039,O895,$AB$8:$AB$1039,AB895,$R$8:$R$1039,R895,$AA$8:$AA$1039,"&lt;="&amp;AA895)</f>
        <v/>
      </c>
      <c r="AK895" s="84">
        <f>E84</f>
        <v/>
      </c>
      <c r="AL895" s="84">
        <f>E90</f>
        <v/>
      </c>
      <c r="AM895" s="84">
        <f>MAX(0,AJ895-AK895)</f>
        <v/>
      </c>
      <c r="AN895" s="84">
        <f>IF(AM895=0,AH895,IF(AM895&gt;=AH895,0,AH895-AM895))</f>
        <v/>
      </c>
      <c r="AO895" s="84">
        <f>IF(AM895&gt;=AH895,AI895,AI895*AM895/AH895)</f>
        <v/>
      </c>
      <c r="AP895">
        <f t="array" ref="AP895">INDEX($AU$8:$BB$25,6*(R895-1)+MATCH(AB895,$AS$8:$AS$13,0),MATCH(O895,$AU$7:$BB$7,0))</f>
        <v/>
      </c>
    </row>
    <row r="896" ht="14.25" customHeight="1">
      <c r="O896" s="43" t="inlineStr">
        <is>
          <t>Q3’27</t>
        </is>
      </c>
      <c r="P896" s="43" t="n">
        <v>3</v>
      </c>
      <c r="Q896" s="43" t="n">
        <v>13</v>
      </c>
      <c r="R896" s="43" t="n">
        <v>1</v>
      </c>
      <c r="S896" s="45" t="n">
        <v>2039.717647058824</v>
      </c>
      <c r="T896">
        <f>(S896+S897+S898)=T4</f>
        <v/>
      </c>
      <c r="X896" s="84">
        <f>MAX(S893-S896,0)</f>
        <v/>
      </c>
      <c r="Y896" s="83" t="n">
        <v>0</v>
      </c>
      <c r="AA896" s="84" t="n">
        <v>2</v>
      </c>
      <c r="AB896" s="84" t="inlineStr">
        <is>
          <t>F</t>
        </is>
      </c>
      <c r="AC896" s="84" t="inlineStr">
        <is>
          <t>F+</t>
        </is>
      </c>
      <c r="AD896" s="84" t="n">
        <v>20</v>
      </c>
      <c r="AE896" s="84" t="n">
        <v>18</v>
      </c>
      <c r="AF896" s="84" t="n">
        <v>0.8</v>
      </c>
      <c r="AG896" s="84" t="n">
        <v>0.9</v>
      </c>
      <c r="AH896" s="84" t="n">
        <v>0</v>
      </c>
      <c r="AI896" s="84" t="n">
        <v>0</v>
      </c>
      <c r="AJ896" s="84">
        <f>SUMIFS(AH$8:AH$1039,$O$8:$O$1039,O896,$AB$8:$AB$1039,AB896,$R$8:$R$1039,R896,$AA$8:$AA$1039,"&lt;="&amp;AA896)</f>
        <v/>
      </c>
      <c r="AK896" s="84">
        <f>C85</f>
        <v/>
      </c>
      <c r="AL896" s="84">
        <f>C91</f>
        <v/>
      </c>
      <c r="AM896" s="84">
        <f>MAX(0,AJ896-AK896)</f>
        <v/>
      </c>
      <c r="AN896" s="84">
        <f>IF(AM896=0,AH896,IF(AM896&gt;=AH896,0,AH896-AM896))</f>
        <v/>
      </c>
      <c r="AO896" s="84">
        <f>IF(AM896&gt;=AH896,AI896,AI896*AM896/AH896)</f>
        <v/>
      </c>
      <c r="AP896">
        <f t="array" ref="AP896">INDEX($AU$8:$BB$25,6*(R896-1)+MATCH(AB896,$AS$8:$AS$13,0),MATCH(O896,$AU$7:$BB$7,0))</f>
        <v/>
      </c>
    </row>
    <row r="897" ht="14.25" customHeight="1">
      <c r="O897" s="43" t="inlineStr">
        <is>
          <t>Q3’27</t>
        </is>
      </c>
      <c r="P897" s="43" t="n">
        <v>3</v>
      </c>
      <c r="Q897" s="43" t="n">
        <v>13</v>
      </c>
      <c r="R897" s="43" t="n">
        <v>2</v>
      </c>
      <c r="S897" s="45" t="n">
        <v>3671.491764705882</v>
      </c>
      <c r="T897">
        <f>(S896+S897+S898)=T4</f>
        <v/>
      </c>
      <c r="X897" s="84">
        <f>MAX(S894-S897,0)</f>
        <v/>
      </c>
      <c r="Y897" s="83" t="n">
        <v>0</v>
      </c>
      <c r="AA897" s="84" t="n">
        <v>2</v>
      </c>
      <c r="AB897" s="84" t="inlineStr">
        <is>
          <t>F</t>
        </is>
      </c>
      <c r="AC897" s="84" t="inlineStr">
        <is>
          <t>F+</t>
        </is>
      </c>
      <c r="AD897" s="84" t="n">
        <v>20</v>
      </c>
      <c r="AE897" s="84" t="n">
        <v>18</v>
      </c>
      <c r="AF897" s="84" t="n">
        <v>0.8</v>
      </c>
      <c r="AG897" s="84" t="n">
        <v>0.9</v>
      </c>
      <c r="AH897" s="84" t="n">
        <v>0</v>
      </c>
      <c r="AI897" s="84" t="n">
        <v>0</v>
      </c>
      <c r="AJ897" s="84">
        <f>SUMIFS(AH$8:AH$1039,$O$8:$O$1039,O897,$AB$8:$AB$1039,AB897,$R$8:$R$1039,R897,$AA$8:$AA$1039,"&lt;="&amp;AA897)</f>
        <v/>
      </c>
      <c r="AK897" s="84">
        <f>D85</f>
        <v/>
      </c>
      <c r="AL897" s="84">
        <f>D91</f>
        <v/>
      </c>
      <c r="AM897" s="84">
        <f>MAX(0,AJ897-AK897)</f>
        <v/>
      </c>
      <c r="AN897" s="84">
        <f>IF(AM897=0,AH897,IF(AM897&gt;=AH897,0,AH897-AM897))</f>
        <v/>
      </c>
      <c r="AO897" s="84">
        <f>IF(AM897&gt;=AH897,AI897,AI897*AM897/AH897)</f>
        <v/>
      </c>
      <c r="AP897">
        <f t="array" ref="AP897">INDEX($AU$8:$BB$25,6*(R897-1)+MATCH(AB897,$AS$8:$AS$13,0),MATCH(O897,$AU$7:$BB$7,0))</f>
        <v/>
      </c>
    </row>
    <row r="898" ht="14.25" customHeight="1">
      <c r="O898" s="43" t="inlineStr">
        <is>
          <t>Q3’27</t>
        </is>
      </c>
      <c r="P898" s="43" t="n">
        <v>3</v>
      </c>
      <c r="Q898" s="43" t="n">
        <v>13</v>
      </c>
      <c r="R898" s="43" t="n">
        <v>3</v>
      </c>
      <c r="S898" s="45" t="n">
        <v>2348.790588235294</v>
      </c>
      <c r="T898">
        <f>(S896+S897+S898)=T4</f>
        <v/>
      </c>
      <c r="X898" s="84">
        <f>MAX(S895-S898,0)</f>
        <v/>
      </c>
      <c r="Y898" s="83" t="n">
        <v>0</v>
      </c>
      <c r="AA898" s="84" t="n">
        <v>2</v>
      </c>
      <c r="AB898" s="84" t="inlineStr">
        <is>
          <t>F</t>
        </is>
      </c>
      <c r="AC898" s="84" t="inlineStr">
        <is>
          <t>F+</t>
        </is>
      </c>
      <c r="AD898" s="84" t="n">
        <v>20</v>
      </c>
      <c r="AE898" s="84" t="n">
        <v>18</v>
      </c>
      <c r="AF898" s="84" t="n">
        <v>0.8</v>
      </c>
      <c r="AG898" s="84" t="n">
        <v>0.9</v>
      </c>
      <c r="AH898" s="84" t="n">
        <v>0</v>
      </c>
      <c r="AI898" s="84" t="n">
        <v>0</v>
      </c>
      <c r="AJ898" s="84">
        <f>SUMIFS(AH$8:AH$1039,$O$8:$O$1039,O898,$AB$8:$AB$1039,AB898,$R$8:$R$1039,R898,$AA$8:$AA$1039,"&lt;="&amp;AA898)</f>
        <v/>
      </c>
      <c r="AK898" s="84">
        <f>E85</f>
        <v/>
      </c>
      <c r="AL898" s="84">
        <f>E91</f>
        <v/>
      </c>
      <c r="AM898" s="84">
        <f>MAX(0,AJ898-AK898)</f>
        <v/>
      </c>
      <c r="AN898" s="84">
        <f>IF(AM898=0,AH898,IF(AM898&gt;=AH898,0,AH898-AM898))</f>
        <v/>
      </c>
      <c r="AO898" s="84">
        <f>IF(AM898&gt;=AH898,AI898,AI898*AM898/AH898)</f>
        <v/>
      </c>
      <c r="AP898">
        <f t="array" ref="AP898">INDEX($AU$8:$BB$25,6*(R898-1)+MATCH(AB898,$AS$8:$AS$13,0),MATCH(O898,$AU$7:$BB$7,0))</f>
        <v/>
      </c>
    </row>
    <row r="899" ht="14.25" customHeight="1">
      <c r="O899" s="43" t="inlineStr">
        <is>
          <t>Q3’27</t>
        </is>
      </c>
      <c r="P899" s="43" t="n">
        <v>3</v>
      </c>
      <c r="Q899" s="43" t="n">
        <v>14</v>
      </c>
      <c r="R899" s="43" t="n">
        <v>1</v>
      </c>
      <c r="S899" s="45" t="n">
        <v>2039.717647058824</v>
      </c>
      <c r="T899">
        <f>(S899+S900+S901)=T4</f>
        <v/>
      </c>
      <c r="X899" s="84">
        <f>MAX(S896-S899,0)</f>
        <v/>
      </c>
      <c r="Y899" s="83" t="n">
        <v>0</v>
      </c>
      <c r="AA899" s="84" t="n">
        <v>2</v>
      </c>
      <c r="AB899" s="84" t="inlineStr">
        <is>
          <t>C</t>
        </is>
      </c>
      <c r="AC899" s="84" t="inlineStr">
        <is>
          <t>C+</t>
        </is>
      </c>
      <c r="AD899" s="84" t="n">
        <v>12</v>
      </c>
      <c r="AE899" s="84" t="n">
        <v>11</v>
      </c>
      <c r="AF899" s="84" t="n">
        <v>0.8</v>
      </c>
      <c r="AG899" s="84" t="n">
        <v>0.86</v>
      </c>
      <c r="AH899" s="84" t="n">
        <v>0</v>
      </c>
      <c r="AI899" s="84" t="n">
        <v>0</v>
      </c>
      <c r="AJ899" s="84">
        <f>SUMIFS(AH$8:AH$1039,$O$8:$O$1039,O899,$AB$8:$AB$1039,AB899,$R$8:$R$1039,R899,$AA$8:$AA$1039,"&lt;="&amp;AA899)</f>
        <v/>
      </c>
      <c r="AK899" s="84">
        <f>C82</f>
        <v/>
      </c>
      <c r="AL899" s="84">
        <f>C88</f>
        <v/>
      </c>
      <c r="AM899" s="84">
        <f>MAX(0,AJ899-AK899)</f>
        <v/>
      </c>
      <c r="AN899" s="84">
        <f>IF(AM899=0,AH899,IF(AM899&gt;=AH899,0,AH899-AM899))</f>
        <v/>
      </c>
      <c r="AO899" s="84">
        <f>IF(AM899&gt;=AH899,AI899,AI899*AM899/AH899)</f>
        <v/>
      </c>
      <c r="AP899">
        <f t="array" ref="AP899">INDEX($AU$8:$BB$25,6*(R899-1)+MATCH(AB899,$AS$8:$AS$13,0),MATCH(O899,$AU$7:$BB$7,0))</f>
        <v/>
      </c>
    </row>
    <row r="900" ht="14.25" customHeight="1">
      <c r="O900" s="43" t="inlineStr">
        <is>
          <t>Q3’27</t>
        </is>
      </c>
      <c r="P900" s="43" t="n">
        <v>3</v>
      </c>
      <c r="Q900" s="43" t="n">
        <v>14</v>
      </c>
      <c r="R900" s="43" t="n">
        <v>2</v>
      </c>
      <c r="S900" s="45" t="n">
        <v>3671.491764705882</v>
      </c>
      <c r="T900">
        <f>(S899+S900+S901)=T4</f>
        <v/>
      </c>
      <c r="X900" s="84">
        <f>MAX(S897-S900,0)</f>
        <v/>
      </c>
      <c r="Y900" s="83" t="n">
        <v>0</v>
      </c>
      <c r="AA900" s="84" t="n">
        <v>2</v>
      </c>
      <c r="AB900" s="84" t="inlineStr">
        <is>
          <t>C</t>
        </is>
      </c>
      <c r="AC900" s="84" t="inlineStr">
        <is>
          <t>C+</t>
        </is>
      </c>
      <c r="AD900" s="84" t="n">
        <v>12</v>
      </c>
      <c r="AE900" s="84" t="n">
        <v>11</v>
      </c>
      <c r="AF900" s="84" t="n">
        <v>0.8</v>
      </c>
      <c r="AG900" s="84" t="n">
        <v>0.86</v>
      </c>
      <c r="AH900" s="84" t="n">
        <v>0</v>
      </c>
      <c r="AI900" s="84" t="n">
        <v>0</v>
      </c>
      <c r="AJ900" s="84">
        <f>SUMIFS(AH$8:AH$1039,$O$8:$O$1039,O900,$AB$8:$AB$1039,AB900,$R$8:$R$1039,R900,$AA$8:$AA$1039,"&lt;="&amp;AA900)</f>
        <v/>
      </c>
      <c r="AK900" s="84">
        <f>D82</f>
        <v/>
      </c>
      <c r="AL900" s="84">
        <f>D88</f>
        <v/>
      </c>
      <c r="AM900" s="84">
        <f>MAX(0,AJ900-AK900)</f>
        <v/>
      </c>
      <c r="AN900" s="84">
        <f>IF(AM900=0,AH900,IF(AM900&gt;=AH900,0,AH900-AM900))</f>
        <v/>
      </c>
      <c r="AO900" s="84">
        <f>IF(AM900&gt;=AH900,AI900,AI900*AM900/AH900)</f>
        <v/>
      </c>
      <c r="AP900">
        <f t="array" ref="AP900">INDEX($AU$8:$BB$25,6*(R900-1)+MATCH(AB900,$AS$8:$AS$13,0),MATCH(O900,$AU$7:$BB$7,0))</f>
        <v/>
      </c>
    </row>
    <row r="901" ht="14.25" customHeight="1">
      <c r="O901" s="43" t="inlineStr">
        <is>
          <t>Q3’27</t>
        </is>
      </c>
      <c r="P901" s="43" t="n">
        <v>3</v>
      </c>
      <c r="Q901" s="43" t="n">
        <v>14</v>
      </c>
      <c r="R901" s="43" t="n">
        <v>3</v>
      </c>
      <c r="S901" s="45" t="n">
        <v>2348.790588235293</v>
      </c>
      <c r="T901">
        <f>(S899+S900+S901)=T4</f>
        <v/>
      </c>
      <c r="X901" s="84">
        <f>MAX(S898-S901,0)</f>
        <v/>
      </c>
      <c r="Y901" s="83" t="n">
        <v>0</v>
      </c>
      <c r="AA901" s="84" t="n">
        <v>2</v>
      </c>
      <c r="AB901" s="84" t="inlineStr">
        <is>
          <t>C</t>
        </is>
      </c>
      <c r="AC901" s="84" t="inlineStr">
        <is>
          <t>C+</t>
        </is>
      </c>
      <c r="AD901" s="84" t="n">
        <v>12</v>
      </c>
      <c r="AE901" s="84" t="n">
        <v>11</v>
      </c>
      <c r="AF901" s="84" t="n">
        <v>0.8</v>
      </c>
      <c r="AG901" s="84" t="n">
        <v>0.86</v>
      </c>
      <c r="AH901" s="84" t="n">
        <v>0</v>
      </c>
      <c r="AI901" s="84" t="n">
        <v>0</v>
      </c>
      <c r="AJ901" s="84">
        <f>SUMIFS(AH$8:AH$1039,$O$8:$O$1039,O901,$AB$8:$AB$1039,AB901,$R$8:$R$1039,R901,$AA$8:$AA$1039,"&lt;="&amp;AA901)</f>
        <v/>
      </c>
      <c r="AK901" s="84">
        <f>E82</f>
        <v/>
      </c>
      <c r="AL901" s="84">
        <f>E88</f>
        <v/>
      </c>
      <c r="AM901" s="84">
        <f>MAX(0,AJ901-AK901)</f>
        <v/>
      </c>
      <c r="AN901" s="84">
        <f>IF(AM901=0,AH901,IF(AM901&gt;=AH901,0,AH901-AM901))</f>
        <v/>
      </c>
      <c r="AO901" s="84">
        <f>IF(AM901&gt;=AH901,AI901,AI901*AM901/AH901)</f>
        <v/>
      </c>
      <c r="AP901">
        <f t="array" ref="AP901">INDEX($AU$8:$BB$25,6*(R901-1)+MATCH(AB901,$AS$8:$AS$13,0),MATCH(O901,$AU$7:$BB$7,0))</f>
        <v/>
      </c>
    </row>
    <row r="902" ht="14.25" customHeight="1">
      <c r="O902" s="43" t="inlineStr">
        <is>
          <t>Q3’27</t>
        </is>
      </c>
      <c r="P902" s="43" t="n">
        <v>3</v>
      </c>
      <c r="Q902" s="43" t="n">
        <v>15</v>
      </c>
      <c r="R902" s="43" t="n">
        <v>1</v>
      </c>
      <c r="S902" s="45" t="n">
        <v>2039.717647058824</v>
      </c>
      <c r="T902">
        <f>(S902+S903+S904)=T4</f>
        <v/>
      </c>
      <c r="X902" s="84">
        <f>MAX(S899-S902,0)</f>
        <v/>
      </c>
      <c r="Y902" s="83" t="n">
        <v>0</v>
      </c>
      <c r="AA902" s="84" t="n">
        <v>2</v>
      </c>
      <c r="AB902" s="84" t="inlineStr">
        <is>
          <t>D</t>
        </is>
      </c>
      <c r="AC902" s="84" t="inlineStr">
        <is>
          <t>D+</t>
        </is>
      </c>
      <c r="AD902" s="84" t="n">
        <v>11</v>
      </c>
      <c r="AE902" s="84" t="n">
        <v>10</v>
      </c>
      <c r="AF902" s="84" t="n">
        <v>0.8</v>
      </c>
      <c r="AG902" s="84" t="n">
        <v>0.88</v>
      </c>
      <c r="AH902" s="84" t="n">
        <v>0</v>
      </c>
      <c r="AI902" s="84" t="n">
        <v>0</v>
      </c>
      <c r="AJ902" s="84">
        <f>SUMIFS(AH$8:AH$1039,$O$8:$O$1039,O902,$AB$8:$AB$1039,AB902,$R$8:$R$1039,R902,$AA$8:$AA$1039,"&lt;="&amp;AA902)</f>
        <v/>
      </c>
      <c r="AK902" s="84">
        <f>C83</f>
        <v/>
      </c>
      <c r="AL902" s="84">
        <f>C89</f>
        <v/>
      </c>
      <c r="AM902" s="84">
        <f>MAX(0,AJ902-AK902)</f>
        <v/>
      </c>
      <c r="AN902" s="84">
        <f>IF(AM902=0,AH902,IF(AM902&gt;=AH902,0,AH902-AM902))</f>
        <v/>
      </c>
      <c r="AO902" s="84">
        <f>IF(AM902&gt;=AH902,AI902,AI902*AM902/AH902)</f>
        <v/>
      </c>
      <c r="AP902">
        <f t="array" ref="AP902">INDEX($AU$8:$BB$25,6*(R902-1)+MATCH(AB902,$AS$8:$AS$13,0),MATCH(O902,$AU$7:$BB$7,0))</f>
        <v/>
      </c>
    </row>
    <row r="903" ht="14.25" customHeight="1">
      <c r="O903" s="43" t="inlineStr">
        <is>
          <t>Q3’27</t>
        </is>
      </c>
      <c r="P903" s="43" t="n">
        <v>3</v>
      </c>
      <c r="Q903" s="43" t="n">
        <v>15</v>
      </c>
      <c r="R903" s="43" t="n">
        <v>2</v>
      </c>
      <c r="S903" s="45" t="n">
        <v>3671.491764705882</v>
      </c>
      <c r="T903">
        <f>(S902+S903+S904)=T4</f>
        <v/>
      </c>
      <c r="X903" s="84">
        <f>MAX(S900-S903,0)</f>
        <v/>
      </c>
      <c r="Y903" s="83" t="n">
        <v>0</v>
      </c>
      <c r="AA903" s="84" t="n">
        <v>2</v>
      </c>
      <c r="AB903" s="84" t="inlineStr">
        <is>
          <t>D</t>
        </is>
      </c>
      <c r="AC903" s="84" t="inlineStr">
        <is>
          <t>D+</t>
        </is>
      </c>
      <c r="AD903" s="84" t="n">
        <v>11</v>
      </c>
      <c r="AE903" s="84" t="n">
        <v>10</v>
      </c>
      <c r="AF903" s="84" t="n">
        <v>0.8</v>
      </c>
      <c r="AG903" s="84" t="n">
        <v>0.88</v>
      </c>
      <c r="AH903" s="84" t="n">
        <v>0</v>
      </c>
      <c r="AI903" s="84" t="n">
        <v>0</v>
      </c>
      <c r="AJ903" s="84">
        <f>SUMIFS(AH$8:AH$1039,$O$8:$O$1039,O903,$AB$8:$AB$1039,AB903,$R$8:$R$1039,R903,$AA$8:$AA$1039,"&lt;="&amp;AA903)</f>
        <v/>
      </c>
      <c r="AK903" s="84">
        <f>D83</f>
        <v/>
      </c>
      <c r="AL903" s="84">
        <f>D89</f>
        <v/>
      </c>
      <c r="AM903" s="84">
        <f>MAX(0,AJ903-AK903)</f>
        <v/>
      </c>
      <c r="AN903" s="84">
        <f>IF(AM903=0,AH903,IF(AM903&gt;=AH903,0,AH903-AM903))</f>
        <v/>
      </c>
      <c r="AO903" s="84">
        <f>IF(AM903&gt;=AH903,AI903,AI903*AM903/AH903)</f>
        <v/>
      </c>
      <c r="AP903">
        <f t="array" ref="AP903">INDEX($AU$8:$BB$25,6*(R903-1)+MATCH(AB903,$AS$8:$AS$13,0),MATCH(O903,$AU$7:$BB$7,0))</f>
        <v/>
      </c>
    </row>
    <row r="904" ht="14.25" customHeight="1">
      <c r="O904" s="43" t="inlineStr">
        <is>
          <t>Q3’27</t>
        </is>
      </c>
      <c r="P904" s="43" t="n">
        <v>3</v>
      </c>
      <c r="Q904" s="43" t="n">
        <v>15</v>
      </c>
      <c r="R904" s="43" t="n">
        <v>3</v>
      </c>
      <c r="S904" s="45" t="n">
        <v>2348.790588235294</v>
      </c>
      <c r="T904">
        <f>(S902+S903+S904)=T4</f>
        <v/>
      </c>
      <c r="X904" s="84">
        <f>MAX(S901-S904,0)</f>
        <v/>
      </c>
      <c r="Y904" s="83" t="n">
        <v>0</v>
      </c>
      <c r="AA904" s="84" t="n">
        <v>2</v>
      </c>
      <c r="AB904" s="84" t="inlineStr">
        <is>
          <t>D</t>
        </is>
      </c>
      <c r="AC904" s="84" t="inlineStr">
        <is>
          <t>D+</t>
        </is>
      </c>
      <c r="AD904" s="84" t="n">
        <v>11</v>
      </c>
      <c r="AE904" s="84" t="n">
        <v>10</v>
      </c>
      <c r="AF904" s="84" t="n">
        <v>0.8</v>
      </c>
      <c r="AG904" s="84" t="n">
        <v>0.88</v>
      </c>
      <c r="AH904" s="84" t="n">
        <v>0</v>
      </c>
      <c r="AI904" s="84" t="n">
        <v>0</v>
      </c>
      <c r="AJ904" s="84">
        <f>SUMIFS(AH$8:AH$1039,$O$8:$O$1039,O904,$AB$8:$AB$1039,AB904,$R$8:$R$1039,R904,$AA$8:$AA$1039,"&lt;="&amp;AA904)</f>
        <v/>
      </c>
      <c r="AK904" s="84">
        <f>E83</f>
        <v/>
      </c>
      <c r="AL904" s="84">
        <f>E89</f>
        <v/>
      </c>
      <c r="AM904" s="84">
        <f>MAX(0,AJ904-AK904)</f>
        <v/>
      </c>
      <c r="AN904" s="84">
        <f>IF(AM904=0,AH904,IF(AM904&gt;=AH904,0,AH904-AM904))</f>
        <v/>
      </c>
      <c r="AO904" s="84">
        <f>IF(AM904&gt;=AH904,AI904,AI904*AM904/AH904)</f>
        <v/>
      </c>
      <c r="AP904">
        <f t="array" ref="AP904">INDEX($AU$8:$BB$25,6*(R904-1)+MATCH(AB904,$AS$8:$AS$13,0),MATCH(O904,$AU$7:$BB$7,0))</f>
        <v/>
      </c>
    </row>
    <row r="905" ht="14.25" customHeight="1">
      <c r="O905" s="43" t="inlineStr">
        <is>
          <t>Q3’27</t>
        </is>
      </c>
      <c r="P905" s="43" t="n">
        <v>3</v>
      </c>
      <c r="Q905" s="43" t="n">
        <v>16</v>
      </c>
      <c r="R905" s="43" t="n">
        <v>1</v>
      </c>
      <c r="S905" s="45" t="n">
        <v>2039.717647058824</v>
      </c>
      <c r="T905">
        <f>(S905+S906+S907)=T4</f>
        <v/>
      </c>
      <c r="X905" s="84">
        <f>MAX(S902-S905,0)</f>
        <v/>
      </c>
      <c r="Y905" s="83" t="n">
        <v>0</v>
      </c>
      <c r="AA905" s="84" t="n">
        <v>4</v>
      </c>
      <c r="AB905" s="84" t="inlineStr">
        <is>
          <t>C</t>
        </is>
      </c>
      <c r="AC905" s="84" t="inlineStr">
        <is>
          <t>C+</t>
        </is>
      </c>
      <c r="AD905" s="84" t="n">
        <v>25</v>
      </c>
      <c r="AE905" s="84" t="n">
        <v>20</v>
      </c>
      <c r="AF905" s="84" t="n">
        <v>0.8</v>
      </c>
      <c r="AG905" s="84" t="n">
        <v>0.86</v>
      </c>
      <c r="AH905" s="84" t="n">
        <v>0</v>
      </c>
      <c r="AI905" s="84" t="n">
        <v>0</v>
      </c>
      <c r="AJ905" s="84">
        <f>SUMIFS(AH$8:AH$1039,$O$8:$O$1039,O905,$AB$8:$AB$1039,AB905,$R$8:$R$1039,R905,$AA$8:$AA$1039,"&lt;="&amp;AA905)</f>
        <v/>
      </c>
      <c r="AK905" s="84">
        <f>C82</f>
        <v/>
      </c>
      <c r="AL905" s="84">
        <f>C88</f>
        <v/>
      </c>
      <c r="AM905" s="84">
        <f>MAX(0,AJ905-AK905)</f>
        <v/>
      </c>
      <c r="AN905" s="84">
        <f>IF(AM905=0,AH905,IF(AM905&gt;=AH905,0,AH905-AM905))</f>
        <v/>
      </c>
      <c r="AO905" s="84">
        <f>IF(AM905&gt;=AH905,AI905,AI905*AM905/AH905)</f>
        <v/>
      </c>
      <c r="AP905">
        <f t="array" ref="AP905">INDEX($AU$8:$BB$25,6*(R905-1)+MATCH(AB905,$AS$8:$AS$13,0),MATCH(O905,$AU$7:$BB$7,0))</f>
        <v/>
      </c>
    </row>
    <row r="906" ht="14.25" customHeight="1">
      <c r="O906" s="43" t="inlineStr">
        <is>
          <t>Q3’27</t>
        </is>
      </c>
      <c r="P906" s="43" t="n">
        <v>3</v>
      </c>
      <c r="Q906" s="43" t="n">
        <v>16</v>
      </c>
      <c r="R906" s="43" t="n">
        <v>2</v>
      </c>
      <c r="S906" s="45" t="n">
        <v>3671.491764705882</v>
      </c>
      <c r="T906">
        <f>(S905+S906+S907)=T4</f>
        <v/>
      </c>
      <c r="X906" s="84">
        <f>MAX(S903-S906,0)</f>
        <v/>
      </c>
      <c r="Y906" s="83" t="n">
        <v>0</v>
      </c>
      <c r="AA906" s="84" t="n">
        <v>4</v>
      </c>
      <c r="AB906" s="84" t="inlineStr">
        <is>
          <t>C</t>
        </is>
      </c>
      <c r="AC906" s="84" t="inlineStr">
        <is>
          <t>C+</t>
        </is>
      </c>
      <c r="AD906" s="84" t="n">
        <v>25</v>
      </c>
      <c r="AE906" s="84" t="n">
        <v>20</v>
      </c>
      <c r="AF906" s="84" t="n">
        <v>0.8</v>
      </c>
      <c r="AG906" s="84" t="n">
        <v>0.86</v>
      </c>
      <c r="AH906" s="84" t="n">
        <v>0</v>
      </c>
      <c r="AI906" s="84" t="n">
        <v>0</v>
      </c>
      <c r="AJ906" s="84">
        <f>SUMIFS(AH$8:AH$1039,$O$8:$O$1039,O906,$AB$8:$AB$1039,AB906,$R$8:$R$1039,R906,$AA$8:$AA$1039,"&lt;="&amp;AA906)</f>
        <v/>
      </c>
      <c r="AK906" s="84">
        <f>D82</f>
        <v/>
      </c>
      <c r="AL906" s="84">
        <f>D88</f>
        <v/>
      </c>
      <c r="AM906" s="84">
        <f>MAX(0,AJ906-AK906)</f>
        <v/>
      </c>
      <c r="AN906" s="84">
        <f>IF(AM906=0,AH906,IF(AM906&gt;=AH906,0,AH906-AM906))</f>
        <v/>
      </c>
      <c r="AO906" s="84">
        <f>IF(AM906&gt;=AH906,AI906,AI906*AM906/AH906)</f>
        <v/>
      </c>
      <c r="AP906">
        <f t="array" ref="AP906">INDEX($AU$8:$BB$25,6*(R906-1)+MATCH(AB906,$AS$8:$AS$13,0),MATCH(O906,$AU$7:$BB$7,0))</f>
        <v/>
      </c>
    </row>
    <row r="907" ht="14.25" customHeight="1">
      <c r="O907" s="43" t="inlineStr">
        <is>
          <t>Q3’27</t>
        </is>
      </c>
      <c r="P907" s="43" t="n">
        <v>3</v>
      </c>
      <c r="Q907" s="43" t="n">
        <v>16</v>
      </c>
      <c r="R907" s="43" t="n">
        <v>3</v>
      </c>
      <c r="S907" s="45" t="n">
        <v>2348.790588235294</v>
      </c>
      <c r="T907">
        <f>(S905+S906+S907)=T4</f>
        <v/>
      </c>
      <c r="X907" s="84">
        <f>MAX(S904-S907,0)</f>
        <v/>
      </c>
      <c r="Y907" s="83" t="n">
        <v>0</v>
      </c>
      <c r="AA907" s="84" t="n">
        <v>4</v>
      </c>
      <c r="AB907" s="84" t="inlineStr">
        <is>
          <t>C</t>
        </is>
      </c>
      <c r="AC907" s="84" t="inlineStr">
        <is>
          <t>C+</t>
        </is>
      </c>
      <c r="AD907" s="84" t="n">
        <v>25</v>
      </c>
      <c r="AE907" s="84" t="n">
        <v>20</v>
      </c>
      <c r="AF907" s="84" t="n">
        <v>0.8</v>
      </c>
      <c r="AG907" s="84" t="n">
        <v>0.86</v>
      </c>
      <c r="AH907" s="84" t="n">
        <v>0</v>
      </c>
      <c r="AI907" s="84" t="n">
        <v>0</v>
      </c>
      <c r="AJ907" s="84">
        <f>SUMIFS(AH$8:AH$1039,$O$8:$O$1039,O907,$AB$8:$AB$1039,AB907,$R$8:$R$1039,R907,$AA$8:$AA$1039,"&lt;="&amp;AA907)</f>
        <v/>
      </c>
      <c r="AK907" s="84">
        <f>E82</f>
        <v/>
      </c>
      <c r="AL907" s="84">
        <f>E88</f>
        <v/>
      </c>
      <c r="AM907" s="84">
        <f>MAX(0,AJ907-AK907)</f>
        <v/>
      </c>
      <c r="AN907" s="84">
        <f>IF(AM907=0,AH907,IF(AM907&gt;=AH907,0,AH907-AM907))</f>
        <v/>
      </c>
      <c r="AO907" s="84">
        <f>IF(AM907&gt;=AH907,AI907,AI907*AM907/AH907)</f>
        <v/>
      </c>
      <c r="AP907">
        <f t="array" ref="AP907">INDEX($AU$8:$BB$25,6*(R907-1)+MATCH(AB907,$AS$8:$AS$13,0),MATCH(O907,$AU$7:$BB$7,0))</f>
        <v/>
      </c>
    </row>
    <row r="908" ht="14.25" customHeight="1">
      <c r="O908" s="43" t="inlineStr">
        <is>
          <t>Q3’27</t>
        </is>
      </c>
      <c r="P908" s="43" t="n">
        <v>3</v>
      </c>
      <c r="Q908" s="43" t="n">
        <v>17</v>
      </c>
      <c r="R908" s="43" t="n">
        <v>1</v>
      </c>
      <c r="S908" s="45" t="n">
        <v>2039.717647058824</v>
      </c>
      <c r="T908">
        <f>(S908+S909+S910)=T4</f>
        <v/>
      </c>
      <c r="X908" s="84">
        <f>MAX(S905-S908,0)</f>
        <v/>
      </c>
      <c r="Y908" s="83" t="n">
        <v>0</v>
      </c>
      <c r="AA908" s="84" t="n">
        <v>1</v>
      </c>
      <c r="AB908" s="84" t="inlineStr">
        <is>
          <t>F</t>
        </is>
      </c>
      <c r="AC908" s="84" t="inlineStr">
        <is>
          <t>F+</t>
        </is>
      </c>
      <c r="AD908" s="84" t="n">
        <v>14</v>
      </c>
      <c r="AE908" s="84" t="n">
        <v>13</v>
      </c>
      <c r="AF908" s="84" t="n">
        <v>0.8</v>
      </c>
      <c r="AG908" s="84" t="n">
        <v>0.9</v>
      </c>
      <c r="AH908" s="84" t="n">
        <v>0</v>
      </c>
      <c r="AI908" s="84" t="n">
        <v>0</v>
      </c>
      <c r="AJ908" s="84">
        <f>SUMIFS(AH$8:AH$1039,$O$8:$O$1039,O908,$AB$8:$AB$1039,AB908,$R$8:$R$1039,R908,$AA$8:$AA$1039,"&lt;="&amp;AA908)</f>
        <v/>
      </c>
      <c r="AK908" s="84">
        <f>C85</f>
        <v/>
      </c>
      <c r="AL908" s="84">
        <f>C91</f>
        <v/>
      </c>
      <c r="AM908" s="84">
        <f>MAX(0,AJ908-AK908)</f>
        <v/>
      </c>
      <c r="AN908" s="84">
        <f>IF(AM908=0,AH908,IF(AM908&gt;=AH908,0,AH908-AM908))</f>
        <v/>
      </c>
      <c r="AO908" s="84">
        <f>IF(AM908&gt;=AH908,AI908,AI908*AM908/AH908)</f>
        <v/>
      </c>
      <c r="AP908">
        <f t="array" ref="AP908">INDEX($AU$8:$BB$25,6*(R908-1)+MATCH(AB908,$AS$8:$AS$13,0),MATCH(O908,$AU$7:$BB$7,0))</f>
        <v/>
      </c>
    </row>
    <row r="909" ht="14.25" customHeight="1">
      <c r="O909" s="43" t="inlineStr">
        <is>
          <t>Q3’27</t>
        </is>
      </c>
      <c r="P909" s="43" t="n">
        <v>3</v>
      </c>
      <c r="Q909" s="43" t="n">
        <v>17</v>
      </c>
      <c r="R909" s="43" t="n">
        <v>2</v>
      </c>
      <c r="S909" s="45" t="n">
        <v>3671.491764705882</v>
      </c>
      <c r="T909">
        <f>(S908+S909+S910)=T4</f>
        <v/>
      </c>
      <c r="X909" s="84">
        <f>MAX(S906-S909,0)</f>
        <v/>
      </c>
      <c r="Y909" s="83" t="n">
        <v>0</v>
      </c>
      <c r="AA909" s="84" t="n">
        <v>1</v>
      </c>
      <c r="AB909" s="84" t="inlineStr">
        <is>
          <t>F</t>
        </is>
      </c>
      <c r="AC909" s="84" t="inlineStr">
        <is>
          <t>F+</t>
        </is>
      </c>
      <c r="AD909" s="84" t="n">
        <v>14</v>
      </c>
      <c r="AE909" s="84" t="n">
        <v>13</v>
      </c>
      <c r="AF909" s="84" t="n">
        <v>0.8</v>
      </c>
      <c r="AG909" s="84" t="n">
        <v>0.9</v>
      </c>
      <c r="AH909" s="84" t="n">
        <v>0</v>
      </c>
      <c r="AI909" s="84" t="n">
        <v>0</v>
      </c>
      <c r="AJ909" s="84">
        <f>SUMIFS(AH$8:AH$1039,$O$8:$O$1039,O909,$AB$8:$AB$1039,AB909,$R$8:$R$1039,R909,$AA$8:$AA$1039,"&lt;="&amp;AA909)</f>
        <v/>
      </c>
      <c r="AK909" s="84">
        <f>D85</f>
        <v/>
      </c>
      <c r="AL909" s="84">
        <f>D91</f>
        <v/>
      </c>
      <c r="AM909" s="84">
        <f>MAX(0,AJ909-AK909)</f>
        <v/>
      </c>
      <c r="AN909" s="84">
        <f>IF(AM909=0,AH909,IF(AM909&gt;=AH909,0,AH909-AM909))</f>
        <v/>
      </c>
      <c r="AO909" s="84">
        <f>IF(AM909&gt;=AH909,AI909,AI909*AM909/AH909)</f>
        <v/>
      </c>
      <c r="AP909">
        <f t="array" ref="AP909">INDEX($AU$8:$BB$25,6*(R909-1)+MATCH(AB909,$AS$8:$AS$13,0),MATCH(O909,$AU$7:$BB$7,0))</f>
        <v/>
      </c>
    </row>
    <row r="910" ht="14.25" customHeight="1">
      <c r="O910" s="43" t="inlineStr">
        <is>
          <t>Q3’27</t>
        </is>
      </c>
      <c r="P910" s="43" t="n">
        <v>3</v>
      </c>
      <c r="Q910" s="43" t="n">
        <v>17</v>
      </c>
      <c r="R910" s="43" t="n">
        <v>3</v>
      </c>
      <c r="S910" s="45" t="n">
        <v>2348.790588235294</v>
      </c>
      <c r="T910">
        <f>(S908+S909+S910)=T4</f>
        <v/>
      </c>
      <c r="X910" s="84">
        <f>MAX(S907-S910,0)</f>
        <v/>
      </c>
      <c r="Y910" s="83" t="n">
        <v>0</v>
      </c>
      <c r="AA910" s="84" t="n">
        <v>1</v>
      </c>
      <c r="AB910" s="84" t="inlineStr">
        <is>
          <t>F</t>
        </is>
      </c>
      <c r="AC910" s="84" t="inlineStr">
        <is>
          <t>F+</t>
        </is>
      </c>
      <c r="AD910" s="84" t="n">
        <v>14</v>
      </c>
      <c r="AE910" s="84" t="n">
        <v>13</v>
      </c>
      <c r="AF910" s="84" t="n">
        <v>0.8</v>
      </c>
      <c r="AG910" s="84" t="n">
        <v>0.9</v>
      </c>
      <c r="AH910" s="84" t="n">
        <v>0</v>
      </c>
      <c r="AI910" s="84" t="n">
        <v>0</v>
      </c>
      <c r="AJ910" s="84">
        <f>SUMIFS(AH$8:AH$1039,$O$8:$O$1039,O910,$AB$8:$AB$1039,AB910,$R$8:$R$1039,R910,$AA$8:$AA$1039,"&lt;="&amp;AA910)</f>
        <v/>
      </c>
      <c r="AK910" s="84">
        <f>E85</f>
        <v/>
      </c>
      <c r="AL910" s="84">
        <f>E91</f>
        <v/>
      </c>
      <c r="AM910" s="84">
        <f>MAX(0,AJ910-AK910)</f>
        <v/>
      </c>
      <c r="AN910" s="84">
        <f>IF(AM910=0,AH910,IF(AM910&gt;=AH910,0,AH910-AM910))</f>
        <v/>
      </c>
      <c r="AO910" s="84">
        <f>IF(AM910&gt;=AH910,AI910,AI910*AM910/AH910)</f>
        <v/>
      </c>
      <c r="AP910">
        <f t="array" ref="AP910">INDEX($AU$8:$BB$25,6*(R910-1)+MATCH(AB910,$AS$8:$AS$13,0),MATCH(O910,$AU$7:$BB$7,0))</f>
        <v/>
      </c>
    </row>
    <row r="911" ht="14.25" customHeight="1">
      <c r="O911" s="43" t="inlineStr">
        <is>
          <t>Q4’27</t>
        </is>
      </c>
      <c r="P911" s="43" t="n">
        <v>1</v>
      </c>
      <c r="Q911" s="43" t="n">
        <v>1</v>
      </c>
      <c r="R911" s="43" t="n">
        <v>1</v>
      </c>
      <c r="S911" s="45" t="n">
        <v>1240</v>
      </c>
      <c r="T911">
        <f>(S911+S912+S913)=U2</f>
        <v/>
      </c>
      <c r="X911" s="84" t="n">
        <v>0</v>
      </c>
      <c r="Y911" s="83" t="n">
        <v>0</v>
      </c>
      <c r="AA911" s="84" t="n">
        <v>4</v>
      </c>
      <c r="AB911" s="84" t="inlineStr">
        <is>
          <t>D</t>
        </is>
      </c>
      <c r="AC911" s="84" t="inlineStr">
        <is>
          <t>D+</t>
        </is>
      </c>
      <c r="AD911" s="84" t="n">
        <v>14</v>
      </c>
      <c r="AE911" s="84" t="n">
        <v>12</v>
      </c>
      <c r="AF911" s="84" t="n">
        <v>0.8</v>
      </c>
      <c r="AG911" s="84" t="n">
        <v>0.88</v>
      </c>
      <c r="AH911" s="84" t="n">
        <v>0</v>
      </c>
      <c r="AI911" s="84" t="n">
        <v>0</v>
      </c>
      <c r="AJ911" s="84">
        <f>SUMIFS(AH$8:AH$1039,$O$8:$O$1039,O911,$AB$8:$AB$1039,AB911,$R$8:$R$1039,R911,$AA$8:$AA$1039,"&lt;="&amp;AA911)</f>
        <v/>
      </c>
      <c r="AK911" s="84">
        <f>C95</f>
        <v/>
      </c>
      <c r="AL911" s="84">
        <f>C101</f>
        <v/>
      </c>
      <c r="AM911" s="84">
        <f>MAX(0,AJ911-AK911)</f>
        <v/>
      </c>
      <c r="AN911" s="84">
        <f>IF(AM911=0,AH911,IF(AM911&gt;=AH911,0,AH911-AM911))</f>
        <v/>
      </c>
      <c r="AO911" s="84">
        <f>IF(AM911&gt;=AH911,AI911,AI911*AM911/AH911)</f>
        <v/>
      </c>
      <c r="AP911">
        <f t="array" ref="AP911">INDEX($AU$8:$BB$25,6*(R911-1)+MATCH(AB911,$AS$8:$AS$13,0),MATCH(O911,$AU$7:$BB$7,0))</f>
        <v/>
      </c>
    </row>
    <row r="912" ht="14.25" customHeight="1">
      <c r="O912" s="43" t="inlineStr">
        <is>
          <t>Q4’27</t>
        </is>
      </c>
      <c r="P912" s="43" t="n">
        <v>1</v>
      </c>
      <c r="Q912" s="43" t="n">
        <v>1</v>
      </c>
      <c r="R912" s="43" t="n">
        <v>2</v>
      </c>
      <c r="S912" s="45" t="n">
        <v>-0</v>
      </c>
      <c r="T912">
        <f>(S911+S912+S913)=U2</f>
        <v/>
      </c>
      <c r="X912" s="84" t="n">
        <v>0</v>
      </c>
      <c r="Y912" s="83" t="n">
        <v>0</v>
      </c>
      <c r="AA912" s="84" t="n">
        <v>4</v>
      </c>
      <c r="AB912" s="84" t="inlineStr">
        <is>
          <t>D</t>
        </is>
      </c>
      <c r="AC912" s="84" t="inlineStr">
        <is>
          <t>D+</t>
        </is>
      </c>
      <c r="AD912" s="84" t="n">
        <v>14</v>
      </c>
      <c r="AE912" s="84" t="n">
        <v>12</v>
      </c>
      <c r="AF912" s="84" t="n">
        <v>0.8</v>
      </c>
      <c r="AG912" s="84" t="n">
        <v>0.88</v>
      </c>
      <c r="AH912" s="84" t="n">
        <v>0</v>
      </c>
      <c r="AI912" s="84" t="n">
        <v>0</v>
      </c>
      <c r="AJ912" s="84">
        <f>SUMIFS(AH$8:AH$1039,$O$8:$O$1039,O912,$AB$8:$AB$1039,AB912,$R$8:$R$1039,R912,$AA$8:$AA$1039,"&lt;="&amp;AA912)</f>
        <v/>
      </c>
      <c r="AK912" s="84">
        <f>D95</f>
        <v/>
      </c>
      <c r="AL912" s="84">
        <f>D101</f>
        <v/>
      </c>
      <c r="AM912" s="84">
        <f>MAX(0,AJ912-AK912)</f>
        <v/>
      </c>
      <c r="AN912" s="84">
        <f>IF(AM912=0,AH912,IF(AM912&gt;=AH912,0,AH912-AM912))</f>
        <v/>
      </c>
      <c r="AO912" s="84">
        <f>IF(AM912&gt;=AH912,AI912,AI912*AM912/AH912)</f>
        <v/>
      </c>
      <c r="AP912">
        <f t="array" ref="AP912">INDEX($AU$8:$BB$25,6*(R912-1)+MATCH(AB912,$AS$8:$AS$13,0),MATCH(O912,$AU$7:$BB$7,0))</f>
        <v/>
      </c>
    </row>
    <row r="913" ht="14.25" customHeight="1">
      <c r="O913" s="43" t="inlineStr">
        <is>
          <t>Q4’27</t>
        </is>
      </c>
      <c r="P913" s="43" t="n">
        <v>1</v>
      </c>
      <c r="Q913" s="43" t="n">
        <v>1</v>
      </c>
      <c r="R913" s="43" t="n">
        <v>3</v>
      </c>
      <c r="S913" s="45" t="n">
        <v>0</v>
      </c>
      <c r="T913">
        <f>(S911+S912+S913)=U2</f>
        <v/>
      </c>
      <c r="X913" s="84" t="n">
        <v>0</v>
      </c>
      <c r="Y913" s="83" t="n">
        <v>0</v>
      </c>
      <c r="AA913" s="84" t="n">
        <v>4</v>
      </c>
      <c r="AB913" s="84" t="inlineStr">
        <is>
          <t>D</t>
        </is>
      </c>
      <c r="AC913" s="84" t="inlineStr">
        <is>
          <t>D+</t>
        </is>
      </c>
      <c r="AD913" s="84" t="n">
        <v>14</v>
      </c>
      <c r="AE913" s="84" t="n">
        <v>12</v>
      </c>
      <c r="AF913" s="84" t="n">
        <v>0.8</v>
      </c>
      <c r="AG913" s="84" t="n">
        <v>0.88</v>
      </c>
      <c r="AH913" s="84" t="n">
        <v>0</v>
      </c>
      <c r="AI913" s="84" t="n">
        <v>0</v>
      </c>
      <c r="AJ913" s="84">
        <f>SUMIFS(AH$8:AH$1039,$O$8:$O$1039,O913,$AB$8:$AB$1039,AB913,$R$8:$R$1039,R913,$AA$8:$AA$1039,"&lt;="&amp;AA913)</f>
        <v/>
      </c>
      <c r="AK913" s="84">
        <f>E95</f>
        <v/>
      </c>
      <c r="AL913" s="84">
        <f>E101</f>
        <v/>
      </c>
      <c r="AM913" s="84">
        <f>MAX(0,AJ913-AK913)</f>
        <v/>
      </c>
      <c r="AN913" s="84">
        <f>IF(AM913=0,AH913,IF(AM913&gt;=AH913,0,AH913-AM913))</f>
        <v/>
      </c>
      <c r="AO913" s="84">
        <f>IF(AM913&gt;=AH913,AI913,AI913*AM913/AH913)</f>
        <v/>
      </c>
      <c r="AP913">
        <f t="array" ref="AP913">INDEX($AU$8:$BB$25,6*(R913-1)+MATCH(AB913,$AS$8:$AS$13,0),MATCH(O913,$AU$7:$BB$7,0))</f>
        <v/>
      </c>
    </row>
    <row r="914" ht="14.25" customHeight="1">
      <c r="O914" s="43" t="inlineStr">
        <is>
          <t>Q4’27</t>
        </is>
      </c>
      <c r="P914" s="43" t="n">
        <v>1</v>
      </c>
      <c r="Q914" s="43" t="n">
        <v>2</v>
      </c>
      <c r="R914" s="43" t="n">
        <v>1</v>
      </c>
      <c r="S914" s="45" t="n">
        <v>1240</v>
      </c>
      <c r="T914">
        <f>(S914+S915+S916)=U2</f>
        <v/>
      </c>
      <c r="X914" s="84">
        <f>MAX(S911-S914,0)</f>
        <v/>
      </c>
      <c r="Y914" s="83" t="n">
        <v>0</v>
      </c>
      <c r="AA914" s="84" t="n">
        <v>10</v>
      </c>
      <c r="AB914" s="84" t="inlineStr">
        <is>
          <t>F</t>
        </is>
      </c>
      <c r="AC914" s="84" t="inlineStr">
        <is>
          <t>F+</t>
        </is>
      </c>
      <c r="AD914" s="84" t="n">
        <v>25</v>
      </c>
      <c r="AE914" s="84" t="n">
        <v>21</v>
      </c>
      <c r="AF914" s="84" t="n">
        <v>0.8</v>
      </c>
      <c r="AG914" s="84" t="n">
        <v>0.9</v>
      </c>
      <c r="AH914" s="84" t="n">
        <v>0</v>
      </c>
      <c r="AI914" s="84" t="n">
        <v>0</v>
      </c>
      <c r="AJ914" s="84">
        <f>SUMIFS(AH$8:AH$1039,$O$8:$O$1039,O914,$AB$8:$AB$1039,AB914,$R$8:$R$1039,R914,$AA$8:$AA$1039,"&lt;="&amp;AA914)</f>
        <v/>
      </c>
      <c r="AK914" s="84">
        <f>C97</f>
        <v/>
      </c>
      <c r="AL914" s="84">
        <f>C103</f>
        <v/>
      </c>
      <c r="AM914" s="84">
        <f>MAX(0,AJ914-AK914)</f>
        <v/>
      </c>
      <c r="AN914" s="84">
        <f>IF(AM914=0,AH914,IF(AM914&gt;=AH914,0,AH914-AM914))</f>
        <v/>
      </c>
      <c r="AO914" s="84">
        <f>IF(AM914&gt;=AH914,AI914,AI914*AM914/AH914)</f>
        <v/>
      </c>
      <c r="AP914">
        <f t="array" ref="AP914">INDEX($AU$8:$BB$25,6*(R914-1)+MATCH(AB914,$AS$8:$AS$13,0),MATCH(O914,$AU$7:$BB$7,0))</f>
        <v/>
      </c>
    </row>
    <row r="915" ht="14.25" customHeight="1">
      <c r="O915" s="43" t="inlineStr">
        <is>
          <t>Q4’27</t>
        </is>
      </c>
      <c r="P915" s="43" t="n">
        <v>1</v>
      </c>
      <c r="Q915" s="43" t="n">
        <v>2</v>
      </c>
      <c r="R915" s="43" t="n">
        <v>2</v>
      </c>
      <c r="S915" s="45" t="n">
        <v>-0</v>
      </c>
      <c r="T915">
        <f>(S914+S915+S916)=U2</f>
        <v/>
      </c>
      <c r="X915" s="84">
        <f>MAX(S912-S915,0)</f>
        <v/>
      </c>
      <c r="Y915" s="83" t="n">
        <v>0</v>
      </c>
      <c r="AA915" s="84" t="n">
        <v>10</v>
      </c>
      <c r="AB915" s="84" t="inlineStr">
        <is>
          <t>F</t>
        </is>
      </c>
      <c r="AC915" s="84" t="inlineStr">
        <is>
          <t>F+</t>
        </is>
      </c>
      <c r="AD915" s="84" t="n">
        <v>25</v>
      </c>
      <c r="AE915" s="84" t="n">
        <v>21</v>
      </c>
      <c r="AF915" s="84" t="n">
        <v>0.8</v>
      </c>
      <c r="AG915" s="84" t="n">
        <v>0.9</v>
      </c>
      <c r="AH915" s="84" t="n">
        <v>0</v>
      </c>
      <c r="AI915" s="84" t="n">
        <v>0</v>
      </c>
      <c r="AJ915" s="84">
        <f>SUMIFS(AH$8:AH$1039,$O$8:$O$1039,O915,$AB$8:$AB$1039,AB915,$R$8:$R$1039,R915,$AA$8:$AA$1039,"&lt;="&amp;AA915)</f>
        <v/>
      </c>
      <c r="AK915" s="84">
        <f>D97</f>
        <v/>
      </c>
      <c r="AL915" s="84">
        <f>D103</f>
        <v/>
      </c>
      <c r="AM915" s="84">
        <f>MAX(0,AJ915-AK915)</f>
        <v/>
      </c>
      <c r="AN915" s="84">
        <f>IF(AM915=0,AH915,IF(AM915&gt;=AH915,0,AH915-AM915))</f>
        <v/>
      </c>
      <c r="AO915" s="84">
        <f>IF(AM915&gt;=AH915,AI915,AI915*AM915/AH915)</f>
        <v/>
      </c>
      <c r="AP915">
        <f t="array" ref="AP915">INDEX($AU$8:$BB$25,6*(R915-1)+MATCH(AB915,$AS$8:$AS$13,0),MATCH(O915,$AU$7:$BB$7,0))</f>
        <v/>
      </c>
    </row>
    <row r="916" ht="14.25" customHeight="1">
      <c r="O916" s="43" t="inlineStr">
        <is>
          <t>Q4’27</t>
        </is>
      </c>
      <c r="P916" s="43" t="n">
        <v>1</v>
      </c>
      <c r="Q916" s="43" t="n">
        <v>2</v>
      </c>
      <c r="R916" s="43" t="n">
        <v>3</v>
      </c>
      <c r="S916" s="45" t="n">
        <v>-0</v>
      </c>
      <c r="T916">
        <f>(S914+S915+S916)=U2</f>
        <v/>
      </c>
      <c r="X916" s="84">
        <f>MAX(S913-S916,0)</f>
        <v/>
      </c>
      <c r="Y916" s="83" t="n">
        <v>0</v>
      </c>
      <c r="AA916" s="84" t="n">
        <v>10</v>
      </c>
      <c r="AB916" s="84" t="inlineStr">
        <is>
          <t>F</t>
        </is>
      </c>
      <c r="AC916" s="84" t="inlineStr">
        <is>
          <t>F+</t>
        </is>
      </c>
      <c r="AD916" s="84" t="n">
        <v>25</v>
      </c>
      <c r="AE916" s="84" t="n">
        <v>21</v>
      </c>
      <c r="AF916" s="84" t="n">
        <v>0.8</v>
      </c>
      <c r="AG916" s="84" t="n">
        <v>0.9</v>
      </c>
      <c r="AH916" s="84" t="n">
        <v>0</v>
      </c>
      <c r="AI916" s="84" t="n">
        <v>0</v>
      </c>
      <c r="AJ916" s="84">
        <f>SUMIFS(AH$8:AH$1039,$O$8:$O$1039,O916,$AB$8:$AB$1039,AB916,$R$8:$R$1039,R916,$AA$8:$AA$1039,"&lt;="&amp;AA916)</f>
        <v/>
      </c>
      <c r="AK916" s="84">
        <f>E97</f>
        <v/>
      </c>
      <c r="AL916" s="84">
        <f>E103</f>
        <v/>
      </c>
      <c r="AM916" s="84">
        <f>MAX(0,AJ916-AK916)</f>
        <v/>
      </c>
      <c r="AN916" s="84">
        <f>IF(AM916=0,AH916,IF(AM916&gt;=AH916,0,AH916-AM916))</f>
        <v/>
      </c>
      <c r="AO916" s="84">
        <f>IF(AM916&gt;=AH916,AI916,AI916*AM916/AH916)</f>
        <v/>
      </c>
      <c r="AP916">
        <f t="array" ref="AP916">INDEX($AU$8:$BB$25,6*(R916-1)+MATCH(AB916,$AS$8:$AS$13,0),MATCH(O916,$AU$7:$BB$7,0))</f>
        <v/>
      </c>
    </row>
    <row r="917" ht="14.25" customHeight="1">
      <c r="O917" s="43" t="inlineStr">
        <is>
          <t>Q4’27</t>
        </is>
      </c>
      <c r="P917" s="43" t="n">
        <v>1</v>
      </c>
      <c r="Q917" s="43" t="n">
        <v>3</v>
      </c>
      <c r="R917" s="43" t="n">
        <v>1</v>
      </c>
      <c r="S917" s="45" t="n">
        <v>1240</v>
      </c>
      <c r="T917">
        <f>(S917+S918+S919)=U2</f>
        <v/>
      </c>
      <c r="X917" s="84">
        <f>MAX(S914-S917,0)</f>
        <v/>
      </c>
      <c r="Y917" s="83" t="n">
        <v>0</v>
      </c>
      <c r="AA917" s="84" t="n">
        <v>8</v>
      </c>
      <c r="AB917" s="84" t="inlineStr">
        <is>
          <t>F</t>
        </is>
      </c>
      <c r="AC917" s="84" t="inlineStr">
        <is>
          <t>F+</t>
        </is>
      </c>
      <c r="AD917" s="84" t="n">
        <v>27</v>
      </c>
      <c r="AE917" s="84" t="n">
        <v>23</v>
      </c>
      <c r="AF917" s="84" t="n">
        <v>0.8</v>
      </c>
      <c r="AG917" s="84" t="n">
        <v>0.9</v>
      </c>
      <c r="AH917" s="84" t="n">
        <v>0</v>
      </c>
      <c r="AI917" s="84" t="n">
        <v>0</v>
      </c>
      <c r="AJ917" s="84">
        <f>SUMIFS(AH$8:AH$1039,$O$8:$O$1039,O917,$AB$8:$AB$1039,AB917,$R$8:$R$1039,R917,$AA$8:$AA$1039,"&lt;="&amp;AA917)</f>
        <v/>
      </c>
      <c r="AK917" s="84">
        <f>C97</f>
        <v/>
      </c>
      <c r="AL917" s="84">
        <f>C103</f>
        <v/>
      </c>
      <c r="AM917" s="84">
        <f>MAX(0,AJ917-AK917)</f>
        <v/>
      </c>
      <c r="AN917" s="84">
        <f>IF(AM917=0,AH917,IF(AM917&gt;=AH917,0,AH917-AM917))</f>
        <v/>
      </c>
      <c r="AO917" s="84">
        <f>IF(AM917&gt;=AH917,AI917,AI917*AM917/AH917)</f>
        <v/>
      </c>
      <c r="AP917">
        <f t="array" ref="AP917">INDEX($AU$8:$BB$25,6*(R917-1)+MATCH(AB917,$AS$8:$AS$13,0),MATCH(O917,$AU$7:$BB$7,0))</f>
        <v/>
      </c>
    </row>
    <row r="918" ht="14.25" customHeight="1">
      <c r="O918" s="43" t="inlineStr">
        <is>
          <t>Q4’27</t>
        </is>
      </c>
      <c r="P918" s="43" t="n">
        <v>1</v>
      </c>
      <c r="Q918" s="43" t="n">
        <v>3</v>
      </c>
      <c r="R918" s="43" t="n">
        <v>2</v>
      </c>
      <c r="S918" s="45" t="n">
        <v>-0</v>
      </c>
      <c r="T918">
        <f>(S917+S918+S919)=U2</f>
        <v/>
      </c>
      <c r="X918" s="84">
        <f>MAX(S915-S918,0)</f>
        <v/>
      </c>
      <c r="Y918" s="83" t="n">
        <v>0</v>
      </c>
      <c r="AA918" s="84" t="n">
        <v>8</v>
      </c>
      <c r="AB918" s="84" t="inlineStr">
        <is>
          <t>F</t>
        </is>
      </c>
      <c r="AC918" s="84" t="inlineStr">
        <is>
          <t>F+</t>
        </is>
      </c>
      <c r="AD918" s="84" t="n">
        <v>27</v>
      </c>
      <c r="AE918" s="84" t="n">
        <v>23</v>
      </c>
      <c r="AF918" s="84" t="n">
        <v>0.8</v>
      </c>
      <c r="AG918" s="84" t="n">
        <v>0.9</v>
      </c>
      <c r="AH918" s="84" t="n">
        <v>0</v>
      </c>
      <c r="AI918" s="84" t="n">
        <v>0</v>
      </c>
      <c r="AJ918" s="84">
        <f>SUMIFS(AH$8:AH$1039,$O$8:$O$1039,O918,$AB$8:$AB$1039,AB918,$R$8:$R$1039,R918,$AA$8:$AA$1039,"&lt;="&amp;AA918)</f>
        <v/>
      </c>
      <c r="AK918" s="84">
        <f>D97</f>
        <v/>
      </c>
      <c r="AL918" s="84">
        <f>D103</f>
        <v/>
      </c>
      <c r="AM918" s="84">
        <f>MAX(0,AJ918-AK918)</f>
        <v/>
      </c>
      <c r="AN918" s="84">
        <f>IF(AM918=0,AH918,IF(AM918&gt;=AH918,0,AH918-AM918))</f>
        <v/>
      </c>
      <c r="AO918" s="84">
        <f>IF(AM918&gt;=AH918,AI918,AI918*AM918/AH918)</f>
        <v/>
      </c>
      <c r="AP918">
        <f t="array" ref="AP918">INDEX($AU$8:$BB$25,6*(R918-1)+MATCH(AB918,$AS$8:$AS$13,0),MATCH(O918,$AU$7:$BB$7,0))</f>
        <v/>
      </c>
    </row>
    <row r="919" ht="14.25" customHeight="1">
      <c r="O919" s="43" t="inlineStr">
        <is>
          <t>Q4’27</t>
        </is>
      </c>
      <c r="P919" s="43" t="n">
        <v>1</v>
      </c>
      <c r="Q919" s="43" t="n">
        <v>3</v>
      </c>
      <c r="R919" s="43" t="n">
        <v>3</v>
      </c>
      <c r="S919" s="45" t="n">
        <v>0</v>
      </c>
      <c r="T919">
        <f>(S917+S918+S919)=U2</f>
        <v/>
      </c>
      <c r="X919" s="84">
        <f>MAX(S916-S919,0)</f>
        <v/>
      </c>
      <c r="Y919" s="83" t="n">
        <v>0</v>
      </c>
      <c r="AA919" s="84" t="n">
        <v>8</v>
      </c>
      <c r="AB919" s="84" t="inlineStr">
        <is>
          <t>F</t>
        </is>
      </c>
      <c r="AC919" s="84" t="inlineStr">
        <is>
          <t>F+</t>
        </is>
      </c>
      <c r="AD919" s="84" t="n">
        <v>27</v>
      </c>
      <c r="AE919" s="84" t="n">
        <v>23</v>
      </c>
      <c r="AF919" s="84" t="n">
        <v>0.8</v>
      </c>
      <c r="AG919" s="84" t="n">
        <v>0.9</v>
      </c>
      <c r="AH919" s="84" t="n">
        <v>0</v>
      </c>
      <c r="AI919" s="84" t="n">
        <v>0</v>
      </c>
      <c r="AJ919" s="84">
        <f>SUMIFS(AH$8:AH$1039,$O$8:$O$1039,O919,$AB$8:$AB$1039,AB919,$R$8:$R$1039,R919,$AA$8:$AA$1039,"&lt;="&amp;AA919)</f>
        <v/>
      </c>
      <c r="AK919" s="84">
        <f>E97</f>
        <v/>
      </c>
      <c r="AL919" s="84">
        <f>E103</f>
        <v/>
      </c>
      <c r="AM919" s="84">
        <f>MAX(0,AJ919-AK919)</f>
        <v/>
      </c>
      <c r="AN919" s="84">
        <f>IF(AM919=0,AH919,IF(AM919&gt;=AH919,0,AH919-AM919))</f>
        <v/>
      </c>
      <c r="AO919" s="84">
        <f>IF(AM919&gt;=AH919,AI919,AI919*AM919/AH919)</f>
        <v/>
      </c>
      <c r="AP919">
        <f t="array" ref="AP919">INDEX($AU$8:$BB$25,6*(R919-1)+MATCH(AB919,$AS$8:$AS$13,0),MATCH(O919,$AU$7:$BB$7,0))</f>
        <v/>
      </c>
    </row>
    <row r="920" ht="14.25" customHeight="1">
      <c r="O920" s="43" t="inlineStr">
        <is>
          <t>Q4’27</t>
        </is>
      </c>
      <c r="P920" s="43" t="n">
        <v>1</v>
      </c>
      <c r="Q920" s="43" t="n">
        <v>4</v>
      </c>
      <c r="R920" s="43" t="n">
        <v>1</v>
      </c>
      <c r="S920" s="45" t="n">
        <v>1240</v>
      </c>
      <c r="T920">
        <f>(S920+S921+S922)=U2</f>
        <v/>
      </c>
      <c r="X920" s="84">
        <f>MAX(S917-S920,0)</f>
        <v/>
      </c>
      <c r="Y920" s="83" t="n">
        <v>0</v>
      </c>
      <c r="AA920" s="84" t="n">
        <v>3</v>
      </c>
      <c r="AB920" s="84" t="inlineStr">
        <is>
          <t>A</t>
        </is>
      </c>
      <c r="AC920" s="84" t="inlineStr">
        <is>
          <t>A+</t>
        </is>
      </c>
      <c r="AD920" s="84" t="n">
        <v>20</v>
      </c>
      <c r="AE920" s="84" t="n">
        <v>16</v>
      </c>
      <c r="AF920" s="84" t="n">
        <v>0.78</v>
      </c>
      <c r="AG920" s="84" t="n">
        <v>0.84</v>
      </c>
      <c r="AH920" s="84" t="n">
        <v>0</v>
      </c>
      <c r="AI920" s="84" t="n">
        <v>0</v>
      </c>
      <c r="AJ920" s="84">
        <f>SUMIFS(AH$8:AH$1039,$O$8:$O$1039,O920,$AB$8:$AB$1039,AB920,$R$8:$R$1039,R920,$AA$8:$AA$1039,"&lt;="&amp;AA920)</f>
        <v/>
      </c>
      <c r="AK920" s="84">
        <f>C92</f>
        <v/>
      </c>
      <c r="AL920" s="84">
        <f>C98</f>
        <v/>
      </c>
      <c r="AM920" s="84">
        <f>MAX(0,AJ920-AK920)</f>
        <v/>
      </c>
      <c r="AN920" s="84">
        <f>IF(AM920=0,AH920,IF(AM920&gt;=AH920,0,AH920-AM920))</f>
        <v/>
      </c>
      <c r="AO920" s="84">
        <f>IF(AM920&gt;=AH920,AI920,AI920*AM920/AH920)</f>
        <v/>
      </c>
      <c r="AP920">
        <f t="array" ref="AP920">INDEX($AU$8:$BB$25,6*(R920-1)+MATCH(AB920,$AS$8:$AS$13,0),MATCH(O920,$AU$7:$BB$7,0))</f>
        <v/>
      </c>
    </row>
    <row r="921" ht="14.25" customHeight="1">
      <c r="O921" s="43" t="inlineStr">
        <is>
          <t>Q4’27</t>
        </is>
      </c>
      <c r="P921" s="43" t="n">
        <v>1</v>
      </c>
      <c r="Q921" s="43" t="n">
        <v>4</v>
      </c>
      <c r="R921" s="43" t="n">
        <v>2</v>
      </c>
      <c r="S921" s="45" t="n">
        <v>0</v>
      </c>
      <c r="T921">
        <f>(S920+S921+S922)=U2</f>
        <v/>
      </c>
      <c r="X921" s="84">
        <f>MAX(S918-S921,0)</f>
        <v/>
      </c>
      <c r="Y921" s="83" t="n">
        <v>0</v>
      </c>
      <c r="AA921" s="84" t="n">
        <v>3</v>
      </c>
      <c r="AB921" s="84" t="inlineStr">
        <is>
          <t>A</t>
        </is>
      </c>
      <c r="AC921" s="84" t="inlineStr">
        <is>
          <t>A+</t>
        </is>
      </c>
      <c r="AD921" s="84" t="n">
        <v>20</v>
      </c>
      <c r="AE921" s="84" t="n">
        <v>16</v>
      </c>
      <c r="AF921" s="84" t="n">
        <v>0.78</v>
      </c>
      <c r="AG921" s="84" t="n">
        <v>0.84</v>
      </c>
      <c r="AH921" s="84" t="n">
        <v>0</v>
      </c>
      <c r="AI921" s="84" t="n">
        <v>0</v>
      </c>
      <c r="AJ921" s="84">
        <f>SUMIFS(AH$8:AH$1039,$O$8:$O$1039,O921,$AB$8:$AB$1039,AB921,$R$8:$R$1039,R921,$AA$8:$AA$1039,"&lt;="&amp;AA921)</f>
        <v/>
      </c>
      <c r="AK921" s="84">
        <f>D92</f>
        <v/>
      </c>
      <c r="AL921" s="84">
        <f>D98</f>
        <v/>
      </c>
      <c r="AM921" s="84">
        <f>MAX(0,AJ921-AK921)</f>
        <v/>
      </c>
      <c r="AN921" s="84">
        <f>IF(AM921=0,AH921,IF(AM921&gt;=AH921,0,AH921-AM921))</f>
        <v/>
      </c>
      <c r="AO921" s="84">
        <f>IF(AM921&gt;=AH921,AI921,AI921*AM921/AH921)</f>
        <v/>
      </c>
      <c r="AP921">
        <f t="array" ref="AP921">INDEX($AU$8:$BB$25,6*(R921-1)+MATCH(AB921,$AS$8:$AS$13,0),MATCH(O921,$AU$7:$BB$7,0))</f>
        <v/>
      </c>
    </row>
    <row r="922" ht="14.25" customHeight="1">
      <c r="O922" s="43" t="inlineStr">
        <is>
          <t>Q4’27</t>
        </is>
      </c>
      <c r="P922" s="43" t="n">
        <v>1</v>
      </c>
      <c r="Q922" s="43" t="n">
        <v>4</v>
      </c>
      <c r="R922" s="43" t="n">
        <v>3</v>
      </c>
      <c r="S922" s="45" t="n">
        <v>0</v>
      </c>
      <c r="T922">
        <f>(S920+S921+S922)=U2</f>
        <v/>
      </c>
      <c r="X922" s="84">
        <f>MAX(S919-S922,0)</f>
        <v/>
      </c>
      <c r="Y922" s="83" t="n">
        <v>0</v>
      </c>
      <c r="AA922" s="84" t="n">
        <v>3</v>
      </c>
      <c r="AB922" s="84" t="inlineStr">
        <is>
          <t>A</t>
        </is>
      </c>
      <c r="AC922" s="84" t="inlineStr">
        <is>
          <t>A+</t>
        </is>
      </c>
      <c r="AD922" s="84" t="n">
        <v>20</v>
      </c>
      <c r="AE922" s="84" t="n">
        <v>16</v>
      </c>
      <c r="AF922" s="84" t="n">
        <v>0.78</v>
      </c>
      <c r="AG922" s="84" t="n">
        <v>0.84</v>
      </c>
      <c r="AH922" s="84" t="n">
        <v>0</v>
      </c>
      <c r="AI922" s="84" t="n">
        <v>0</v>
      </c>
      <c r="AJ922" s="84">
        <f>SUMIFS(AH$8:AH$1039,$O$8:$O$1039,O922,$AB$8:$AB$1039,AB922,$R$8:$R$1039,R922,$AA$8:$AA$1039,"&lt;="&amp;AA922)</f>
        <v/>
      </c>
      <c r="AK922" s="84">
        <f>E92</f>
        <v/>
      </c>
      <c r="AL922" s="84">
        <f>E98</f>
        <v/>
      </c>
      <c r="AM922" s="84">
        <f>MAX(0,AJ922-AK922)</f>
        <v/>
      </c>
      <c r="AN922" s="84">
        <f>IF(AM922=0,AH922,IF(AM922&gt;=AH922,0,AH922-AM922))</f>
        <v/>
      </c>
      <c r="AO922" s="84">
        <f>IF(AM922&gt;=AH922,AI922,AI922*AM922/AH922)</f>
        <v/>
      </c>
      <c r="AP922">
        <f t="array" ref="AP922">INDEX($AU$8:$BB$25,6*(R922-1)+MATCH(AB922,$AS$8:$AS$13,0),MATCH(O922,$AU$7:$BB$7,0))</f>
        <v/>
      </c>
    </row>
    <row r="923" ht="14.25" customHeight="1">
      <c r="O923" s="43" t="inlineStr">
        <is>
          <t>Q4’27</t>
        </is>
      </c>
      <c r="P923" s="43" t="n">
        <v>1</v>
      </c>
      <c r="Q923" s="43" t="n">
        <v>5</v>
      </c>
      <c r="R923" s="43" t="n">
        <v>1</v>
      </c>
      <c r="S923" s="45" t="n">
        <v>1240</v>
      </c>
      <c r="T923">
        <f>(S923+S924+S925)=U2</f>
        <v/>
      </c>
      <c r="X923" s="84">
        <f>MAX(S920-S923,0)</f>
        <v/>
      </c>
      <c r="Y923" s="83" t="n">
        <v>0</v>
      </c>
      <c r="AA923" s="84" t="n">
        <v>11</v>
      </c>
      <c r="AB923" s="84" t="inlineStr">
        <is>
          <t>F</t>
        </is>
      </c>
      <c r="AC923" s="84" t="inlineStr">
        <is>
          <t>F+</t>
        </is>
      </c>
      <c r="AD923" s="84" t="n">
        <v>12</v>
      </c>
      <c r="AE923" s="84" t="n">
        <v>9</v>
      </c>
      <c r="AF923" s="84" t="n">
        <v>0.8</v>
      </c>
      <c r="AG923" s="84" t="n">
        <v>0.9</v>
      </c>
      <c r="AH923" s="84" t="n">
        <v>0</v>
      </c>
      <c r="AI923" s="84" t="n">
        <v>0</v>
      </c>
      <c r="AJ923" s="84">
        <f>SUMIFS(AH$8:AH$1039,$O$8:$O$1039,O923,$AB$8:$AB$1039,AB923,$R$8:$R$1039,R923,$AA$8:$AA$1039,"&lt;="&amp;AA923)</f>
        <v/>
      </c>
      <c r="AK923" s="84">
        <f>C97</f>
        <v/>
      </c>
      <c r="AL923" s="84">
        <f>C103</f>
        <v/>
      </c>
      <c r="AM923" s="84">
        <f>MAX(0,AJ923-AK923)</f>
        <v/>
      </c>
      <c r="AN923" s="84">
        <f>IF(AM923=0,AH923,IF(AM923&gt;=AH923,0,AH923-AM923))</f>
        <v/>
      </c>
      <c r="AO923" s="84">
        <f>IF(AM923&gt;=AH923,AI923,AI923*AM923/AH923)</f>
        <v/>
      </c>
      <c r="AP923">
        <f t="array" ref="AP923">INDEX($AU$8:$BB$25,6*(R923-1)+MATCH(AB923,$AS$8:$AS$13,0),MATCH(O923,$AU$7:$BB$7,0))</f>
        <v/>
      </c>
    </row>
    <row r="924" ht="14.25" customHeight="1">
      <c r="O924" s="43" t="inlineStr">
        <is>
          <t>Q4’27</t>
        </is>
      </c>
      <c r="P924" s="43" t="n">
        <v>1</v>
      </c>
      <c r="Q924" s="43" t="n">
        <v>5</v>
      </c>
      <c r="R924" s="43" t="n">
        <v>2</v>
      </c>
      <c r="S924" s="45" t="n">
        <v>-0</v>
      </c>
      <c r="T924">
        <f>(S923+S924+S925)=U2</f>
        <v/>
      </c>
      <c r="X924" s="84">
        <f>MAX(S921-S924,0)</f>
        <v/>
      </c>
      <c r="Y924" s="83" t="n">
        <v>0</v>
      </c>
      <c r="AA924" s="84" t="n">
        <v>11</v>
      </c>
      <c r="AB924" s="84" t="inlineStr">
        <is>
          <t>F</t>
        </is>
      </c>
      <c r="AC924" s="84" t="inlineStr">
        <is>
          <t>F+</t>
        </is>
      </c>
      <c r="AD924" s="84" t="n">
        <v>12</v>
      </c>
      <c r="AE924" s="84" t="n">
        <v>9</v>
      </c>
      <c r="AF924" s="84" t="n">
        <v>0.8</v>
      </c>
      <c r="AG924" s="84" t="n">
        <v>0.9</v>
      </c>
      <c r="AH924" s="84" t="n">
        <v>0</v>
      </c>
      <c r="AI924" s="84" t="n">
        <v>0</v>
      </c>
      <c r="AJ924" s="84">
        <f>SUMIFS(AH$8:AH$1039,$O$8:$O$1039,O924,$AB$8:$AB$1039,AB924,$R$8:$R$1039,R924,$AA$8:$AA$1039,"&lt;="&amp;AA924)</f>
        <v/>
      </c>
      <c r="AK924" s="84">
        <f>D97</f>
        <v/>
      </c>
      <c r="AL924" s="84">
        <f>D103</f>
        <v/>
      </c>
      <c r="AM924" s="84">
        <f>MAX(0,AJ924-AK924)</f>
        <v/>
      </c>
      <c r="AN924" s="84">
        <f>IF(AM924=0,AH924,IF(AM924&gt;=AH924,0,AH924-AM924))</f>
        <v/>
      </c>
      <c r="AO924" s="84">
        <f>IF(AM924&gt;=AH924,AI924,AI924*AM924/AH924)</f>
        <v/>
      </c>
      <c r="AP924">
        <f t="array" ref="AP924">INDEX($AU$8:$BB$25,6*(R924-1)+MATCH(AB924,$AS$8:$AS$13,0),MATCH(O924,$AU$7:$BB$7,0))</f>
        <v/>
      </c>
    </row>
    <row r="925" ht="14.25" customHeight="1">
      <c r="O925" s="43" t="inlineStr">
        <is>
          <t>Q4’27</t>
        </is>
      </c>
      <c r="P925" s="43" t="n">
        <v>1</v>
      </c>
      <c r="Q925" s="43" t="n">
        <v>5</v>
      </c>
      <c r="R925" s="43" t="n">
        <v>3</v>
      </c>
      <c r="S925" s="45" t="n">
        <v>-0</v>
      </c>
      <c r="T925">
        <f>(S923+S924+S925)=U2</f>
        <v/>
      </c>
      <c r="X925" s="84">
        <f>MAX(S922-S925,0)</f>
        <v/>
      </c>
      <c r="Y925" s="83" t="n">
        <v>0</v>
      </c>
      <c r="AA925" s="84" t="n">
        <v>11</v>
      </c>
      <c r="AB925" s="84" t="inlineStr">
        <is>
          <t>F</t>
        </is>
      </c>
      <c r="AC925" s="84" t="inlineStr">
        <is>
          <t>F+</t>
        </is>
      </c>
      <c r="AD925" s="84" t="n">
        <v>12</v>
      </c>
      <c r="AE925" s="84" t="n">
        <v>9</v>
      </c>
      <c r="AF925" s="84" t="n">
        <v>0.8</v>
      </c>
      <c r="AG925" s="84" t="n">
        <v>0.9</v>
      </c>
      <c r="AH925" s="84" t="n">
        <v>0</v>
      </c>
      <c r="AI925" s="84" t="n">
        <v>0</v>
      </c>
      <c r="AJ925" s="84">
        <f>SUMIFS(AH$8:AH$1039,$O$8:$O$1039,O925,$AB$8:$AB$1039,AB925,$R$8:$R$1039,R925,$AA$8:$AA$1039,"&lt;="&amp;AA925)</f>
        <v/>
      </c>
      <c r="AK925" s="84">
        <f>E97</f>
        <v/>
      </c>
      <c r="AL925" s="84">
        <f>E103</f>
        <v/>
      </c>
      <c r="AM925" s="84">
        <f>MAX(0,AJ925-AK925)</f>
        <v/>
      </c>
      <c r="AN925" s="84">
        <f>IF(AM925=0,AH925,IF(AM925&gt;=AH925,0,AH925-AM925))</f>
        <v/>
      </c>
      <c r="AO925" s="84">
        <f>IF(AM925&gt;=AH925,AI925,AI925*AM925/AH925)</f>
        <v/>
      </c>
      <c r="AP925">
        <f t="array" ref="AP925">INDEX($AU$8:$BB$25,6*(R925-1)+MATCH(AB925,$AS$8:$AS$13,0),MATCH(O925,$AU$7:$BB$7,0))</f>
        <v/>
      </c>
    </row>
    <row r="926" ht="14.25" customHeight="1">
      <c r="O926" s="43" t="inlineStr">
        <is>
          <t>Q4’27</t>
        </is>
      </c>
      <c r="P926" s="43" t="n">
        <v>1</v>
      </c>
      <c r="Q926" s="43" t="n">
        <v>6</v>
      </c>
      <c r="R926" s="43" t="n">
        <v>1</v>
      </c>
      <c r="S926" s="45" t="n">
        <v>1240</v>
      </c>
      <c r="T926">
        <f>(S926+S927+S928)=U2</f>
        <v/>
      </c>
      <c r="X926" s="84">
        <f>MAX(S923-S926,0)</f>
        <v/>
      </c>
      <c r="Y926" s="83" t="n">
        <v>0</v>
      </c>
      <c r="AA926" s="84" t="n">
        <v>7</v>
      </c>
      <c r="AB926" s="84" t="inlineStr">
        <is>
          <t>D</t>
        </is>
      </c>
      <c r="AC926" s="84" t="inlineStr">
        <is>
          <t>D+</t>
        </is>
      </c>
      <c r="AD926" s="84" t="n">
        <v>27</v>
      </c>
      <c r="AE926" s="84" t="n">
        <v>21</v>
      </c>
      <c r="AF926" s="84" t="n">
        <v>0.8</v>
      </c>
      <c r="AG926" s="84" t="n">
        <v>0.88</v>
      </c>
      <c r="AH926" s="84" t="n">
        <v>0</v>
      </c>
      <c r="AI926" s="84" t="n">
        <v>0</v>
      </c>
      <c r="AJ926" s="84">
        <f>SUMIFS(AH$8:AH$1039,$O$8:$O$1039,O926,$AB$8:$AB$1039,AB926,$R$8:$R$1039,R926,$AA$8:$AA$1039,"&lt;="&amp;AA926)</f>
        <v/>
      </c>
      <c r="AK926" s="84">
        <f>C95</f>
        <v/>
      </c>
      <c r="AL926" s="84">
        <f>C101</f>
        <v/>
      </c>
      <c r="AM926" s="84">
        <f>MAX(0,AJ926-AK926)</f>
        <v/>
      </c>
      <c r="AN926" s="84">
        <f>IF(AM926=0,AH926,IF(AM926&gt;=AH926,0,AH926-AM926))</f>
        <v/>
      </c>
      <c r="AO926" s="84">
        <f>IF(AM926&gt;=AH926,AI926,AI926*AM926/AH926)</f>
        <v/>
      </c>
      <c r="AP926">
        <f t="array" ref="AP926">INDEX($AU$8:$BB$25,6*(R926-1)+MATCH(AB926,$AS$8:$AS$13,0),MATCH(O926,$AU$7:$BB$7,0))</f>
        <v/>
      </c>
    </row>
    <row r="927" ht="14.25" customHeight="1">
      <c r="O927" s="43" t="inlineStr">
        <is>
          <t>Q4’27</t>
        </is>
      </c>
      <c r="P927" s="43" t="n">
        <v>1</v>
      </c>
      <c r="Q927" s="43" t="n">
        <v>6</v>
      </c>
      <c r="R927" s="43" t="n">
        <v>2</v>
      </c>
      <c r="S927" s="45" t="n">
        <v>-0</v>
      </c>
      <c r="T927">
        <f>(S926+S927+S928)=U2</f>
        <v/>
      </c>
      <c r="X927" s="84">
        <f>MAX(S924-S927,0)</f>
        <v/>
      </c>
      <c r="Y927" s="83" t="n">
        <v>0</v>
      </c>
      <c r="AA927" s="84" t="n">
        <v>7</v>
      </c>
      <c r="AB927" s="84" t="inlineStr">
        <is>
          <t>D</t>
        </is>
      </c>
      <c r="AC927" s="84" t="inlineStr">
        <is>
          <t>D+</t>
        </is>
      </c>
      <c r="AD927" s="84" t="n">
        <v>27</v>
      </c>
      <c r="AE927" s="84" t="n">
        <v>21</v>
      </c>
      <c r="AF927" s="84" t="n">
        <v>0.8</v>
      </c>
      <c r="AG927" s="84" t="n">
        <v>0.88</v>
      </c>
      <c r="AH927" s="84" t="n">
        <v>0</v>
      </c>
      <c r="AI927" s="84" t="n">
        <v>0</v>
      </c>
      <c r="AJ927" s="84">
        <f>SUMIFS(AH$8:AH$1039,$O$8:$O$1039,O927,$AB$8:$AB$1039,AB927,$R$8:$R$1039,R927,$AA$8:$AA$1039,"&lt;="&amp;AA927)</f>
        <v/>
      </c>
      <c r="AK927" s="84">
        <f>D95</f>
        <v/>
      </c>
      <c r="AL927" s="84">
        <f>D101</f>
        <v/>
      </c>
      <c r="AM927" s="84">
        <f>MAX(0,AJ927-AK927)</f>
        <v/>
      </c>
      <c r="AN927" s="84">
        <f>IF(AM927=0,AH927,IF(AM927&gt;=AH927,0,AH927-AM927))</f>
        <v/>
      </c>
      <c r="AO927" s="84">
        <f>IF(AM927&gt;=AH927,AI927,AI927*AM927/AH927)</f>
        <v/>
      </c>
      <c r="AP927">
        <f t="array" ref="AP927">INDEX($AU$8:$BB$25,6*(R927-1)+MATCH(AB927,$AS$8:$AS$13,0),MATCH(O927,$AU$7:$BB$7,0))</f>
        <v/>
      </c>
    </row>
    <row r="928" ht="14.25" customHeight="1">
      <c r="O928" s="43" t="inlineStr">
        <is>
          <t>Q4’27</t>
        </is>
      </c>
      <c r="P928" s="43" t="n">
        <v>1</v>
      </c>
      <c r="Q928" s="43" t="n">
        <v>6</v>
      </c>
      <c r="R928" s="43" t="n">
        <v>3</v>
      </c>
      <c r="S928" s="45" t="n">
        <v>-0</v>
      </c>
      <c r="T928">
        <f>(S926+S927+S928)=U2</f>
        <v/>
      </c>
      <c r="X928" s="84">
        <f>MAX(S925-S928,0)</f>
        <v/>
      </c>
      <c r="Y928" s="83" t="n">
        <v>0</v>
      </c>
      <c r="AA928" s="84" t="n">
        <v>7</v>
      </c>
      <c r="AB928" s="84" t="inlineStr">
        <is>
          <t>D</t>
        </is>
      </c>
      <c r="AC928" s="84" t="inlineStr">
        <is>
          <t>D+</t>
        </is>
      </c>
      <c r="AD928" s="84" t="n">
        <v>27</v>
      </c>
      <c r="AE928" s="84" t="n">
        <v>21</v>
      </c>
      <c r="AF928" s="84" t="n">
        <v>0.8</v>
      </c>
      <c r="AG928" s="84" t="n">
        <v>0.88</v>
      </c>
      <c r="AH928" s="84" t="n">
        <v>0</v>
      </c>
      <c r="AI928" s="84" t="n">
        <v>0</v>
      </c>
      <c r="AJ928" s="84">
        <f>SUMIFS(AH$8:AH$1039,$O$8:$O$1039,O928,$AB$8:$AB$1039,AB928,$R$8:$R$1039,R928,$AA$8:$AA$1039,"&lt;="&amp;AA928)</f>
        <v/>
      </c>
      <c r="AK928" s="84">
        <f>E95</f>
        <v/>
      </c>
      <c r="AL928" s="84">
        <f>E101</f>
        <v/>
      </c>
      <c r="AM928" s="84">
        <f>MAX(0,AJ928-AK928)</f>
        <v/>
      </c>
      <c r="AN928" s="84">
        <f>IF(AM928=0,AH928,IF(AM928&gt;=AH928,0,AH928-AM928))</f>
        <v/>
      </c>
      <c r="AO928" s="84">
        <f>IF(AM928&gt;=AH928,AI928,AI928*AM928/AH928)</f>
        <v/>
      </c>
      <c r="AP928">
        <f t="array" ref="AP928">INDEX($AU$8:$BB$25,6*(R928-1)+MATCH(AB928,$AS$8:$AS$13,0),MATCH(O928,$AU$7:$BB$7,0))</f>
        <v/>
      </c>
    </row>
    <row r="929" ht="14.25" customHeight="1">
      <c r="O929" s="43" t="inlineStr">
        <is>
          <t>Q4’27</t>
        </is>
      </c>
      <c r="P929" s="43" t="n">
        <v>1</v>
      </c>
      <c r="Q929" s="43" t="n">
        <v>7</v>
      </c>
      <c r="R929" s="43" t="n">
        <v>1</v>
      </c>
      <c r="S929" s="45" t="n">
        <v>1240</v>
      </c>
      <c r="T929">
        <f>(S929+S930+S931)=U2</f>
        <v/>
      </c>
      <c r="X929" s="84">
        <f>MAX(S926-S929,0)</f>
        <v/>
      </c>
      <c r="Y929" s="83" t="n">
        <v>0</v>
      </c>
      <c r="AA929" s="84" t="n">
        <v>9</v>
      </c>
      <c r="AB929" s="84" t="inlineStr">
        <is>
          <t>D</t>
        </is>
      </c>
      <c r="AC929" s="84" t="inlineStr">
        <is>
          <t>D+</t>
        </is>
      </c>
      <c r="AD929" s="84" t="n">
        <v>17</v>
      </c>
      <c r="AE929" s="84" t="n">
        <v>13</v>
      </c>
      <c r="AF929" s="84" t="n">
        <v>0.8</v>
      </c>
      <c r="AG929" s="84" t="n">
        <v>0.88</v>
      </c>
      <c r="AH929" s="84" t="n">
        <v>0</v>
      </c>
      <c r="AI929" s="84" t="n">
        <v>0</v>
      </c>
      <c r="AJ929" s="84">
        <f>SUMIFS(AH$8:AH$1039,$O$8:$O$1039,O929,$AB$8:$AB$1039,AB929,$R$8:$R$1039,R929,$AA$8:$AA$1039,"&lt;="&amp;AA929)</f>
        <v/>
      </c>
      <c r="AK929" s="84">
        <f>C95</f>
        <v/>
      </c>
      <c r="AL929" s="84">
        <f>C101</f>
        <v/>
      </c>
      <c r="AM929" s="84">
        <f>MAX(0,AJ929-AK929)</f>
        <v/>
      </c>
      <c r="AN929" s="84">
        <f>IF(AM929=0,AH929,IF(AM929&gt;=AH929,0,AH929-AM929))</f>
        <v/>
      </c>
      <c r="AO929" s="84">
        <f>IF(AM929&gt;=AH929,AI929,AI929*AM929/AH929)</f>
        <v/>
      </c>
      <c r="AP929">
        <f t="array" ref="AP929">INDEX($AU$8:$BB$25,6*(R929-1)+MATCH(AB929,$AS$8:$AS$13,0),MATCH(O929,$AU$7:$BB$7,0))</f>
        <v/>
      </c>
    </row>
    <row r="930" ht="14.25" customHeight="1">
      <c r="O930" s="43" t="inlineStr">
        <is>
          <t>Q4’27</t>
        </is>
      </c>
      <c r="P930" s="43" t="n">
        <v>1</v>
      </c>
      <c r="Q930" s="43" t="n">
        <v>7</v>
      </c>
      <c r="R930" s="43" t="n">
        <v>2</v>
      </c>
      <c r="S930" s="45" t="n">
        <v>-0</v>
      </c>
      <c r="T930">
        <f>(S929+S930+S931)=U2</f>
        <v/>
      </c>
      <c r="X930" s="84">
        <f>MAX(S927-S930,0)</f>
        <v/>
      </c>
      <c r="Y930" s="83" t="n">
        <v>0</v>
      </c>
      <c r="AA930" s="84" t="n">
        <v>9</v>
      </c>
      <c r="AB930" s="84" t="inlineStr">
        <is>
          <t>D</t>
        </is>
      </c>
      <c r="AC930" s="84" t="inlineStr">
        <is>
          <t>D+</t>
        </is>
      </c>
      <c r="AD930" s="84" t="n">
        <v>17</v>
      </c>
      <c r="AE930" s="84" t="n">
        <v>13</v>
      </c>
      <c r="AF930" s="84" t="n">
        <v>0.8</v>
      </c>
      <c r="AG930" s="84" t="n">
        <v>0.88</v>
      </c>
      <c r="AH930" s="84" t="n">
        <v>0</v>
      </c>
      <c r="AI930" s="84" t="n">
        <v>0</v>
      </c>
      <c r="AJ930" s="84">
        <f>SUMIFS(AH$8:AH$1039,$O$8:$O$1039,O930,$AB$8:$AB$1039,AB930,$R$8:$R$1039,R930,$AA$8:$AA$1039,"&lt;="&amp;AA930)</f>
        <v/>
      </c>
      <c r="AK930" s="84">
        <f>D95</f>
        <v/>
      </c>
      <c r="AL930" s="84">
        <f>D101</f>
        <v/>
      </c>
      <c r="AM930" s="84">
        <f>MAX(0,AJ930-AK930)</f>
        <v/>
      </c>
      <c r="AN930" s="84">
        <f>IF(AM930=0,AH930,IF(AM930&gt;=AH930,0,AH930-AM930))</f>
        <v/>
      </c>
      <c r="AO930" s="84">
        <f>IF(AM930&gt;=AH930,AI930,AI930*AM930/AH930)</f>
        <v/>
      </c>
      <c r="AP930">
        <f t="array" ref="AP930">INDEX($AU$8:$BB$25,6*(R930-1)+MATCH(AB930,$AS$8:$AS$13,0),MATCH(O930,$AU$7:$BB$7,0))</f>
        <v/>
      </c>
    </row>
    <row r="931" ht="14.25" customHeight="1">
      <c r="O931" s="43" t="inlineStr">
        <is>
          <t>Q4’27</t>
        </is>
      </c>
      <c r="P931" s="43" t="n">
        <v>1</v>
      </c>
      <c r="Q931" s="43" t="n">
        <v>7</v>
      </c>
      <c r="R931" s="43" t="n">
        <v>3</v>
      </c>
      <c r="S931" s="45" t="n">
        <v>0</v>
      </c>
      <c r="T931">
        <f>(S929+S930+S931)=U2</f>
        <v/>
      </c>
      <c r="X931" s="84">
        <f>MAX(S928-S931,0)</f>
        <v/>
      </c>
      <c r="Y931" s="83" t="n">
        <v>0</v>
      </c>
      <c r="AA931" s="84" t="n">
        <v>9</v>
      </c>
      <c r="AB931" s="84" t="inlineStr">
        <is>
          <t>D</t>
        </is>
      </c>
      <c r="AC931" s="84" t="inlineStr">
        <is>
          <t>D+</t>
        </is>
      </c>
      <c r="AD931" s="84" t="n">
        <v>17</v>
      </c>
      <c r="AE931" s="84" t="n">
        <v>13</v>
      </c>
      <c r="AF931" s="84" t="n">
        <v>0.8</v>
      </c>
      <c r="AG931" s="84" t="n">
        <v>0.88</v>
      </c>
      <c r="AH931" s="84" t="n">
        <v>0</v>
      </c>
      <c r="AI931" s="84" t="n">
        <v>0</v>
      </c>
      <c r="AJ931" s="84">
        <f>SUMIFS(AH$8:AH$1039,$O$8:$O$1039,O931,$AB$8:$AB$1039,AB931,$R$8:$R$1039,R931,$AA$8:$AA$1039,"&lt;="&amp;AA931)</f>
        <v/>
      </c>
      <c r="AK931" s="84">
        <f>E95</f>
        <v/>
      </c>
      <c r="AL931" s="84">
        <f>E101</f>
        <v/>
      </c>
      <c r="AM931" s="84">
        <f>MAX(0,AJ931-AK931)</f>
        <v/>
      </c>
      <c r="AN931" s="84">
        <f>IF(AM931=0,AH931,IF(AM931&gt;=AH931,0,AH931-AM931))</f>
        <v/>
      </c>
      <c r="AO931" s="84">
        <f>IF(AM931&gt;=AH931,AI931,AI931*AM931/AH931)</f>
        <v/>
      </c>
      <c r="AP931">
        <f t="array" ref="AP931">INDEX($AU$8:$BB$25,6*(R931-1)+MATCH(AB931,$AS$8:$AS$13,0),MATCH(O931,$AU$7:$BB$7,0))</f>
        <v/>
      </c>
    </row>
    <row r="932" ht="14.25" customHeight="1">
      <c r="O932" s="43" t="inlineStr">
        <is>
          <t>Q4’27</t>
        </is>
      </c>
      <c r="P932" s="43" t="n">
        <v>1</v>
      </c>
      <c r="Q932" s="43" t="n">
        <v>8</v>
      </c>
      <c r="R932" s="43" t="n">
        <v>1</v>
      </c>
      <c r="S932" s="45" t="n">
        <v>1240</v>
      </c>
      <c r="T932">
        <f>(S932+S933+S934)=U2</f>
        <v/>
      </c>
      <c r="X932" s="84">
        <f>MAX(S929-S932,0)</f>
        <v/>
      </c>
      <c r="Y932" s="83" t="n">
        <v>0</v>
      </c>
      <c r="AA932" s="84" t="n">
        <v>1</v>
      </c>
      <c r="AB932" s="84" t="inlineStr">
        <is>
          <t>A</t>
        </is>
      </c>
      <c r="AC932" s="84" t="inlineStr">
        <is>
          <t>A+</t>
        </is>
      </c>
      <c r="AD932" s="84" t="n">
        <v>18</v>
      </c>
      <c r="AE932" s="84" t="n">
        <v>16</v>
      </c>
      <c r="AF932" s="84" t="n">
        <v>0.78</v>
      </c>
      <c r="AG932" s="84" t="n">
        <v>0.84</v>
      </c>
      <c r="AH932" s="84" t="n">
        <v>0</v>
      </c>
      <c r="AI932" s="84" t="n">
        <v>0</v>
      </c>
      <c r="AJ932" s="84">
        <f>SUMIFS(AH$8:AH$1039,$O$8:$O$1039,O932,$AB$8:$AB$1039,AB932,$R$8:$R$1039,R932,$AA$8:$AA$1039,"&lt;="&amp;AA932)</f>
        <v/>
      </c>
      <c r="AK932" s="84">
        <f>C92</f>
        <v/>
      </c>
      <c r="AL932" s="84">
        <f>C98</f>
        <v/>
      </c>
      <c r="AM932" s="84">
        <f>MAX(0,AJ932-AK932)</f>
        <v/>
      </c>
      <c r="AN932" s="84">
        <f>IF(AM932=0,AH932,IF(AM932&gt;=AH932,0,AH932-AM932))</f>
        <v/>
      </c>
      <c r="AO932" s="84">
        <f>IF(AM932&gt;=AH932,AI932,AI932*AM932/AH932)</f>
        <v/>
      </c>
      <c r="AP932">
        <f t="array" ref="AP932">INDEX($AU$8:$BB$25,6*(R932-1)+MATCH(AB932,$AS$8:$AS$13,0),MATCH(O932,$AU$7:$BB$7,0))</f>
        <v/>
      </c>
    </row>
    <row r="933" ht="14.25" customHeight="1">
      <c r="O933" s="43" t="inlineStr">
        <is>
          <t>Q4’27</t>
        </is>
      </c>
      <c r="P933" s="43" t="n">
        <v>1</v>
      </c>
      <c r="Q933" s="43" t="n">
        <v>8</v>
      </c>
      <c r="R933" s="43" t="n">
        <v>2</v>
      </c>
      <c r="S933" s="45" t="n">
        <v>-0</v>
      </c>
      <c r="T933">
        <f>(S932+S933+S934)=U2</f>
        <v/>
      </c>
      <c r="X933" s="84">
        <f>MAX(S930-S933,0)</f>
        <v/>
      </c>
      <c r="Y933" s="83" t="n">
        <v>0</v>
      </c>
      <c r="AA933" s="84" t="n">
        <v>1</v>
      </c>
      <c r="AB933" s="84" t="inlineStr">
        <is>
          <t>A</t>
        </is>
      </c>
      <c r="AC933" s="84" t="inlineStr">
        <is>
          <t>A+</t>
        </is>
      </c>
      <c r="AD933" s="84" t="n">
        <v>18</v>
      </c>
      <c r="AE933" s="84" t="n">
        <v>16</v>
      </c>
      <c r="AF933" s="84" t="n">
        <v>0.78</v>
      </c>
      <c r="AG933" s="84" t="n">
        <v>0.84</v>
      </c>
      <c r="AH933" s="84" t="n">
        <v>0</v>
      </c>
      <c r="AI933" s="84" t="n">
        <v>0</v>
      </c>
      <c r="AJ933" s="84">
        <f>SUMIFS(AH$8:AH$1039,$O$8:$O$1039,O933,$AB$8:$AB$1039,AB933,$R$8:$R$1039,R933,$AA$8:$AA$1039,"&lt;="&amp;AA933)</f>
        <v/>
      </c>
      <c r="AK933" s="84">
        <f>D92</f>
        <v/>
      </c>
      <c r="AL933" s="84">
        <f>D98</f>
        <v/>
      </c>
      <c r="AM933" s="84">
        <f>MAX(0,AJ933-AK933)</f>
        <v/>
      </c>
      <c r="AN933" s="84">
        <f>IF(AM933=0,AH933,IF(AM933&gt;=AH933,0,AH933-AM933))</f>
        <v/>
      </c>
      <c r="AO933" s="84">
        <f>IF(AM933&gt;=AH933,AI933,AI933*AM933/AH933)</f>
        <v/>
      </c>
      <c r="AP933">
        <f t="array" ref="AP933">INDEX($AU$8:$BB$25,6*(R933-1)+MATCH(AB933,$AS$8:$AS$13,0),MATCH(O933,$AU$7:$BB$7,0))</f>
        <v/>
      </c>
    </row>
    <row r="934" ht="14.25" customHeight="1">
      <c r="O934" s="43" t="inlineStr">
        <is>
          <t>Q4’27</t>
        </is>
      </c>
      <c r="P934" s="43" t="n">
        <v>1</v>
      </c>
      <c r="Q934" s="43" t="n">
        <v>8</v>
      </c>
      <c r="R934" s="43" t="n">
        <v>3</v>
      </c>
      <c r="S934" s="45" t="n">
        <v>0</v>
      </c>
      <c r="T934">
        <f>(S932+S933+S934)=U2</f>
        <v/>
      </c>
      <c r="X934" s="84">
        <f>MAX(S931-S934,0)</f>
        <v/>
      </c>
      <c r="Y934" s="83" t="n">
        <v>0</v>
      </c>
      <c r="AA934" s="84" t="n">
        <v>1</v>
      </c>
      <c r="AB934" s="84" t="inlineStr">
        <is>
          <t>A</t>
        </is>
      </c>
      <c r="AC934" s="84" t="inlineStr">
        <is>
          <t>A+</t>
        </is>
      </c>
      <c r="AD934" s="84" t="n">
        <v>18</v>
      </c>
      <c r="AE934" s="84" t="n">
        <v>16</v>
      </c>
      <c r="AF934" s="84" t="n">
        <v>0.78</v>
      </c>
      <c r="AG934" s="84" t="n">
        <v>0.84</v>
      </c>
      <c r="AH934" s="84" t="n">
        <v>0</v>
      </c>
      <c r="AI934" s="84" t="n">
        <v>0</v>
      </c>
      <c r="AJ934" s="84">
        <f>SUMIFS(AH$8:AH$1039,$O$8:$O$1039,O934,$AB$8:$AB$1039,AB934,$R$8:$R$1039,R934,$AA$8:$AA$1039,"&lt;="&amp;AA934)</f>
        <v/>
      </c>
      <c r="AK934" s="84">
        <f>E92</f>
        <v/>
      </c>
      <c r="AL934" s="84">
        <f>E98</f>
        <v/>
      </c>
      <c r="AM934" s="84">
        <f>MAX(0,AJ934-AK934)</f>
        <v/>
      </c>
      <c r="AN934" s="84">
        <f>IF(AM934=0,AH934,IF(AM934&gt;=AH934,0,AH934-AM934))</f>
        <v/>
      </c>
      <c r="AO934" s="84">
        <f>IF(AM934&gt;=AH934,AI934,AI934*AM934/AH934)</f>
        <v/>
      </c>
      <c r="AP934">
        <f t="array" ref="AP934">INDEX($AU$8:$BB$25,6*(R934-1)+MATCH(AB934,$AS$8:$AS$13,0),MATCH(O934,$AU$7:$BB$7,0))</f>
        <v/>
      </c>
    </row>
    <row r="935" ht="14.25" customHeight="1">
      <c r="O935" s="43" t="inlineStr">
        <is>
          <t>Q4’27</t>
        </is>
      </c>
      <c r="P935" s="43" t="n">
        <v>1</v>
      </c>
      <c r="Q935" s="43" t="n">
        <v>9</v>
      </c>
      <c r="R935" s="43" t="n">
        <v>1</v>
      </c>
      <c r="S935" s="45" t="n">
        <v>1240</v>
      </c>
      <c r="T935">
        <f>(S935+S936+S937)=U2</f>
        <v/>
      </c>
      <c r="X935" s="84">
        <f>MAX(S932-S935,0)</f>
        <v/>
      </c>
      <c r="Y935" s="83" t="n">
        <v>0</v>
      </c>
      <c r="AA935" s="84" t="n">
        <v>2</v>
      </c>
      <c r="AB935" s="84" t="inlineStr">
        <is>
          <t>A</t>
        </is>
      </c>
      <c r="AC935" s="84" t="inlineStr">
        <is>
          <t>A+</t>
        </is>
      </c>
      <c r="AD935" s="84" t="n">
        <v>16</v>
      </c>
      <c r="AE935" s="84" t="n">
        <v>13</v>
      </c>
      <c r="AF935" s="84" t="n">
        <v>0.78</v>
      </c>
      <c r="AG935" s="84" t="n">
        <v>0.84</v>
      </c>
      <c r="AH935" s="84" t="n">
        <v>0</v>
      </c>
      <c r="AI935" s="84" t="n">
        <v>0</v>
      </c>
      <c r="AJ935" s="84">
        <f>SUMIFS(AH$8:AH$1039,$O$8:$O$1039,O935,$AB$8:$AB$1039,AB935,$R$8:$R$1039,R935,$AA$8:$AA$1039,"&lt;="&amp;AA935)</f>
        <v/>
      </c>
      <c r="AK935" s="84">
        <f>C92</f>
        <v/>
      </c>
      <c r="AL935" s="84">
        <f>C98</f>
        <v/>
      </c>
      <c r="AM935" s="84">
        <f>MAX(0,AJ935-AK935)</f>
        <v/>
      </c>
      <c r="AN935" s="84">
        <f>IF(AM935=0,AH935,IF(AM935&gt;=AH935,0,AH935-AM935))</f>
        <v/>
      </c>
      <c r="AO935" s="84">
        <f>IF(AM935&gt;=AH935,AI935,AI935*AM935/AH935)</f>
        <v/>
      </c>
      <c r="AP935">
        <f t="array" ref="AP935">INDEX($AU$8:$BB$25,6*(R935-1)+MATCH(AB935,$AS$8:$AS$13,0),MATCH(O935,$AU$7:$BB$7,0))</f>
        <v/>
      </c>
    </row>
    <row r="936" ht="14.25" customHeight="1">
      <c r="O936" s="43" t="inlineStr">
        <is>
          <t>Q4’27</t>
        </is>
      </c>
      <c r="P936" s="43" t="n">
        <v>1</v>
      </c>
      <c r="Q936" s="43" t="n">
        <v>9</v>
      </c>
      <c r="R936" s="43" t="n">
        <v>2</v>
      </c>
      <c r="S936" s="45" t="n">
        <v>-0</v>
      </c>
      <c r="T936">
        <f>(S935+S936+S937)=U2</f>
        <v/>
      </c>
      <c r="X936" s="84">
        <f>MAX(S933-S936,0)</f>
        <v/>
      </c>
      <c r="Y936" s="83" t="n">
        <v>0</v>
      </c>
      <c r="AA936" s="84" t="n">
        <v>2</v>
      </c>
      <c r="AB936" s="84" t="inlineStr">
        <is>
          <t>A</t>
        </is>
      </c>
      <c r="AC936" s="84" t="inlineStr">
        <is>
          <t>A+</t>
        </is>
      </c>
      <c r="AD936" s="84" t="n">
        <v>16</v>
      </c>
      <c r="AE936" s="84" t="n">
        <v>13</v>
      </c>
      <c r="AF936" s="84" t="n">
        <v>0.78</v>
      </c>
      <c r="AG936" s="84" t="n">
        <v>0.84</v>
      </c>
      <c r="AH936" s="84" t="n">
        <v>0</v>
      </c>
      <c r="AI936" s="84" t="n">
        <v>0</v>
      </c>
      <c r="AJ936" s="84">
        <f>SUMIFS(AH$8:AH$1039,$O$8:$O$1039,O936,$AB$8:$AB$1039,AB936,$R$8:$R$1039,R936,$AA$8:$AA$1039,"&lt;="&amp;AA936)</f>
        <v/>
      </c>
      <c r="AK936" s="84">
        <f>D92</f>
        <v/>
      </c>
      <c r="AL936" s="84">
        <f>D98</f>
        <v/>
      </c>
      <c r="AM936" s="84">
        <f>MAX(0,AJ936-AK936)</f>
        <v/>
      </c>
      <c r="AN936" s="84">
        <f>IF(AM936=0,AH936,IF(AM936&gt;=AH936,0,AH936-AM936))</f>
        <v/>
      </c>
      <c r="AO936" s="84">
        <f>IF(AM936&gt;=AH936,AI936,AI936*AM936/AH936)</f>
        <v/>
      </c>
      <c r="AP936">
        <f t="array" ref="AP936">INDEX($AU$8:$BB$25,6*(R936-1)+MATCH(AB936,$AS$8:$AS$13,0),MATCH(O936,$AU$7:$BB$7,0))</f>
        <v/>
      </c>
    </row>
    <row r="937" ht="14.25" customHeight="1">
      <c r="O937" s="43" t="inlineStr">
        <is>
          <t>Q4’27</t>
        </is>
      </c>
      <c r="P937" s="43" t="n">
        <v>1</v>
      </c>
      <c r="Q937" s="43" t="n">
        <v>9</v>
      </c>
      <c r="R937" s="43" t="n">
        <v>3</v>
      </c>
      <c r="S937" s="45" t="n">
        <v>0</v>
      </c>
      <c r="T937">
        <f>(S935+S936+S937)=U2</f>
        <v/>
      </c>
      <c r="X937" s="84">
        <f>MAX(S934-S937,0)</f>
        <v/>
      </c>
      <c r="Y937" s="83" t="n">
        <v>0</v>
      </c>
      <c r="AA937" s="84" t="n">
        <v>2</v>
      </c>
      <c r="AB937" s="84" t="inlineStr">
        <is>
          <t>A</t>
        </is>
      </c>
      <c r="AC937" s="84" t="inlineStr">
        <is>
          <t>A+</t>
        </is>
      </c>
      <c r="AD937" s="84" t="n">
        <v>16</v>
      </c>
      <c r="AE937" s="84" t="n">
        <v>13</v>
      </c>
      <c r="AF937" s="84" t="n">
        <v>0.78</v>
      </c>
      <c r="AG937" s="84" t="n">
        <v>0.84</v>
      </c>
      <c r="AH937" s="84" t="n">
        <v>0</v>
      </c>
      <c r="AI937" s="84" t="n">
        <v>0</v>
      </c>
      <c r="AJ937" s="84">
        <f>SUMIFS(AH$8:AH$1039,$O$8:$O$1039,O937,$AB$8:$AB$1039,AB937,$R$8:$R$1039,R937,$AA$8:$AA$1039,"&lt;="&amp;AA937)</f>
        <v/>
      </c>
      <c r="AK937" s="84">
        <f>E92</f>
        <v/>
      </c>
      <c r="AL937" s="84">
        <f>E98</f>
        <v/>
      </c>
      <c r="AM937" s="84">
        <f>MAX(0,AJ937-AK937)</f>
        <v/>
      </c>
      <c r="AN937" s="84">
        <f>IF(AM937=0,AH937,IF(AM937&gt;=AH937,0,AH937-AM937))</f>
        <v/>
      </c>
      <c r="AO937" s="84">
        <f>IF(AM937&gt;=AH937,AI937,AI937*AM937/AH937)</f>
        <v/>
      </c>
      <c r="AP937">
        <f t="array" ref="AP937">INDEX($AU$8:$BB$25,6*(R937-1)+MATCH(AB937,$AS$8:$AS$13,0),MATCH(O937,$AU$7:$BB$7,0))</f>
        <v/>
      </c>
    </row>
    <row r="938" ht="14.25" customHeight="1">
      <c r="O938" s="43" t="inlineStr">
        <is>
          <t>Q4’27</t>
        </is>
      </c>
      <c r="P938" s="43" t="n">
        <v>1</v>
      </c>
      <c r="Q938" s="43" t="n">
        <v>10</v>
      </c>
      <c r="R938" s="43" t="n">
        <v>1</v>
      </c>
      <c r="S938" s="45" t="n">
        <v>1240</v>
      </c>
      <c r="T938">
        <f>(S938+S939+S940)=U2</f>
        <v/>
      </c>
      <c r="X938" s="84">
        <f>MAX(S935-S938,0)</f>
        <v/>
      </c>
      <c r="Y938" s="83" t="n">
        <v>0</v>
      </c>
      <c r="AA938" s="84" t="n">
        <v>6</v>
      </c>
      <c r="AB938" s="84" t="inlineStr">
        <is>
          <t>D</t>
        </is>
      </c>
      <c r="AC938" s="84" t="inlineStr">
        <is>
          <t>D+</t>
        </is>
      </c>
      <c r="AD938" s="84" t="n">
        <v>14</v>
      </c>
      <c r="AE938" s="84" t="n">
        <v>11</v>
      </c>
      <c r="AF938" s="84" t="n">
        <v>0.8</v>
      </c>
      <c r="AG938" s="84" t="n">
        <v>0.88</v>
      </c>
      <c r="AH938" s="84" t="n">
        <v>0</v>
      </c>
      <c r="AI938" s="84" t="n">
        <v>0</v>
      </c>
      <c r="AJ938" s="84">
        <f>SUMIFS(AH$8:AH$1039,$O$8:$O$1039,O938,$AB$8:$AB$1039,AB938,$R$8:$R$1039,R938,$AA$8:$AA$1039,"&lt;="&amp;AA938)</f>
        <v/>
      </c>
      <c r="AK938" s="84">
        <f>C95</f>
        <v/>
      </c>
      <c r="AL938" s="84">
        <f>C101</f>
        <v/>
      </c>
      <c r="AM938" s="84">
        <f>MAX(0,AJ938-AK938)</f>
        <v/>
      </c>
      <c r="AN938" s="84">
        <f>IF(AM938=0,AH938,IF(AM938&gt;=AH938,0,AH938-AM938))</f>
        <v/>
      </c>
      <c r="AO938" s="84">
        <f>IF(AM938&gt;=AH938,AI938,AI938*AM938/AH938)</f>
        <v/>
      </c>
      <c r="AP938">
        <f t="array" ref="AP938">INDEX($AU$8:$BB$25,6*(R938-1)+MATCH(AB938,$AS$8:$AS$13,0),MATCH(O938,$AU$7:$BB$7,0))</f>
        <v/>
      </c>
    </row>
    <row r="939" ht="14.25" customHeight="1">
      <c r="O939" s="43" t="inlineStr">
        <is>
          <t>Q4’27</t>
        </is>
      </c>
      <c r="P939" s="43" t="n">
        <v>1</v>
      </c>
      <c r="Q939" s="43" t="n">
        <v>10</v>
      </c>
      <c r="R939" s="43" t="n">
        <v>2</v>
      </c>
      <c r="S939" s="45" t="n">
        <v>-0</v>
      </c>
      <c r="T939">
        <f>(S938+S939+S940)=U2</f>
        <v/>
      </c>
      <c r="X939" s="84">
        <f>MAX(S936-S939,0)</f>
        <v/>
      </c>
      <c r="Y939" s="83" t="n">
        <v>0</v>
      </c>
      <c r="AA939" s="84" t="n">
        <v>6</v>
      </c>
      <c r="AB939" s="84" t="inlineStr">
        <is>
          <t>D</t>
        </is>
      </c>
      <c r="AC939" s="84" t="inlineStr">
        <is>
          <t>D+</t>
        </is>
      </c>
      <c r="AD939" s="84" t="n">
        <v>14</v>
      </c>
      <c r="AE939" s="84" t="n">
        <v>11</v>
      </c>
      <c r="AF939" s="84" t="n">
        <v>0.8</v>
      </c>
      <c r="AG939" s="84" t="n">
        <v>0.88</v>
      </c>
      <c r="AH939" s="84" t="n">
        <v>0</v>
      </c>
      <c r="AI939" s="84" t="n">
        <v>0</v>
      </c>
      <c r="AJ939" s="84">
        <f>SUMIFS(AH$8:AH$1039,$O$8:$O$1039,O939,$AB$8:$AB$1039,AB939,$R$8:$R$1039,R939,$AA$8:$AA$1039,"&lt;="&amp;AA939)</f>
        <v/>
      </c>
      <c r="AK939" s="84">
        <f>D95</f>
        <v/>
      </c>
      <c r="AL939" s="84">
        <f>D101</f>
        <v/>
      </c>
      <c r="AM939" s="84">
        <f>MAX(0,AJ939-AK939)</f>
        <v/>
      </c>
      <c r="AN939" s="84">
        <f>IF(AM939=0,AH939,IF(AM939&gt;=AH939,0,AH939-AM939))</f>
        <v/>
      </c>
      <c r="AO939" s="84">
        <f>IF(AM939&gt;=AH939,AI939,AI939*AM939/AH939)</f>
        <v/>
      </c>
      <c r="AP939">
        <f t="array" ref="AP939">INDEX($AU$8:$BB$25,6*(R939-1)+MATCH(AB939,$AS$8:$AS$13,0),MATCH(O939,$AU$7:$BB$7,0))</f>
        <v/>
      </c>
    </row>
    <row r="940" ht="14.25" customHeight="1">
      <c r="O940" s="43" t="inlineStr">
        <is>
          <t>Q4’27</t>
        </is>
      </c>
      <c r="P940" s="43" t="n">
        <v>1</v>
      </c>
      <c r="Q940" s="43" t="n">
        <v>10</v>
      </c>
      <c r="R940" s="43" t="n">
        <v>3</v>
      </c>
      <c r="S940" s="45" t="n">
        <v>0</v>
      </c>
      <c r="T940">
        <f>(S938+S939+S940)=U2</f>
        <v/>
      </c>
      <c r="X940" s="84">
        <f>MAX(S937-S940,0)</f>
        <v/>
      </c>
      <c r="Y940" s="83" t="n">
        <v>0</v>
      </c>
      <c r="AA940" s="84" t="n">
        <v>6</v>
      </c>
      <c r="AB940" s="84" t="inlineStr">
        <is>
          <t>D</t>
        </is>
      </c>
      <c r="AC940" s="84" t="inlineStr">
        <is>
          <t>D+</t>
        </is>
      </c>
      <c r="AD940" s="84" t="n">
        <v>14</v>
      </c>
      <c r="AE940" s="84" t="n">
        <v>11</v>
      </c>
      <c r="AF940" s="84" t="n">
        <v>0.8</v>
      </c>
      <c r="AG940" s="84" t="n">
        <v>0.88</v>
      </c>
      <c r="AH940" s="84" t="n">
        <v>0</v>
      </c>
      <c r="AI940" s="84" t="n">
        <v>0</v>
      </c>
      <c r="AJ940" s="84">
        <f>SUMIFS(AH$8:AH$1039,$O$8:$O$1039,O940,$AB$8:$AB$1039,AB940,$R$8:$R$1039,R940,$AA$8:$AA$1039,"&lt;="&amp;AA940)</f>
        <v/>
      </c>
      <c r="AK940" s="84">
        <f>E95</f>
        <v/>
      </c>
      <c r="AL940" s="84">
        <f>E101</f>
        <v/>
      </c>
      <c r="AM940" s="84">
        <f>MAX(0,AJ940-AK940)</f>
        <v/>
      </c>
      <c r="AN940" s="84">
        <f>IF(AM940=0,AH940,IF(AM940&gt;=AH940,0,AH940-AM940))</f>
        <v/>
      </c>
      <c r="AO940" s="84">
        <f>IF(AM940&gt;=AH940,AI940,AI940*AM940/AH940)</f>
        <v/>
      </c>
      <c r="AP940">
        <f t="array" ref="AP940">INDEX($AU$8:$BB$25,6*(R940-1)+MATCH(AB940,$AS$8:$AS$13,0),MATCH(O940,$AU$7:$BB$7,0))</f>
        <v/>
      </c>
    </row>
    <row r="941" ht="14.25" customHeight="1">
      <c r="O941" s="43" t="inlineStr">
        <is>
          <t>Q4’27</t>
        </is>
      </c>
      <c r="P941" s="43" t="n">
        <v>1</v>
      </c>
      <c r="Q941" s="43" t="n">
        <v>11</v>
      </c>
      <c r="R941" s="43" t="n">
        <v>1</v>
      </c>
      <c r="S941" s="45" t="n">
        <v>1240</v>
      </c>
      <c r="T941">
        <f>(S941+S942+S943)=U2</f>
        <v/>
      </c>
      <c r="X941" s="84">
        <f>MAX(S938-S941,0)</f>
        <v/>
      </c>
      <c r="Y941" s="83" t="n">
        <v>0</v>
      </c>
      <c r="AA941" s="84" t="n">
        <v>3</v>
      </c>
      <c r="AB941" s="84" t="inlineStr">
        <is>
          <t>F</t>
        </is>
      </c>
      <c r="AC941" s="84" t="inlineStr">
        <is>
          <t>F+</t>
        </is>
      </c>
      <c r="AD941" s="84" t="n">
        <v>18</v>
      </c>
      <c r="AE941" s="84" t="n">
        <v>16</v>
      </c>
      <c r="AF941" s="84" t="n">
        <v>0.8</v>
      </c>
      <c r="AG941" s="84" t="n">
        <v>0.9</v>
      </c>
      <c r="AH941" s="84" t="n">
        <v>0</v>
      </c>
      <c r="AI941" s="84" t="n">
        <v>0</v>
      </c>
      <c r="AJ941" s="84">
        <f>SUMIFS(AH$8:AH$1039,$O$8:$O$1039,O941,$AB$8:$AB$1039,AB941,$R$8:$R$1039,R941,$AA$8:$AA$1039,"&lt;="&amp;AA941)</f>
        <v/>
      </c>
      <c r="AK941" s="84">
        <f>C97</f>
        <v/>
      </c>
      <c r="AL941" s="84">
        <f>C103</f>
        <v/>
      </c>
      <c r="AM941" s="84">
        <f>MAX(0,AJ941-AK941)</f>
        <v/>
      </c>
      <c r="AN941" s="84">
        <f>IF(AM941=0,AH941,IF(AM941&gt;=AH941,0,AH941-AM941))</f>
        <v/>
      </c>
      <c r="AO941" s="84">
        <f>IF(AM941&gt;=AH941,AI941,AI941*AM941/AH941)</f>
        <v/>
      </c>
      <c r="AP941">
        <f t="array" ref="AP941">INDEX($AU$8:$BB$25,6*(R941-1)+MATCH(AB941,$AS$8:$AS$13,0),MATCH(O941,$AU$7:$BB$7,0))</f>
        <v/>
      </c>
    </row>
    <row r="942" ht="14.25" customHeight="1">
      <c r="O942" s="43" t="inlineStr">
        <is>
          <t>Q4’27</t>
        </is>
      </c>
      <c r="P942" s="43" t="n">
        <v>1</v>
      </c>
      <c r="Q942" s="43" t="n">
        <v>11</v>
      </c>
      <c r="R942" s="43" t="n">
        <v>2</v>
      </c>
      <c r="S942" s="45" t="n">
        <v>-0</v>
      </c>
      <c r="T942">
        <f>(S941+S942+S943)=U2</f>
        <v/>
      </c>
      <c r="X942" s="84">
        <f>MAX(S939-S942,0)</f>
        <v/>
      </c>
      <c r="Y942" s="83" t="n">
        <v>0</v>
      </c>
      <c r="AA942" s="84" t="n">
        <v>3</v>
      </c>
      <c r="AB942" s="84" t="inlineStr">
        <is>
          <t>F</t>
        </is>
      </c>
      <c r="AC942" s="84" t="inlineStr">
        <is>
          <t>F+</t>
        </is>
      </c>
      <c r="AD942" s="84" t="n">
        <v>18</v>
      </c>
      <c r="AE942" s="84" t="n">
        <v>16</v>
      </c>
      <c r="AF942" s="84" t="n">
        <v>0.8</v>
      </c>
      <c r="AG942" s="84" t="n">
        <v>0.9</v>
      </c>
      <c r="AH942" s="84" t="n">
        <v>0</v>
      </c>
      <c r="AI942" s="84" t="n">
        <v>0</v>
      </c>
      <c r="AJ942" s="84">
        <f>SUMIFS(AH$8:AH$1039,$O$8:$O$1039,O942,$AB$8:$AB$1039,AB942,$R$8:$R$1039,R942,$AA$8:$AA$1039,"&lt;="&amp;AA942)</f>
        <v/>
      </c>
      <c r="AK942" s="84">
        <f>D97</f>
        <v/>
      </c>
      <c r="AL942" s="84">
        <f>D103</f>
        <v/>
      </c>
      <c r="AM942" s="84">
        <f>MAX(0,AJ942-AK942)</f>
        <v/>
      </c>
      <c r="AN942" s="84">
        <f>IF(AM942=0,AH942,IF(AM942&gt;=AH942,0,AH942-AM942))</f>
        <v/>
      </c>
      <c r="AO942" s="84">
        <f>IF(AM942&gt;=AH942,AI942,AI942*AM942/AH942)</f>
        <v/>
      </c>
      <c r="AP942">
        <f t="array" ref="AP942">INDEX($AU$8:$BB$25,6*(R942-1)+MATCH(AB942,$AS$8:$AS$13,0),MATCH(O942,$AU$7:$BB$7,0))</f>
        <v/>
      </c>
    </row>
    <row r="943" ht="14.25" customHeight="1">
      <c r="O943" s="43" t="inlineStr">
        <is>
          <t>Q4’27</t>
        </is>
      </c>
      <c r="P943" s="43" t="n">
        <v>1</v>
      </c>
      <c r="Q943" s="43" t="n">
        <v>11</v>
      </c>
      <c r="R943" s="43" t="n">
        <v>3</v>
      </c>
      <c r="S943" s="45" t="n">
        <v>-0</v>
      </c>
      <c r="T943">
        <f>(S941+S942+S943)=U2</f>
        <v/>
      </c>
      <c r="X943" s="84">
        <f>MAX(S940-S943,0)</f>
        <v/>
      </c>
      <c r="Y943" s="83" t="n">
        <v>0</v>
      </c>
      <c r="AA943" s="84" t="n">
        <v>3</v>
      </c>
      <c r="AB943" s="84" t="inlineStr">
        <is>
          <t>F</t>
        </is>
      </c>
      <c r="AC943" s="84" t="inlineStr">
        <is>
          <t>F+</t>
        </is>
      </c>
      <c r="AD943" s="84" t="n">
        <v>18</v>
      </c>
      <c r="AE943" s="84" t="n">
        <v>16</v>
      </c>
      <c r="AF943" s="84" t="n">
        <v>0.8</v>
      </c>
      <c r="AG943" s="84" t="n">
        <v>0.9</v>
      </c>
      <c r="AH943" s="84" t="n">
        <v>0</v>
      </c>
      <c r="AI943" s="84" t="n">
        <v>0</v>
      </c>
      <c r="AJ943" s="84">
        <f>SUMIFS(AH$8:AH$1039,$O$8:$O$1039,O943,$AB$8:$AB$1039,AB943,$R$8:$R$1039,R943,$AA$8:$AA$1039,"&lt;="&amp;AA943)</f>
        <v/>
      </c>
      <c r="AK943" s="84">
        <f>E97</f>
        <v/>
      </c>
      <c r="AL943" s="84">
        <f>E103</f>
        <v/>
      </c>
      <c r="AM943" s="84">
        <f>MAX(0,AJ943-AK943)</f>
        <v/>
      </c>
      <c r="AN943" s="84">
        <f>IF(AM943=0,AH943,IF(AM943&gt;=AH943,0,AH943-AM943))</f>
        <v/>
      </c>
      <c r="AO943" s="84">
        <f>IF(AM943&gt;=AH943,AI943,AI943*AM943/AH943)</f>
        <v/>
      </c>
      <c r="AP943">
        <f t="array" ref="AP943">INDEX($AU$8:$BB$25,6*(R943-1)+MATCH(AB943,$AS$8:$AS$13,0),MATCH(O943,$AU$7:$BB$7,0))</f>
        <v/>
      </c>
    </row>
    <row r="944" ht="14.25" customHeight="1">
      <c r="O944" s="43" t="inlineStr">
        <is>
          <t>Q4’27</t>
        </is>
      </c>
      <c r="P944" s="43" t="n">
        <v>2</v>
      </c>
      <c r="Q944" s="43" t="n">
        <v>1</v>
      </c>
      <c r="R944" s="43" t="n">
        <v>1</v>
      </c>
      <c r="S944" s="45" t="n">
        <v>3192</v>
      </c>
      <c r="T944">
        <f>(S944+S945+S946)=U3</f>
        <v/>
      </c>
      <c r="X944" s="84" t="n">
        <v>0</v>
      </c>
      <c r="Y944" s="83" t="n">
        <v>0</v>
      </c>
      <c r="AA944" s="84" t="n">
        <v>9</v>
      </c>
      <c r="AB944" s="84" t="inlineStr">
        <is>
          <t>F</t>
        </is>
      </c>
      <c r="AC944" s="84" t="inlineStr">
        <is>
          <t>F+</t>
        </is>
      </c>
      <c r="AD944" s="84" t="n">
        <v>19</v>
      </c>
      <c r="AE944" s="84" t="n">
        <v>16</v>
      </c>
      <c r="AF944" s="84" t="n">
        <v>0.8</v>
      </c>
      <c r="AG944" s="84" t="n">
        <v>0.9</v>
      </c>
      <c r="AH944" s="84" t="n">
        <v>0</v>
      </c>
      <c r="AI944" s="84" t="n">
        <v>0</v>
      </c>
      <c r="AJ944" s="84">
        <f>SUMIFS(AH$8:AH$1039,$O$8:$O$1039,O944,$AB$8:$AB$1039,AB944,$R$8:$R$1039,R944,$AA$8:$AA$1039,"&lt;="&amp;AA944)</f>
        <v/>
      </c>
      <c r="AK944" s="84">
        <f>C97</f>
        <v/>
      </c>
      <c r="AL944" s="84">
        <f>C103</f>
        <v/>
      </c>
      <c r="AM944" s="84">
        <f>MAX(0,AJ944-AK944)</f>
        <v/>
      </c>
      <c r="AN944" s="84">
        <f>IF(AM944=0,AH944,IF(AM944&gt;=AH944,0,AH944-AM944))</f>
        <v/>
      </c>
      <c r="AO944" s="84">
        <f>IF(AM944&gt;=AH944,AI944,AI944*AM944/AH944)</f>
        <v/>
      </c>
      <c r="AP944">
        <f t="array" ref="AP944">INDEX($AU$8:$BB$25,6*(R944-1)+MATCH(AB944,$AS$8:$AS$13,0),MATCH(O944,$AU$7:$BB$7,0))</f>
        <v/>
      </c>
    </row>
    <row r="945" ht="14.25" customHeight="1">
      <c r="O945" s="43" t="inlineStr">
        <is>
          <t>Q4’27</t>
        </is>
      </c>
      <c r="P945" s="43" t="n">
        <v>2</v>
      </c>
      <c r="Q945" s="43" t="n">
        <v>1</v>
      </c>
      <c r="R945" s="43" t="n">
        <v>2</v>
      </c>
      <c r="S945" s="45" t="n">
        <v>1458</v>
      </c>
      <c r="T945">
        <f>(S944+S945+S946)=U3</f>
        <v/>
      </c>
      <c r="X945" s="84" t="n">
        <v>0</v>
      </c>
      <c r="Y945" s="83" t="n">
        <v>0</v>
      </c>
      <c r="AA945" s="84" t="n">
        <v>9</v>
      </c>
      <c r="AB945" s="84" t="inlineStr">
        <is>
          <t>F</t>
        </is>
      </c>
      <c r="AC945" s="84" t="inlineStr">
        <is>
          <t>F+</t>
        </is>
      </c>
      <c r="AD945" s="84" t="n">
        <v>19</v>
      </c>
      <c r="AE945" s="84" t="n">
        <v>16</v>
      </c>
      <c r="AF945" s="84" t="n">
        <v>0.8</v>
      </c>
      <c r="AG945" s="84" t="n">
        <v>0.9</v>
      </c>
      <c r="AH945" s="84" t="n">
        <v>0</v>
      </c>
      <c r="AI945" s="84" t="n">
        <v>0</v>
      </c>
      <c r="AJ945" s="84">
        <f>SUMIFS(AH$8:AH$1039,$O$8:$O$1039,O945,$AB$8:$AB$1039,AB945,$R$8:$R$1039,R945,$AA$8:$AA$1039,"&lt;="&amp;AA945)</f>
        <v/>
      </c>
      <c r="AK945" s="84">
        <f>D97</f>
        <v/>
      </c>
      <c r="AL945" s="84">
        <f>D103</f>
        <v/>
      </c>
      <c r="AM945" s="84">
        <f>MAX(0,AJ945-AK945)</f>
        <v/>
      </c>
      <c r="AN945" s="84">
        <f>IF(AM945=0,AH945,IF(AM945&gt;=AH945,0,AH945-AM945))</f>
        <v/>
      </c>
      <c r="AO945" s="84">
        <f>IF(AM945&gt;=AH945,AI945,AI945*AM945/AH945)</f>
        <v/>
      </c>
      <c r="AP945">
        <f t="array" ref="AP945">INDEX($AU$8:$BB$25,6*(R945-1)+MATCH(AB945,$AS$8:$AS$13,0),MATCH(O945,$AU$7:$BB$7,0))</f>
        <v/>
      </c>
    </row>
    <row r="946" ht="14.25" customHeight="1">
      <c r="O946" s="43" t="inlineStr">
        <is>
          <t>Q4’27</t>
        </is>
      </c>
      <c r="P946" s="43" t="n">
        <v>2</v>
      </c>
      <c r="Q946" s="43" t="n">
        <v>1</v>
      </c>
      <c r="R946" s="43" t="n">
        <v>3</v>
      </c>
      <c r="S946" s="45" t="n">
        <v>-0</v>
      </c>
      <c r="T946">
        <f>(S944+S945+S946)=U3</f>
        <v/>
      </c>
      <c r="X946" s="84" t="n">
        <v>0</v>
      </c>
      <c r="Y946" s="83" t="n">
        <v>0</v>
      </c>
      <c r="AA946" s="84" t="n">
        <v>9</v>
      </c>
      <c r="AB946" s="84" t="inlineStr">
        <is>
          <t>F</t>
        </is>
      </c>
      <c r="AC946" s="84" t="inlineStr">
        <is>
          <t>F+</t>
        </is>
      </c>
      <c r="AD946" s="84" t="n">
        <v>19</v>
      </c>
      <c r="AE946" s="84" t="n">
        <v>16</v>
      </c>
      <c r="AF946" s="84" t="n">
        <v>0.8</v>
      </c>
      <c r="AG946" s="84" t="n">
        <v>0.9</v>
      </c>
      <c r="AH946" s="84" t="n">
        <v>0</v>
      </c>
      <c r="AI946" s="84" t="n">
        <v>0</v>
      </c>
      <c r="AJ946" s="84">
        <f>SUMIFS(AH$8:AH$1039,$O$8:$O$1039,O946,$AB$8:$AB$1039,AB946,$R$8:$R$1039,R946,$AA$8:$AA$1039,"&lt;="&amp;AA946)</f>
        <v/>
      </c>
      <c r="AK946" s="84">
        <f>E97</f>
        <v/>
      </c>
      <c r="AL946" s="84">
        <f>E103</f>
        <v/>
      </c>
      <c r="AM946" s="84">
        <f>MAX(0,AJ946-AK946)</f>
        <v/>
      </c>
      <c r="AN946" s="84">
        <f>IF(AM946=0,AH946,IF(AM946&gt;=AH946,0,AH946-AM946))</f>
        <v/>
      </c>
      <c r="AO946" s="84">
        <f>IF(AM946&gt;=AH946,AI946,AI946*AM946/AH946)</f>
        <v/>
      </c>
      <c r="AP946">
        <f t="array" ref="AP946">INDEX($AU$8:$BB$25,6*(R946-1)+MATCH(AB946,$AS$8:$AS$13,0),MATCH(O946,$AU$7:$BB$7,0))</f>
        <v/>
      </c>
    </row>
    <row r="947" ht="14.25" customHeight="1">
      <c r="O947" s="43" t="inlineStr">
        <is>
          <t>Q4’27</t>
        </is>
      </c>
      <c r="P947" s="43" t="n">
        <v>2</v>
      </c>
      <c r="Q947" s="43" t="n">
        <v>2</v>
      </c>
      <c r="R947" s="43" t="n">
        <v>1</v>
      </c>
      <c r="S947" s="45" t="n">
        <v>3192</v>
      </c>
      <c r="T947">
        <f>(S947+S948+S949)=U3</f>
        <v/>
      </c>
      <c r="X947" s="84">
        <f>MAX(S944-S947,0)</f>
        <v/>
      </c>
      <c r="Y947" s="83" t="n">
        <v>0</v>
      </c>
      <c r="AA947" s="84" t="n">
        <v>1</v>
      </c>
      <c r="AB947" s="84" t="inlineStr">
        <is>
          <t>B</t>
        </is>
      </c>
      <c r="AC947" s="84" t="inlineStr">
        <is>
          <t>B+</t>
        </is>
      </c>
      <c r="AD947" s="84" t="n">
        <v>20</v>
      </c>
      <c r="AE947" s="84" t="n">
        <v>18</v>
      </c>
      <c r="AF947" s="84" t="n">
        <v>0.76</v>
      </c>
      <c r="AG947" s="84" t="n">
        <v>0.8100000000000001</v>
      </c>
      <c r="AH947" s="84" t="n">
        <v>0</v>
      </c>
      <c r="AI947" s="84" t="n">
        <v>0</v>
      </c>
      <c r="AJ947" s="84">
        <f>SUMIFS(AH$8:AH$1039,$O$8:$O$1039,O947,$AB$8:$AB$1039,AB947,$R$8:$R$1039,R947,$AA$8:$AA$1039,"&lt;="&amp;AA947)</f>
        <v/>
      </c>
      <c r="AK947" s="84">
        <f>C93</f>
        <v/>
      </c>
      <c r="AL947" s="84">
        <f>C99</f>
        <v/>
      </c>
      <c r="AM947" s="84">
        <f>MAX(0,AJ947-AK947)</f>
        <v/>
      </c>
      <c r="AN947" s="84">
        <f>IF(AM947=0,AH947,IF(AM947&gt;=AH947,0,AH947-AM947))</f>
        <v/>
      </c>
      <c r="AO947" s="84">
        <f>IF(AM947&gt;=AH947,AI947,AI947*AM947/AH947)</f>
        <v/>
      </c>
      <c r="AP947">
        <f t="array" ref="AP947">INDEX($AU$8:$BB$25,6*(R947-1)+MATCH(AB947,$AS$8:$AS$13,0),MATCH(O947,$AU$7:$BB$7,0))</f>
        <v/>
      </c>
    </row>
    <row r="948" ht="14.25" customHeight="1">
      <c r="O948" s="43" t="inlineStr">
        <is>
          <t>Q4’27</t>
        </is>
      </c>
      <c r="P948" s="43" t="n">
        <v>2</v>
      </c>
      <c r="Q948" s="43" t="n">
        <v>2</v>
      </c>
      <c r="R948" s="43" t="n">
        <v>2</v>
      </c>
      <c r="S948" s="45" t="n">
        <v>1458</v>
      </c>
      <c r="T948">
        <f>(S947+S948+S949)=U3</f>
        <v/>
      </c>
      <c r="X948" s="84">
        <f>MAX(S945-S948,0)</f>
        <v/>
      </c>
      <c r="Y948" s="83" t="n">
        <v>0</v>
      </c>
      <c r="AA948" s="84" t="n">
        <v>1</v>
      </c>
      <c r="AB948" s="84" t="inlineStr">
        <is>
          <t>B</t>
        </is>
      </c>
      <c r="AC948" s="84" t="inlineStr">
        <is>
          <t>B+</t>
        </is>
      </c>
      <c r="AD948" s="84" t="n">
        <v>20</v>
      </c>
      <c r="AE948" s="84" t="n">
        <v>18</v>
      </c>
      <c r="AF948" s="84" t="n">
        <v>0.76</v>
      </c>
      <c r="AG948" s="84" t="n">
        <v>0.8100000000000001</v>
      </c>
      <c r="AH948" s="84" t="n">
        <v>0</v>
      </c>
      <c r="AI948" s="84" t="n">
        <v>0</v>
      </c>
      <c r="AJ948" s="84">
        <f>SUMIFS(AH$8:AH$1039,$O$8:$O$1039,O948,$AB$8:$AB$1039,AB948,$R$8:$R$1039,R948,$AA$8:$AA$1039,"&lt;="&amp;AA948)</f>
        <v/>
      </c>
      <c r="AK948" s="84">
        <f>D93</f>
        <v/>
      </c>
      <c r="AL948" s="84">
        <f>D99</f>
        <v/>
      </c>
      <c r="AM948" s="84">
        <f>MAX(0,AJ948-AK948)</f>
        <v/>
      </c>
      <c r="AN948" s="84">
        <f>IF(AM948=0,AH948,IF(AM948&gt;=AH948,0,AH948-AM948))</f>
        <v/>
      </c>
      <c r="AO948" s="84">
        <f>IF(AM948&gt;=AH948,AI948,AI948*AM948/AH948)</f>
        <v/>
      </c>
      <c r="AP948">
        <f t="array" ref="AP948">INDEX($AU$8:$BB$25,6*(R948-1)+MATCH(AB948,$AS$8:$AS$13,0),MATCH(O948,$AU$7:$BB$7,0))</f>
        <v/>
      </c>
    </row>
    <row r="949" ht="14.25" customHeight="1">
      <c r="O949" s="43" t="inlineStr">
        <is>
          <t>Q4’27</t>
        </is>
      </c>
      <c r="P949" s="43" t="n">
        <v>2</v>
      </c>
      <c r="Q949" s="43" t="n">
        <v>2</v>
      </c>
      <c r="R949" s="43" t="n">
        <v>3</v>
      </c>
      <c r="S949" s="45" t="n">
        <v>-0</v>
      </c>
      <c r="T949">
        <f>(S947+S948+S949)=U3</f>
        <v/>
      </c>
      <c r="X949" s="84">
        <f>MAX(S946-S949,0)</f>
        <v/>
      </c>
      <c r="Y949" s="83" t="n">
        <v>0</v>
      </c>
      <c r="AA949" s="84" t="n">
        <v>1</v>
      </c>
      <c r="AB949" s="84" t="inlineStr">
        <is>
          <t>B</t>
        </is>
      </c>
      <c r="AC949" s="84" t="inlineStr">
        <is>
          <t>B+</t>
        </is>
      </c>
      <c r="AD949" s="84" t="n">
        <v>20</v>
      </c>
      <c r="AE949" s="84" t="n">
        <v>18</v>
      </c>
      <c r="AF949" s="84" t="n">
        <v>0.76</v>
      </c>
      <c r="AG949" s="84" t="n">
        <v>0.8100000000000001</v>
      </c>
      <c r="AH949" s="84" t="n">
        <v>0</v>
      </c>
      <c r="AI949" s="84" t="n">
        <v>0</v>
      </c>
      <c r="AJ949" s="84">
        <f>SUMIFS(AH$8:AH$1039,$O$8:$O$1039,O949,$AB$8:$AB$1039,AB949,$R$8:$R$1039,R949,$AA$8:$AA$1039,"&lt;="&amp;AA949)</f>
        <v/>
      </c>
      <c r="AK949" s="84">
        <f>E93</f>
        <v/>
      </c>
      <c r="AL949" s="84">
        <f>E99</f>
        <v/>
      </c>
      <c r="AM949" s="84">
        <f>MAX(0,AJ949-AK949)</f>
        <v/>
      </c>
      <c r="AN949" s="84">
        <f>IF(AM949=0,AH949,IF(AM949&gt;=AH949,0,AH949-AM949))</f>
        <v/>
      </c>
      <c r="AO949" s="84">
        <f>IF(AM949&gt;=AH949,AI949,AI949*AM949/AH949)</f>
        <v/>
      </c>
      <c r="AP949">
        <f t="array" ref="AP949">INDEX($AU$8:$BB$25,6*(R949-1)+MATCH(AB949,$AS$8:$AS$13,0),MATCH(O949,$AU$7:$BB$7,0))</f>
        <v/>
      </c>
    </row>
    <row r="950" ht="14.25" customHeight="1">
      <c r="O950" s="43" t="inlineStr">
        <is>
          <t>Q4’27</t>
        </is>
      </c>
      <c r="P950" s="43" t="n">
        <v>2</v>
      </c>
      <c r="Q950" s="43" t="n">
        <v>3</v>
      </c>
      <c r="R950" s="43" t="n">
        <v>1</v>
      </c>
      <c r="S950" s="45" t="n">
        <v>3192</v>
      </c>
      <c r="T950">
        <f>(S950+S951+S952)=U3</f>
        <v/>
      </c>
      <c r="X950" s="84">
        <f>MAX(S947-S950,0)</f>
        <v/>
      </c>
      <c r="Y950" s="83" t="n">
        <v>0</v>
      </c>
      <c r="AA950" s="84" t="n">
        <v>11</v>
      </c>
      <c r="AB950" s="84" t="inlineStr">
        <is>
          <t>E</t>
        </is>
      </c>
      <c r="AC950" s="84" t="inlineStr">
        <is>
          <t>E+</t>
        </is>
      </c>
      <c r="AD950" s="84" t="n">
        <v>10</v>
      </c>
      <c r="AE950" s="84" t="n">
        <v>7</v>
      </c>
      <c r="AF950" s="84" t="n">
        <v>0.76</v>
      </c>
      <c r="AG950" s="84" t="n">
        <v>0.84</v>
      </c>
      <c r="AH950" s="84" t="n">
        <v>0</v>
      </c>
      <c r="AI950" s="84" t="n">
        <v>0</v>
      </c>
      <c r="AJ950" s="84">
        <f>SUMIFS(AH$8:AH$1039,$O$8:$O$1039,O950,$AB$8:$AB$1039,AB950,$R$8:$R$1039,R950,$AA$8:$AA$1039,"&lt;="&amp;AA950)</f>
        <v/>
      </c>
      <c r="AK950" s="84">
        <f>C96</f>
        <v/>
      </c>
      <c r="AL950" s="84">
        <f>C102</f>
        <v/>
      </c>
      <c r="AM950" s="84">
        <f>MAX(0,AJ950-AK950)</f>
        <v/>
      </c>
      <c r="AN950" s="84">
        <f>IF(AM950=0,AH950,IF(AM950&gt;=AH950,0,AH950-AM950))</f>
        <v/>
      </c>
      <c r="AO950" s="84">
        <f>IF(AM950&gt;=AH950,AI950,AI950*AM950/AH950)</f>
        <v/>
      </c>
      <c r="AP950">
        <f t="array" ref="AP950">INDEX($AU$8:$BB$25,6*(R950-1)+MATCH(AB950,$AS$8:$AS$13,0),MATCH(O950,$AU$7:$BB$7,0))</f>
        <v/>
      </c>
    </row>
    <row r="951" ht="14.25" customHeight="1">
      <c r="O951" s="43" t="inlineStr">
        <is>
          <t>Q4’27</t>
        </is>
      </c>
      <c r="P951" s="43" t="n">
        <v>2</v>
      </c>
      <c r="Q951" s="43" t="n">
        <v>3</v>
      </c>
      <c r="R951" s="43" t="n">
        <v>2</v>
      </c>
      <c r="S951" s="45" t="n">
        <v>1458</v>
      </c>
      <c r="T951">
        <f>(S950+S951+S952)=U3</f>
        <v/>
      </c>
      <c r="X951" s="84">
        <f>MAX(S948-S951,0)</f>
        <v/>
      </c>
      <c r="Y951" s="83" t="n">
        <v>0</v>
      </c>
      <c r="AA951" s="84" t="n">
        <v>11</v>
      </c>
      <c r="AB951" s="84" t="inlineStr">
        <is>
          <t>E</t>
        </is>
      </c>
      <c r="AC951" s="84" t="inlineStr">
        <is>
          <t>E+</t>
        </is>
      </c>
      <c r="AD951" s="84" t="n">
        <v>10</v>
      </c>
      <c r="AE951" s="84" t="n">
        <v>7</v>
      </c>
      <c r="AF951" s="84" t="n">
        <v>0.76</v>
      </c>
      <c r="AG951" s="84" t="n">
        <v>0.84</v>
      </c>
      <c r="AH951" s="84" t="n">
        <v>0</v>
      </c>
      <c r="AI951" s="84" t="n">
        <v>0</v>
      </c>
      <c r="AJ951" s="84">
        <f>SUMIFS(AH$8:AH$1039,$O$8:$O$1039,O951,$AB$8:$AB$1039,AB951,$R$8:$R$1039,R951,$AA$8:$AA$1039,"&lt;="&amp;AA951)</f>
        <v/>
      </c>
      <c r="AK951" s="84">
        <f>D96</f>
        <v/>
      </c>
      <c r="AL951" s="84">
        <f>D102</f>
        <v/>
      </c>
      <c r="AM951" s="84">
        <f>MAX(0,AJ951-AK951)</f>
        <v/>
      </c>
      <c r="AN951" s="84">
        <f>IF(AM951=0,AH951,IF(AM951&gt;=AH951,0,AH951-AM951))</f>
        <v/>
      </c>
      <c r="AO951" s="84">
        <f>IF(AM951&gt;=AH951,AI951,AI951*AM951/AH951)</f>
        <v/>
      </c>
      <c r="AP951">
        <f t="array" ref="AP951">INDEX($AU$8:$BB$25,6*(R951-1)+MATCH(AB951,$AS$8:$AS$13,0),MATCH(O951,$AU$7:$BB$7,0))</f>
        <v/>
      </c>
    </row>
    <row r="952" ht="14.25" customHeight="1">
      <c r="O952" s="43" t="inlineStr">
        <is>
          <t>Q4’27</t>
        </is>
      </c>
      <c r="P952" s="43" t="n">
        <v>2</v>
      </c>
      <c r="Q952" s="43" t="n">
        <v>3</v>
      </c>
      <c r="R952" s="43" t="n">
        <v>3</v>
      </c>
      <c r="S952" s="45" t="n">
        <v>-0</v>
      </c>
      <c r="T952">
        <f>(S950+S951+S952)=U3</f>
        <v/>
      </c>
      <c r="X952" s="84">
        <f>MAX(S949-S952,0)</f>
        <v/>
      </c>
      <c r="Y952" s="83" t="n">
        <v>0</v>
      </c>
      <c r="AA952" s="84" t="n">
        <v>11</v>
      </c>
      <c r="AB952" s="84" t="inlineStr">
        <is>
          <t>E</t>
        </is>
      </c>
      <c r="AC952" s="84" t="inlineStr">
        <is>
          <t>E+</t>
        </is>
      </c>
      <c r="AD952" s="84" t="n">
        <v>10</v>
      </c>
      <c r="AE952" s="84" t="n">
        <v>7</v>
      </c>
      <c r="AF952" s="84" t="n">
        <v>0.76</v>
      </c>
      <c r="AG952" s="84" t="n">
        <v>0.84</v>
      </c>
      <c r="AH952" s="84" t="n">
        <v>0</v>
      </c>
      <c r="AI952" s="84" t="n">
        <v>0</v>
      </c>
      <c r="AJ952" s="84">
        <f>SUMIFS(AH$8:AH$1039,$O$8:$O$1039,O952,$AB$8:$AB$1039,AB952,$R$8:$R$1039,R952,$AA$8:$AA$1039,"&lt;="&amp;AA952)</f>
        <v/>
      </c>
      <c r="AK952" s="84">
        <f>E96</f>
        <v/>
      </c>
      <c r="AL952" s="84">
        <f>E102</f>
        <v/>
      </c>
      <c r="AM952" s="84">
        <f>MAX(0,AJ952-AK952)</f>
        <v/>
      </c>
      <c r="AN952" s="84">
        <f>IF(AM952=0,AH952,IF(AM952&gt;=AH952,0,AH952-AM952))</f>
        <v/>
      </c>
      <c r="AO952" s="84">
        <f>IF(AM952&gt;=AH952,AI952,AI952*AM952/AH952)</f>
        <v/>
      </c>
      <c r="AP952">
        <f t="array" ref="AP952">INDEX($AU$8:$BB$25,6*(R952-1)+MATCH(AB952,$AS$8:$AS$13,0),MATCH(O952,$AU$7:$BB$7,0))</f>
        <v/>
      </c>
    </row>
    <row r="953" ht="14.25" customHeight="1">
      <c r="O953" s="43" t="inlineStr">
        <is>
          <t>Q4’27</t>
        </is>
      </c>
      <c r="P953" s="43" t="n">
        <v>2</v>
      </c>
      <c r="Q953" s="43" t="n">
        <v>4</v>
      </c>
      <c r="R953" s="43" t="n">
        <v>1</v>
      </c>
      <c r="S953" s="45" t="n">
        <v>3192</v>
      </c>
      <c r="T953">
        <f>(S953+S954+S955)=U3</f>
        <v/>
      </c>
      <c r="X953" s="84">
        <f>MAX(S950-S953,0)</f>
        <v/>
      </c>
      <c r="Y953" s="83" t="n">
        <v>0</v>
      </c>
      <c r="AA953" s="84" t="n">
        <v>2</v>
      </c>
      <c r="AB953" s="84" t="inlineStr">
        <is>
          <t>B</t>
        </is>
      </c>
      <c r="AC953" s="84" t="inlineStr">
        <is>
          <t>B+</t>
        </is>
      </c>
      <c r="AD953" s="84" t="n">
        <v>25</v>
      </c>
      <c r="AE953" s="84" t="n">
        <v>19</v>
      </c>
      <c r="AF953" s="84" t="n">
        <v>0.76</v>
      </c>
      <c r="AG953" s="84" t="n">
        <v>0.8100000000000001</v>
      </c>
      <c r="AH953" s="84" t="n">
        <v>0</v>
      </c>
      <c r="AI953" s="84" t="n">
        <v>0</v>
      </c>
      <c r="AJ953" s="84">
        <f>SUMIFS(AH$8:AH$1039,$O$8:$O$1039,O953,$AB$8:$AB$1039,AB953,$R$8:$R$1039,R953,$AA$8:$AA$1039,"&lt;="&amp;AA953)</f>
        <v/>
      </c>
      <c r="AK953" s="84">
        <f>C93</f>
        <v/>
      </c>
      <c r="AL953" s="84">
        <f>C99</f>
        <v/>
      </c>
      <c r="AM953" s="84">
        <f>MAX(0,AJ953-AK953)</f>
        <v/>
      </c>
      <c r="AN953" s="84">
        <f>IF(AM953=0,AH953,IF(AM953&gt;=AH953,0,AH953-AM953))</f>
        <v/>
      </c>
      <c r="AO953" s="84">
        <f>IF(AM953&gt;=AH953,AI953,AI953*AM953/AH953)</f>
        <v/>
      </c>
      <c r="AP953">
        <f t="array" ref="AP953">INDEX($AU$8:$BB$25,6*(R953-1)+MATCH(AB953,$AS$8:$AS$13,0),MATCH(O953,$AU$7:$BB$7,0))</f>
        <v/>
      </c>
    </row>
    <row r="954" ht="14.25" customHeight="1">
      <c r="O954" s="43" t="inlineStr">
        <is>
          <t>Q4’27</t>
        </is>
      </c>
      <c r="P954" s="43" t="n">
        <v>2</v>
      </c>
      <c r="Q954" s="43" t="n">
        <v>4</v>
      </c>
      <c r="R954" s="43" t="n">
        <v>2</v>
      </c>
      <c r="S954" s="45" t="n">
        <v>1458</v>
      </c>
      <c r="T954">
        <f>(S953+S954+S955)=U3</f>
        <v/>
      </c>
      <c r="X954" s="84">
        <f>MAX(S951-S954,0)</f>
        <v/>
      </c>
      <c r="Y954" s="83" t="n">
        <v>0</v>
      </c>
      <c r="AA954" s="84" t="n">
        <v>2</v>
      </c>
      <c r="AB954" s="84" t="inlineStr">
        <is>
          <t>B</t>
        </is>
      </c>
      <c r="AC954" s="84" t="inlineStr">
        <is>
          <t>B+</t>
        </is>
      </c>
      <c r="AD954" s="84" t="n">
        <v>25</v>
      </c>
      <c r="AE954" s="84" t="n">
        <v>19</v>
      </c>
      <c r="AF954" s="84" t="n">
        <v>0.76</v>
      </c>
      <c r="AG954" s="84" t="n">
        <v>0.8100000000000001</v>
      </c>
      <c r="AH954" s="84" t="n">
        <v>0</v>
      </c>
      <c r="AI954" s="84" t="n">
        <v>0</v>
      </c>
      <c r="AJ954" s="84">
        <f>SUMIFS(AH$8:AH$1039,$O$8:$O$1039,O954,$AB$8:$AB$1039,AB954,$R$8:$R$1039,R954,$AA$8:$AA$1039,"&lt;="&amp;AA954)</f>
        <v/>
      </c>
      <c r="AK954" s="84">
        <f>D93</f>
        <v/>
      </c>
      <c r="AL954" s="84">
        <f>D99</f>
        <v/>
      </c>
      <c r="AM954" s="84">
        <f>MAX(0,AJ954-AK954)</f>
        <v/>
      </c>
      <c r="AN954" s="84">
        <f>IF(AM954=0,AH954,IF(AM954&gt;=AH954,0,AH954-AM954))</f>
        <v/>
      </c>
      <c r="AO954" s="84">
        <f>IF(AM954&gt;=AH954,AI954,AI954*AM954/AH954)</f>
        <v/>
      </c>
      <c r="AP954">
        <f t="array" ref="AP954">INDEX($AU$8:$BB$25,6*(R954-1)+MATCH(AB954,$AS$8:$AS$13,0),MATCH(O954,$AU$7:$BB$7,0))</f>
        <v/>
      </c>
    </row>
    <row r="955" ht="14.25" customHeight="1">
      <c r="O955" s="43" t="inlineStr">
        <is>
          <t>Q4’27</t>
        </is>
      </c>
      <c r="P955" s="43" t="n">
        <v>2</v>
      </c>
      <c r="Q955" s="43" t="n">
        <v>4</v>
      </c>
      <c r="R955" s="43" t="n">
        <v>3</v>
      </c>
      <c r="S955" s="45" t="n">
        <v>-0</v>
      </c>
      <c r="T955">
        <f>(S953+S954+S955)=U3</f>
        <v/>
      </c>
      <c r="X955" s="84">
        <f>MAX(S952-S955,0)</f>
        <v/>
      </c>
      <c r="Y955" s="83" t="n">
        <v>0</v>
      </c>
      <c r="AA955" s="84" t="n">
        <v>2</v>
      </c>
      <c r="AB955" s="84" t="inlineStr">
        <is>
          <t>B</t>
        </is>
      </c>
      <c r="AC955" s="84" t="inlineStr">
        <is>
          <t>B+</t>
        </is>
      </c>
      <c r="AD955" s="84" t="n">
        <v>25</v>
      </c>
      <c r="AE955" s="84" t="n">
        <v>19</v>
      </c>
      <c r="AF955" s="84" t="n">
        <v>0.76</v>
      </c>
      <c r="AG955" s="84" t="n">
        <v>0.8100000000000001</v>
      </c>
      <c r="AH955" s="84" t="n">
        <v>0</v>
      </c>
      <c r="AI955" s="84" t="n">
        <v>0</v>
      </c>
      <c r="AJ955" s="84">
        <f>SUMIFS(AH$8:AH$1039,$O$8:$O$1039,O955,$AB$8:$AB$1039,AB955,$R$8:$R$1039,R955,$AA$8:$AA$1039,"&lt;="&amp;AA955)</f>
        <v/>
      </c>
      <c r="AK955" s="84">
        <f>E93</f>
        <v/>
      </c>
      <c r="AL955" s="84">
        <f>E99</f>
        <v/>
      </c>
      <c r="AM955" s="84">
        <f>MAX(0,AJ955-AK955)</f>
        <v/>
      </c>
      <c r="AN955" s="84">
        <f>IF(AM955=0,AH955,IF(AM955&gt;=AH955,0,AH955-AM955))</f>
        <v/>
      </c>
      <c r="AO955" s="84">
        <f>IF(AM955&gt;=AH955,AI955,AI955*AM955/AH955)</f>
        <v/>
      </c>
      <c r="AP955">
        <f t="array" ref="AP955">INDEX($AU$8:$BB$25,6*(R955-1)+MATCH(AB955,$AS$8:$AS$13,0),MATCH(O955,$AU$7:$BB$7,0))</f>
        <v/>
      </c>
    </row>
    <row r="956" ht="14.25" customHeight="1">
      <c r="O956" s="43" t="inlineStr">
        <is>
          <t>Q4’27</t>
        </is>
      </c>
      <c r="P956" s="43" t="n">
        <v>2</v>
      </c>
      <c r="Q956" s="43" t="n">
        <v>5</v>
      </c>
      <c r="R956" s="43" t="n">
        <v>1</v>
      </c>
      <c r="S956" s="45" t="n">
        <v>3192</v>
      </c>
      <c r="T956">
        <f>(S956+S957+S958)=U3</f>
        <v/>
      </c>
      <c r="X956" s="84">
        <f>MAX(S953-S956,0)</f>
        <v/>
      </c>
      <c r="Y956" s="83" t="n">
        <v>0</v>
      </c>
      <c r="AA956" s="84" t="n">
        <v>3</v>
      </c>
      <c r="AB956" s="84" t="inlineStr">
        <is>
          <t>B</t>
        </is>
      </c>
      <c r="AC956" s="84" t="inlineStr">
        <is>
          <t>B+</t>
        </is>
      </c>
      <c r="AD956" s="84" t="n">
        <v>15</v>
      </c>
      <c r="AE956" s="84" t="n">
        <v>11</v>
      </c>
      <c r="AF956" s="84" t="n">
        <v>0.76</v>
      </c>
      <c r="AG956" s="84" t="n">
        <v>0.8100000000000001</v>
      </c>
      <c r="AH956" s="84" t="n">
        <v>0</v>
      </c>
      <c r="AI956" s="84" t="n">
        <v>0</v>
      </c>
      <c r="AJ956" s="84">
        <f>SUMIFS(AH$8:AH$1039,$O$8:$O$1039,O956,$AB$8:$AB$1039,AB956,$R$8:$R$1039,R956,$AA$8:$AA$1039,"&lt;="&amp;AA956)</f>
        <v/>
      </c>
      <c r="AK956" s="84">
        <f>C93</f>
        <v/>
      </c>
      <c r="AL956" s="84">
        <f>C99</f>
        <v/>
      </c>
      <c r="AM956" s="84">
        <f>MAX(0,AJ956-AK956)</f>
        <v/>
      </c>
      <c r="AN956" s="84">
        <f>IF(AM956=0,AH956,IF(AM956&gt;=AH956,0,AH956-AM956))</f>
        <v/>
      </c>
      <c r="AO956" s="84">
        <f>IF(AM956&gt;=AH956,AI956,AI956*AM956/AH956)</f>
        <v/>
      </c>
      <c r="AP956">
        <f t="array" ref="AP956">INDEX($AU$8:$BB$25,6*(R956-1)+MATCH(AB956,$AS$8:$AS$13,0),MATCH(O956,$AU$7:$BB$7,0))</f>
        <v/>
      </c>
    </row>
    <row r="957" ht="14.25" customHeight="1">
      <c r="O957" s="43" t="inlineStr">
        <is>
          <t>Q4’27</t>
        </is>
      </c>
      <c r="P957" s="43" t="n">
        <v>2</v>
      </c>
      <c r="Q957" s="43" t="n">
        <v>5</v>
      </c>
      <c r="R957" s="43" t="n">
        <v>2</v>
      </c>
      <c r="S957" s="45" t="n">
        <v>1458</v>
      </c>
      <c r="T957">
        <f>(S956+S957+S958)=U3</f>
        <v/>
      </c>
      <c r="X957" s="84">
        <f>MAX(S954-S957,0)</f>
        <v/>
      </c>
      <c r="Y957" s="83" t="n">
        <v>0</v>
      </c>
      <c r="AA957" s="84" t="n">
        <v>3</v>
      </c>
      <c r="AB957" s="84" t="inlineStr">
        <is>
          <t>B</t>
        </is>
      </c>
      <c r="AC957" s="84" t="inlineStr">
        <is>
          <t>B+</t>
        </is>
      </c>
      <c r="AD957" s="84" t="n">
        <v>15</v>
      </c>
      <c r="AE957" s="84" t="n">
        <v>11</v>
      </c>
      <c r="AF957" s="84" t="n">
        <v>0.76</v>
      </c>
      <c r="AG957" s="84" t="n">
        <v>0.8100000000000001</v>
      </c>
      <c r="AH957" s="84" t="n">
        <v>0</v>
      </c>
      <c r="AI957" s="84" t="n">
        <v>0</v>
      </c>
      <c r="AJ957" s="84">
        <f>SUMIFS(AH$8:AH$1039,$O$8:$O$1039,O957,$AB$8:$AB$1039,AB957,$R$8:$R$1039,R957,$AA$8:$AA$1039,"&lt;="&amp;AA957)</f>
        <v/>
      </c>
      <c r="AK957" s="84">
        <f>D93</f>
        <v/>
      </c>
      <c r="AL957" s="84">
        <f>D99</f>
        <v/>
      </c>
      <c r="AM957" s="84">
        <f>MAX(0,AJ957-AK957)</f>
        <v/>
      </c>
      <c r="AN957" s="84">
        <f>IF(AM957=0,AH957,IF(AM957&gt;=AH957,0,AH957-AM957))</f>
        <v/>
      </c>
      <c r="AO957" s="84">
        <f>IF(AM957&gt;=AH957,AI957,AI957*AM957/AH957)</f>
        <v/>
      </c>
      <c r="AP957">
        <f t="array" ref="AP957">INDEX($AU$8:$BB$25,6*(R957-1)+MATCH(AB957,$AS$8:$AS$13,0),MATCH(O957,$AU$7:$BB$7,0))</f>
        <v/>
      </c>
    </row>
    <row r="958" ht="14.25" customHeight="1">
      <c r="O958" s="43" t="inlineStr">
        <is>
          <t>Q4’27</t>
        </is>
      </c>
      <c r="P958" s="43" t="n">
        <v>2</v>
      </c>
      <c r="Q958" s="43" t="n">
        <v>5</v>
      </c>
      <c r="R958" s="43" t="n">
        <v>3</v>
      </c>
      <c r="S958" s="45" t="n">
        <v>0</v>
      </c>
      <c r="T958">
        <f>(S956+S957+S958)=U3</f>
        <v/>
      </c>
      <c r="X958" s="84">
        <f>MAX(S955-S958,0)</f>
        <v/>
      </c>
      <c r="Y958" s="83" t="n">
        <v>0</v>
      </c>
      <c r="AA958" s="84" t="n">
        <v>3</v>
      </c>
      <c r="AB958" s="84" t="inlineStr">
        <is>
          <t>B</t>
        </is>
      </c>
      <c r="AC958" s="84" t="inlineStr">
        <is>
          <t>B+</t>
        </is>
      </c>
      <c r="AD958" s="84" t="n">
        <v>15</v>
      </c>
      <c r="AE958" s="84" t="n">
        <v>11</v>
      </c>
      <c r="AF958" s="84" t="n">
        <v>0.76</v>
      </c>
      <c r="AG958" s="84" t="n">
        <v>0.8100000000000001</v>
      </c>
      <c r="AH958" s="84" t="n">
        <v>0</v>
      </c>
      <c r="AI958" s="84" t="n">
        <v>0</v>
      </c>
      <c r="AJ958" s="84">
        <f>SUMIFS(AH$8:AH$1039,$O$8:$O$1039,O958,$AB$8:$AB$1039,AB958,$R$8:$R$1039,R958,$AA$8:$AA$1039,"&lt;="&amp;AA958)</f>
        <v/>
      </c>
      <c r="AK958" s="84">
        <f>E93</f>
        <v/>
      </c>
      <c r="AL958" s="84">
        <f>E99</f>
        <v/>
      </c>
      <c r="AM958" s="84">
        <f>MAX(0,AJ958-AK958)</f>
        <v/>
      </c>
      <c r="AN958" s="84">
        <f>IF(AM958=0,AH958,IF(AM958&gt;=AH958,0,AH958-AM958))</f>
        <v/>
      </c>
      <c r="AO958" s="84">
        <f>IF(AM958&gt;=AH958,AI958,AI958*AM958/AH958)</f>
        <v/>
      </c>
      <c r="AP958">
        <f t="array" ref="AP958">INDEX($AU$8:$BB$25,6*(R958-1)+MATCH(AB958,$AS$8:$AS$13,0),MATCH(O958,$AU$7:$BB$7,0))</f>
        <v/>
      </c>
    </row>
    <row r="959" ht="14.25" customHeight="1">
      <c r="O959" s="43" t="inlineStr">
        <is>
          <t>Q4’27</t>
        </is>
      </c>
      <c r="P959" s="43" t="n">
        <v>2</v>
      </c>
      <c r="Q959" s="43" t="n">
        <v>6</v>
      </c>
      <c r="R959" s="43" t="n">
        <v>1</v>
      </c>
      <c r="S959" s="45" t="n">
        <v>3192</v>
      </c>
      <c r="T959">
        <f>(S959+S960+S961)=U3</f>
        <v/>
      </c>
      <c r="X959" s="84">
        <f>MAX(S956-S959,0)</f>
        <v/>
      </c>
      <c r="Y959" s="83" t="n">
        <v>0</v>
      </c>
      <c r="AA959" s="84" t="n">
        <v>5</v>
      </c>
      <c r="AB959" s="84" t="inlineStr">
        <is>
          <t>F</t>
        </is>
      </c>
      <c r="AC959" s="84" t="inlineStr">
        <is>
          <t>F+</t>
        </is>
      </c>
      <c r="AD959" s="84" t="n">
        <v>16</v>
      </c>
      <c r="AE959" s="84" t="n">
        <v>14</v>
      </c>
      <c r="AF959" s="84" t="n">
        <v>0.8</v>
      </c>
      <c r="AG959" s="84" t="n">
        <v>0.9</v>
      </c>
      <c r="AH959" s="84" t="n">
        <v>0</v>
      </c>
      <c r="AI959" s="84" t="n">
        <v>0</v>
      </c>
      <c r="AJ959" s="84">
        <f>SUMIFS(AH$8:AH$1039,$O$8:$O$1039,O959,$AB$8:$AB$1039,AB959,$R$8:$R$1039,R959,$AA$8:$AA$1039,"&lt;="&amp;AA959)</f>
        <v/>
      </c>
      <c r="AK959" s="84">
        <f>C97</f>
        <v/>
      </c>
      <c r="AL959" s="84">
        <f>C103</f>
        <v/>
      </c>
      <c r="AM959" s="84">
        <f>MAX(0,AJ959-AK959)</f>
        <v/>
      </c>
      <c r="AN959" s="84">
        <f>IF(AM959=0,AH959,IF(AM959&gt;=AH959,0,AH959-AM959))</f>
        <v/>
      </c>
      <c r="AO959" s="84">
        <f>IF(AM959&gt;=AH959,AI959,AI959*AM959/AH959)</f>
        <v/>
      </c>
      <c r="AP959">
        <f t="array" ref="AP959">INDEX($AU$8:$BB$25,6*(R959-1)+MATCH(AB959,$AS$8:$AS$13,0),MATCH(O959,$AU$7:$BB$7,0))</f>
        <v/>
      </c>
    </row>
    <row r="960" ht="14.25" customHeight="1">
      <c r="O960" s="43" t="inlineStr">
        <is>
          <t>Q4’27</t>
        </is>
      </c>
      <c r="P960" s="43" t="n">
        <v>2</v>
      </c>
      <c r="Q960" s="43" t="n">
        <v>6</v>
      </c>
      <c r="R960" s="43" t="n">
        <v>2</v>
      </c>
      <c r="S960" s="45" t="n">
        <v>1458</v>
      </c>
      <c r="T960">
        <f>(S959+S960+S961)=U3</f>
        <v/>
      </c>
      <c r="X960" s="84">
        <f>MAX(S957-S960,0)</f>
        <v/>
      </c>
      <c r="Y960" s="83" t="n">
        <v>0</v>
      </c>
      <c r="AA960" s="84" t="n">
        <v>5</v>
      </c>
      <c r="AB960" s="84" t="inlineStr">
        <is>
          <t>F</t>
        </is>
      </c>
      <c r="AC960" s="84" t="inlineStr">
        <is>
          <t>F+</t>
        </is>
      </c>
      <c r="AD960" s="84" t="n">
        <v>16</v>
      </c>
      <c r="AE960" s="84" t="n">
        <v>14</v>
      </c>
      <c r="AF960" s="84" t="n">
        <v>0.8</v>
      </c>
      <c r="AG960" s="84" t="n">
        <v>0.9</v>
      </c>
      <c r="AH960" s="84" t="n">
        <v>0</v>
      </c>
      <c r="AI960" s="84" t="n">
        <v>0</v>
      </c>
      <c r="AJ960" s="84">
        <f>SUMIFS(AH$8:AH$1039,$O$8:$O$1039,O960,$AB$8:$AB$1039,AB960,$R$8:$R$1039,R960,$AA$8:$AA$1039,"&lt;="&amp;AA960)</f>
        <v/>
      </c>
      <c r="AK960" s="84">
        <f>D97</f>
        <v/>
      </c>
      <c r="AL960" s="84">
        <f>D103</f>
        <v/>
      </c>
      <c r="AM960" s="84">
        <f>MAX(0,AJ960-AK960)</f>
        <v/>
      </c>
      <c r="AN960" s="84">
        <f>IF(AM960=0,AH960,IF(AM960&gt;=AH960,0,AH960-AM960))</f>
        <v/>
      </c>
      <c r="AO960" s="84">
        <f>IF(AM960&gt;=AH960,AI960,AI960*AM960/AH960)</f>
        <v/>
      </c>
      <c r="AP960">
        <f t="array" ref="AP960">INDEX($AU$8:$BB$25,6*(R960-1)+MATCH(AB960,$AS$8:$AS$13,0),MATCH(O960,$AU$7:$BB$7,0))</f>
        <v/>
      </c>
    </row>
    <row r="961" ht="14.25" customHeight="1">
      <c r="O961" s="43" t="inlineStr">
        <is>
          <t>Q4’27</t>
        </is>
      </c>
      <c r="P961" s="43" t="n">
        <v>2</v>
      </c>
      <c r="Q961" s="43" t="n">
        <v>6</v>
      </c>
      <c r="R961" s="43" t="n">
        <v>3</v>
      </c>
      <c r="S961" s="45" t="n">
        <v>-0</v>
      </c>
      <c r="T961">
        <f>(S959+S960+S961)=U3</f>
        <v/>
      </c>
      <c r="X961" s="84">
        <f>MAX(S958-S961,0)</f>
        <v/>
      </c>
      <c r="Y961" s="83" t="n">
        <v>0</v>
      </c>
      <c r="AA961" s="84" t="n">
        <v>5</v>
      </c>
      <c r="AB961" s="84" t="inlineStr">
        <is>
          <t>F</t>
        </is>
      </c>
      <c r="AC961" s="84" t="inlineStr">
        <is>
          <t>F+</t>
        </is>
      </c>
      <c r="AD961" s="84" t="n">
        <v>16</v>
      </c>
      <c r="AE961" s="84" t="n">
        <v>14</v>
      </c>
      <c r="AF961" s="84" t="n">
        <v>0.8</v>
      </c>
      <c r="AG961" s="84" t="n">
        <v>0.9</v>
      </c>
      <c r="AH961" s="84" t="n">
        <v>0</v>
      </c>
      <c r="AI961" s="84" t="n">
        <v>0</v>
      </c>
      <c r="AJ961" s="84">
        <f>SUMIFS(AH$8:AH$1039,$O$8:$O$1039,O961,$AB$8:$AB$1039,AB961,$R$8:$R$1039,R961,$AA$8:$AA$1039,"&lt;="&amp;AA961)</f>
        <v/>
      </c>
      <c r="AK961" s="84">
        <f>E97</f>
        <v/>
      </c>
      <c r="AL961" s="84">
        <f>E103</f>
        <v/>
      </c>
      <c r="AM961" s="84">
        <f>MAX(0,AJ961-AK961)</f>
        <v/>
      </c>
      <c r="AN961" s="84">
        <f>IF(AM961=0,AH961,IF(AM961&gt;=AH961,0,AH961-AM961))</f>
        <v/>
      </c>
      <c r="AO961" s="84">
        <f>IF(AM961&gt;=AH961,AI961,AI961*AM961/AH961)</f>
        <v/>
      </c>
      <c r="AP961">
        <f t="array" ref="AP961">INDEX($AU$8:$BB$25,6*(R961-1)+MATCH(AB961,$AS$8:$AS$13,0),MATCH(O961,$AU$7:$BB$7,0))</f>
        <v/>
      </c>
    </row>
    <row r="962" ht="14.25" customHeight="1">
      <c r="O962" s="43" t="inlineStr">
        <is>
          <t>Q4’27</t>
        </is>
      </c>
      <c r="P962" s="43" t="n">
        <v>2</v>
      </c>
      <c r="Q962" s="43" t="n">
        <v>7</v>
      </c>
      <c r="R962" s="43" t="n">
        <v>1</v>
      </c>
      <c r="S962" s="45" t="n">
        <v>3192</v>
      </c>
      <c r="T962">
        <f>(S962+S963+S964)=U3</f>
        <v/>
      </c>
      <c r="X962" s="84">
        <f>MAX(S959-S962,0)</f>
        <v/>
      </c>
      <c r="Y962" s="83" t="n">
        <v>0</v>
      </c>
      <c r="AA962" s="84" t="n">
        <v>4</v>
      </c>
      <c r="AB962" s="84" t="inlineStr">
        <is>
          <t>F</t>
        </is>
      </c>
      <c r="AC962" s="84" t="inlineStr">
        <is>
          <t>F+</t>
        </is>
      </c>
      <c r="AD962" s="84" t="n">
        <v>17</v>
      </c>
      <c r="AE962" s="84" t="n">
        <v>15</v>
      </c>
      <c r="AF962" s="84" t="n">
        <v>0.8</v>
      </c>
      <c r="AG962" s="84" t="n">
        <v>0.9</v>
      </c>
      <c r="AH962" s="84" t="n">
        <v>0</v>
      </c>
      <c r="AI962" s="84" t="n">
        <v>0</v>
      </c>
      <c r="AJ962" s="84">
        <f>SUMIFS(AH$8:AH$1039,$O$8:$O$1039,O962,$AB$8:$AB$1039,AB962,$R$8:$R$1039,R962,$AA$8:$AA$1039,"&lt;="&amp;AA962)</f>
        <v/>
      </c>
      <c r="AK962" s="84">
        <f>C97</f>
        <v/>
      </c>
      <c r="AL962" s="84">
        <f>C103</f>
        <v/>
      </c>
      <c r="AM962" s="84">
        <f>MAX(0,AJ962-AK962)</f>
        <v/>
      </c>
      <c r="AN962" s="84">
        <f>IF(AM962=0,AH962,IF(AM962&gt;=AH962,0,AH962-AM962))</f>
        <v/>
      </c>
      <c r="AO962" s="84">
        <f>IF(AM962&gt;=AH962,AI962,AI962*AM962/AH962)</f>
        <v/>
      </c>
      <c r="AP962">
        <f t="array" ref="AP962">INDEX($AU$8:$BB$25,6*(R962-1)+MATCH(AB962,$AS$8:$AS$13,0),MATCH(O962,$AU$7:$BB$7,0))</f>
        <v/>
      </c>
    </row>
    <row r="963" ht="14.25" customHeight="1">
      <c r="O963" s="43" t="inlineStr">
        <is>
          <t>Q4’27</t>
        </is>
      </c>
      <c r="P963" s="43" t="n">
        <v>2</v>
      </c>
      <c r="Q963" s="43" t="n">
        <v>7</v>
      </c>
      <c r="R963" s="43" t="n">
        <v>2</v>
      </c>
      <c r="S963" s="45" t="n">
        <v>1458</v>
      </c>
      <c r="T963">
        <f>(S962+S963+S964)=U3</f>
        <v/>
      </c>
      <c r="X963" s="84">
        <f>MAX(S960-S963,0)</f>
        <v/>
      </c>
      <c r="Y963" s="83" t="n">
        <v>0</v>
      </c>
      <c r="AA963" s="84" t="n">
        <v>4</v>
      </c>
      <c r="AB963" s="84" t="inlineStr">
        <is>
          <t>F</t>
        </is>
      </c>
      <c r="AC963" s="84" t="inlineStr">
        <is>
          <t>F+</t>
        </is>
      </c>
      <c r="AD963" s="84" t="n">
        <v>17</v>
      </c>
      <c r="AE963" s="84" t="n">
        <v>15</v>
      </c>
      <c r="AF963" s="84" t="n">
        <v>0.8</v>
      </c>
      <c r="AG963" s="84" t="n">
        <v>0.9</v>
      </c>
      <c r="AH963" s="84" t="n">
        <v>0</v>
      </c>
      <c r="AI963" s="84" t="n">
        <v>0</v>
      </c>
      <c r="AJ963" s="84">
        <f>SUMIFS(AH$8:AH$1039,$O$8:$O$1039,O963,$AB$8:$AB$1039,AB963,$R$8:$R$1039,R963,$AA$8:$AA$1039,"&lt;="&amp;AA963)</f>
        <v/>
      </c>
      <c r="AK963" s="84">
        <f>D97</f>
        <v/>
      </c>
      <c r="AL963" s="84">
        <f>D103</f>
        <v/>
      </c>
      <c r="AM963" s="84">
        <f>MAX(0,AJ963-AK963)</f>
        <v/>
      </c>
      <c r="AN963" s="84">
        <f>IF(AM963=0,AH963,IF(AM963&gt;=AH963,0,AH963-AM963))</f>
        <v/>
      </c>
      <c r="AO963" s="84">
        <f>IF(AM963&gt;=AH963,AI963,AI963*AM963/AH963)</f>
        <v/>
      </c>
      <c r="AP963">
        <f t="array" ref="AP963">INDEX($AU$8:$BB$25,6*(R963-1)+MATCH(AB963,$AS$8:$AS$13,0),MATCH(O963,$AU$7:$BB$7,0))</f>
        <v/>
      </c>
    </row>
    <row r="964" ht="14.25" customHeight="1">
      <c r="O964" s="43" t="inlineStr">
        <is>
          <t>Q4’27</t>
        </is>
      </c>
      <c r="P964" s="43" t="n">
        <v>2</v>
      </c>
      <c r="Q964" s="43" t="n">
        <v>7</v>
      </c>
      <c r="R964" s="43" t="n">
        <v>3</v>
      </c>
      <c r="S964" s="45" t="n">
        <v>-0</v>
      </c>
      <c r="T964">
        <f>(S962+S963+S964)=U3</f>
        <v/>
      </c>
      <c r="X964" s="84">
        <f>MAX(S961-S964,0)</f>
        <v/>
      </c>
      <c r="Y964" s="83" t="n">
        <v>0</v>
      </c>
      <c r="AA964" s="84" t="n">
        <v>4</v>
      </c>
      <c r="AB964" s="84" t="inlineStr">
        <is>
          <t>F</t>
        </is>
      </c>
      <c r="AC964" s="84" t="inlineStr">
        <is>
          <t>F+</t>
        </is>
      </c>
      <c r="AD964" s="84" t="n">
        <v>17</v>
      </c>
      <c r="AE964" s="84" t="n">
        <v>15</v>
      </c>
      <c r="AF964" s="84" t="n">
        <v>0.8</v>
      </c>
      <c r="AG964" s="84" t="n">
        <v>0.9</v>
      </c>
      <c r="AH964" s="84" t="n">
        <v>0</v>
      </c>
      <c r="AI964" s="84" t="n">
        <v>0</v>
      </c>
      <c r="AJ964" s="84">
        <f>SUMIFS(AH$8:AH$1039,$O$8:$O$1039,O964,$AB$8:$AB$1039,AB964,$R$8:$R$1039,R964,$AA$8:$AA$1039,"&lt;="&amp;AA964)</f>
        <v/>
      </c>
      <c r="AK964" s="84">
        <f>E97</f>
        <v/>
      </c>
      <c r="AL964" s="84">
        <f>E103</f>
        <v/>
      </c>
      <c r="AM964" s="84">
        <f>MAX(0,AJ964-AK964)</f>
        <v/>
      </c>
      <c r="AN964" s="84">
        <f>IF(AM964=0,AH964,IF(AM964&gt;=AH964,0,AH964-AM964))</f>
        <v/>
      </c>
      <c r="AO964" s="84">
        <f>IF(AM964&gt;=AH964,AI964,AI964*AM964/AH964)</f>
        <v/>
      </c>
      <c r="AP964">
        <f t="array" ref="AP964">INDEX($AU$8:$BB$25,6*(R964-1)+MATCH(AB964,$AS$8:$AS$13,0),MATCH(O964,$AU$7:$BB$7,0))</f>
        <v/>
      </c>
    </row>
    <row r="965" ht="14.25" customHeight="1">
      <c r="O965" s="43" t="inlineStr">
        <is>
          <t>Q4’27</t>
        </is>
      </c>
      <c r="P965" s="43" t="n">
        <v>2</v>
      </c>
      <c r="Q965" s="43" t="n">
        <v>8</v>
      </c>
      <c r="R965" s="43" t="n">
        <v>1</v>
      </c>
      <c r="S965" s="45" t="n">
        <v>3192</v>
      </c>
      <c r="T965">
        <f>(S965+S966+S967)=U3</f>
        <v/>
      </c>
      <c r="X965" s="84">
        <f>MAX(S962-S965,0)</f>
        <v/>
      </c>
      <c r="Y965" s="83" t="n">
        <v>0</v>
      </c>
      <c r="AA965" s="84" t="n">
        <v>4</v>
      </c>
      <c r="AB965" s="84" t="inlineStr">
        <is>
          <t>B</t>
        </is>
      </c>
      <c r="AC965" s="84" t="inlineStr">
        <is>
          <t>B+</t>
        </is>
      </c>
      <c r="AD965" s="84" t="n">
        <v>22</v>
      </c>
      <c r="AE965" s="84" t="n">
        <v>16</v>
      </c>
      <c r="AF965" s="84" t="n">
        <v>0.76</v>
      </c>
      <c r="AG965" s="84" t="n">
        <v>0.8100000000000001</v>
      </c>
      <c r="AH965" s="84" t="n">
        <v>0</v>
      </c>
      <c r="AI965" s="84" t="n">
        <v>0</v>
      </c>
      <c r="AJ965" s="84">
        <f>SUMIFS(AH$8:AH$1039,$O$8:$O$1039,O965,$AB$8:$AB$1039,AB965,$R$8:$R$1039,R965,$AA$8:$AA$1039,"&lt;="&amp;AA965)</f>
        <v/>
      </c>
      <c r="AK965" s="84">
        <f>C93</f>
        <v/>
      </c>
      <c r="AL965" s="84">
        <f>C99</f>
        <v/>
      </c>
      <c r="AM965" s="84">
        <f>MAX(0,AJ965-AK965)</f>
        <v/>
      </c>
      <c r="AN965" s="84">
        <f>IF(AM965=0,AH965,IF(AM965&gt;=AH965,0,AH965-AM965))</f>
        <v/>
      </c>
      <c r="AO965" s="84">
        <f>IF(AM965&gt;=AH965,AI965,AI965*AM965/AH965)</f>
        <v/>
      </c>
      <c r="AP965">
        <f t="array" ref="AP965">INDEX($AU$8:$BB$25,6*(R965-1)+MATCH(AB965,$AS$8:$AS$13,0),MATCH(O965,$AU$7:$BB$7,0))</f>
        <v/>
      </c>
    </row>
    <row r="966" ht="14.25" customHeight="1">
      <c r="O966" s="43" t="inlineStr">
        <is>
          <t>Q4’27</t>
        </is>
      </c>
      <c r="P966" s="43" t="n">
        <v>2</v>
      </c>
      <c r="Q966" s="43" t="n">
        <v>8</v>
      </c>
      <c r="R966" s="43" t="n">
        <v>2</v>
      </c>
      <c r="S966" s="45" t="n">
        <v>1458</v>
      </c>
      <c r="T966">
        <f>(S965+S966+S967)=U3</f>
        <v/>
      </c>
      <c r="X966" s="84">
        <f>MAX(S963-S966,0)</f>
        <v/>
      </c>
      <c r="Y966" s="83" t="n">
        <v>0</v>
      </c>
      <c r="AA966" s="84" t="n">
        <v>4</v>
      </c>
      <c r="AB966" s="84" t="inlineStr">
        <is>
          <t>B</t>
        </is>
      </c>
      <c r="AC966" s="84" t="inlineStr">
        <is>
          <t>B+</t>
        </is>
      </c>
      <c r="AD966" s="84" t="n">
        <v>22</v>
      </c>
      <c r="AE966" s="84" t="n">
        <v>16</v>
      </c>
      <c r="AF966" s="84" t="n">
        <v>0.76</v>
      </c>
      <c r="AG966" s="84" t="n">
        <v>0.8100000000000001</v>
      </c>
      <c r="AH966" s="84" t="n">
        <v>0</v>
      </c>
      <c r="AI966" s="84" t="n">
        <v>0</v>
      </c>
      <c r="AJ966" s="84">
        <f>SUMIFS(AH$8:AH$1039,$O$8:$O$1039,O966,$AB$8:$AB$1039,AB966,$R$8:$R$1039,R966,$AA$8:$AA$1039,"&lt;="&amp;AA966)</f>
        <v/>
      </c>
      <c r="AK966" s="84">
        <f>D93</f>
        <v/>
      </c>
      <c r="AL966" s="84">
        <f>D99</f>
        <v/>
      </c>
      <c r="AM966" s="84">
        <f>MAX(0,AJ966-AK966)</f>
        <v/>
      </c>
      <c r="AN966" s="84">
        <f>IF(AM966=0,AH966,IF(AM966&gt;=AH966,0,AH966-AM966))</f>
        <v/>
      </c>
      <c r="AO966" s="84">
        <f>IF(AM966&gt;=AH966,AI966,AI966*AM966/AH966)</f>
        <v/>
      </c>
      <c r="AP966">
        <f t="array" ref="AP966">INDEX($AU$8:$BB$25,6*(R966-1)+MATCH(AB966,$AS$8:$AS$13,0),MATCH(O966,$AU$7:$BB$7,0))</f>
        <v/>
      </c>
    </row>
    <row r="967" ht="14.25" customHeight="1">
      <c r="O967" s="43" t="inlineStr">
        <is>
          <t>Q4’27</t>
        </is>
      </c>
      <c r="P967" s="43" t="n">
        <v>2</v>
      </c>
      <c r="Q967" s="43" t="n">
        <v>8</v>
      </c>
      <c r="R967" s="43" t="n">
        <v>3</v>
      </c>
      <c r="S967" s="45" t="n">
        <v>0</v>
      </c>
      <c r="T967">
        <f>(S965+S966+S967)=U3</f>
        <v/>
      </c>
      <c r="X967" s="84">
        <f>MAX(S964-S967,0)</f>
        <v/>
      </c>
      <c r="Y967" s="83" t="n">
        <v>0</v>
      </c>
      <c r="AA967" s="84" t="n">
        <v>4</v>
      </c>
      <c r="AB967" s="84" t="inlineStr">
        <is>
          <t>B</t>
        </is>
      </c>
      <c r="AC967" s="84" t="inlineStr">
        <is>
          <t>B+</t>
        </is>
      </c>
      <c r="AD967" s="84" t="n">
        <v>22</v>
      </c>
      <c r="AE967" s="84" t="n">
        <v>16</v>
      </c>
      <c r="AF967" s="84" t="n">
        <v>0.76</v>
      </c>
      <c r="AG967" s="84" t="n">
        <v>0.8100000000000001</v>
      </c>
      <c r="AH967" s="84" t="n">
        <v>0</v>
      </c>
      <c r="AI967" s="84" t="n">
        <v>0</v>
      </c>
      <c r="AJ967" s="84">
        <f>SUMIFS(AH$8:AH$1039,$O$8:$O$1039,O967,$AB$8:$AB$1039,AB967,$R$8:$R$1039,R967,$AA$8:$AA$1039,"&lt;="&amp;AA967)</f>
        <v/>
      </c>
      <c r="AK967" s="84">
        <f>E93</f>
        <v/>
      </c>
      <c r="AL967" s="84">
        <f>E99</f>
        <v/>
      </c>
      <c r="AM967" s="84">
        <f>MAX(0,AJ967-AK967)</f>
        <v/>
      </c>
      <c r="AN967" s="84">
        <f>IF(AM967=0,AH967,IF(AM967&gt;=AH967,0,AH967-AM967))</f>
        <v/>
      </c>
      <c r="AO967" s="84">
        <f>IF(AM967&gt;=AH967,AI967,AI967*AM967/AH967)</f>
        <v/>
      </c>
      <c r="AP967">
        <f t="array" ref="AP967">INDEX($AU$8:$BB$25,6*(R967-1)+MATCH(AB967,$AS$8:$AS$13,0),MATCH(O967,$AU$7:$BB$7,0))</f>
        <v/>
      </c>
    </row>
    <row r="968" ht="14.25" customHeight="1">
      <c r="O968" s="43" t="inlineStr">
        <is>
          <t>Q4’27</t>
        </is>
      </c>
      <c r="P968" s="43" t="n">
        <v>2</v>
      </c>
      <c r="Q968" s="43" t="n">
        <v>9</v>
      </c>
      <c r="R968" s="43" t="n">
        <v>1</v>
      </c>
      <c r="S968" s="45" t="n">
        <v>3192</v>
      </c>
      <c r="T968">
        <f>(S968+S969+S970)=U3</f>
        <v/>
      </c>
      <c r="X968" s="84">
        <f>MAX(S965-S968,0)</f>
        <v/>
      </c>
      <c r="Y968" s="83" t="n">
        <v>0</v>
      </c>
      <c r="AA968" s="84" t="n">
        <v>4</v>
      </c>
      <c r="AB968" s="84" t="inlineStr">
        <is>
          <t>E</t>
        </is>
      </c>
      <c r="AC968" s="84" t="inlineStr">
        <is>
          <t>E+</t>
        </is>
      </c>
      <c r="AD968" s="84" t="n">
        <v>7</v>
      </c>
      <c r="AE968" s="84" t="n">
        <v>6</v>
      </c>
      <c r="AF968" s="84" t="n">
        <v>0.76</v>
      </c>
      <c r="AG968" s="84" t="n">
        <v>0.84</v>
      </c>
      <c r="AH968" s="84" t="n">
        <v>0</v>
      </c>
      <c r="AI968" s="84" t="n">
        <v>0</v>
      </c>
      <c r="AJ968" s="84">
        <f>SUMIFS(AH$8:AH$1039,$O$8:$O$1039,O968,$AB$8:$AB$1039,AB968,$R$8:$R$1039,R968,$AA$8:$AA$1039,"&lt;="&amp;AA968)</f>
        <v/>
      </c>
      <c r="AK968" s="84">
        <f>C96</f>
        <v/>
      </c>
      <c r="AL968" s="84">
        <f>C102</f>
        <v/>
      </c>
      <c r="AM968" s="84">
        <f>MAX(0,AJ968-AK968)</f>
        <v/>
      </c>
      <c r="AN968" s="84">
        <f>IF(AM968=0,AH968,IF(AM968&gt;=AH968,0,AH968-AM968))</f>
        <v/>
      </c>
      <c r="AO968" s="84">
        <f>IF(AM968&gt;=AH968,AI968,AI968*AM968/AH968)</f>
        <v/>
      </c>
      <c r="AP968">
        <f t="array" ref="AP968">INDEX($AU$8:$BB$25,6*(R968-1)+MATCH(AB968,$AS$8:$AS$13,0),MATCH(O968,$AU$7:$BB$7,0))</f>
        <v/>
      </c>
    </row>
    <row r="969" ht="14.25" customHeight="1">
      <c r="O969" s="43" t="inlineStr">
        <is>
          <t>Q4’27</t>
        </is>
      </c>
      <c r="P969" s="43" t="n">
        <v>2</v>
      </c>
      <c r="Q969" s="43" t="n">
        <v>9</v>
      </c>
      <c r="R969" s="43" t="n">
        <v>2</v>
      </c>
      <c r="S969" s="45" t="n">
        <v>1458</v>
      </c>
      <c r="T969">
        <f>(S968+S969+S970)=U3</f>
        <v/>
      </c>
      <c r="X969" s="84">
        <f>MAX(S966-S969,0)</f>
        <v/>
      </c>
      <c r="Y969" s="83" t="n">
        <v>0</v>
      </c>
      <c r="AA969" s="84" t="n">
        <v>4</v>
      </c>
      <c r="AB969" s="84" t="inlineStr">
        <is>
          <t>E</t>
        </is>
      </c>
      <c r="AC969" s="84" t="inlineStr">
        <is>
          <t>E+</t>
        </is>
      </c>
      <c r="AD969" s="84" t="n">
        <v>7</v>
      </c>
      <c r="AE969" s="84" t="n">
        <v>6</v>
      </c>
      <c r="AF969" s="84" t="n">
        <v>0.76</v>
      </c>
      <c r="AG969" s="84" t="n">
        <v>0.84</v>
      </c>
      <c r="AH969" s="84" t="n">
        <v>0</v>
      </c>
      <c r="AI969" s="84" t="n">
        <v>0</v>
      </c>
      <c r="AJ969" s="84">
        <f>SUMIFS(AH$8:AH$1039,$O$8:$O$1039,O969,$AB$8:$AB$1039,AB969,$R$8:$R$1039,R969,$AA$8:$AA$1039,"&lt;="&amp;AA969)</f>
        <v/>
      </c>
      <c r="AK969" s="84">
        <f>D96</f>
        <v/>
      </c>
      <c r="AL969" s="84">
        <f>D102</f>
        <v/>
      </c>
      <c r="AM969" s="84">
        <f>MAX(0,AJ969-AK969)</f>
        <v/>
      </c>
      <c r="AN969" s="84">
        <f>IF(AM969=0,AH969,IF(AM969&gt;=AH969,0,AH969-AM969))</f>
        <v/>
      </c>
      <c r="AO969" s="84">
        <f>IF(AM969&gt;=AH969,AI969,AI969*AM969/AH969)</f>
        <v/>
      </c>
      <c r="AP969">
        <f t="array" ref="AP969">INDEX($AU$8:$BB$25,6*(R969-1)+MATCH(AB969,$AS$8:$AS$13,0),MATCH(O969,$AU$7:$BB$7,0))</f>
        <v/>
      </c>
    </row>
    <row r="970" ht="14.25" customHeight="1">
      <c r="O970" s="43" t="inlineStr">
        <is>
          <t>Q4’27</t>
        </is>
      </c>
      <c r="P970" s="43" t="n">
        <v>2</v>
      </c>
      <c r="Q970" s="43" t="n">
        <v>9</v>
      </c>
      <c r="R970" s="43" t="n">
        <v>3</v>
      </c>
      <c r="S970" s="45" t="n">
        <v>0</v>
      </c>
      <c r="T970">
        <f>(S968+S969+S970)=U3</f>
        <v/>
      </c>
      <c r="X970" s="84">
        <f>MAX(S967-S970,0)</f>
        <v/>
      </c>
      <c r="Y970" s="83" t="n">
        <v>0</v>
      </c>
      <c r="AA970" s="84" t="n">
        <v>4</v>
      </c>
      <c r="AB970" s="84" t="inlineStr">
        <is>
          <t>E</t>
        </is>
      </c>
      <c r="AC970" s="84" t="inlineStr">
        <is>
          <t>E+</t>
        </is>
      </c>
      <c r="AD970" s="84" t="n">
        <v>7</v>
      </c>
      <c r="AE970" s="84" t="n">
        <v>6</v>
      </c>
      <c r="AF970" s="84" t="n">
        <v>0.76</v>
      </c>
      <c r="AG970" s="84" t="n">
        <v>0.84</v>
      </c>
      <c r="AH970" s="84" t="n">
        <v>0</v>
      </c>
      <c r="AI970" s="84" t="n">
        <v>0</v>
      </c>
      <c r="AJ970" s="84">
        <f>SUMIFS(AH$8:AH$1039,$O$8:$O$1039,O970,$AB$8:$AB$1039,AB970,$R$8:$R$1039,R970,$AA$8:$AA$1039,"&lt;="&amp;AA970)</f>
        <v/>
      </c>
      <c r="AK970" s="84">
        <f>E96</f>
        <v/>
      </c>
      <c r="AL970" s="84">
        <f>E102</f>
        <v/>
      </c>
      <c r="AM970" s="84">
        <f>MAX(0,AJ970-AK970)</f>
        <v/>
      </c>
      <c r="AN970" s="84">
        <f>IF(AM970=0,AH970,IF(AM970&gt;=AH970,0,AH970-AM970))</f>
        <v/>
      </c>
      <c r="AO970" s="84">
        <f>IF(AM970&gt;=AH970,AI970,AI970*AM970/AH970)</f>
        <v/>
      </c>
      <c r="AP970">
        <f t="array" ref="AP970">INDEX($AU$8:$BB$25,6*(R970-1)+MATCH(AB970,$AS$8:$AS$13,0),MATCH(O970,$AU$7:$BB$7,0))</f>
        <v/>
      </c>
    </row>
    <row r="971" ht="14.25" customHeight="1">
      <c r="O971" s="43" t="inlineStr">
        <is>
          <t>Q4’27</t>
        </is>
      </c>
      <c r="P971" s="43" t="n">
        <v>2</v>
      </c>
      <c r="Q971" s="43" t="n">
        <v>10</v>
      </c>
      <c r="R971" s="43" t="n">
        <v>1</v>
      </c>
      <c r="S971" s="45" t="n">
        <v>3192</v>
      </c>
      <c r="T971">
        <f>(S971+S972+S973)=U3</f>
        <v/>
      </c>
      <c r="X971" s="84">
        <f>MAX(S968-S971,0)</f>
        <v/>
      </c>
      <c r="Y971" s="83" t="n">
        <v>0</v>
      </c>
      <c r="AA971" s="84" t="n">
        <v>6</v>
      </c>
      <c r="AB971" s="84" t="inlineStr">
        <is>
          <t>E</t>
        </is>
      </c>
      <c r="AC971" s="84" t="inlineStr">
        <is>
          <t>E+</t>
        </is>
      </c>
      <c r="AD971" s="84" t="n">
        <v>9</v>
      </c>
      <c r="AE971" s="84" t="n">
        <v>7</v>
      </c>
      <c r="AF971" s="84" t="n">
        <v>0.76</v>
      </c>
      <c r="AG971" s="84" t="n">
        <v>0.84</v>
      </c>
      <c r="AH971" s="84" t="n">
        <v>0</v>
      </c>
      <c r="AI971" s="84" t="n">
        <v>0</v>
      </c>
      <c r="AJ971" s="84">
        <f>SUMIFS(AH$8:AH$1039,$O$8:$O$1039,O971,$AB$8:$AB$1039,AB971,$R$8:$R$1039,R971,$AA$8:$AA$1039,"&lt;="&amp;AA971)</f>
        <v/>
      </c>
      <c r="AK971" s="84">
        <f>C96</f>
        <v/>
      </c>
      <c r="AL971" s="84">
        <f>C102</f>
        <v/>
      </c>
      <c r="AM971" s="84">
        <f>MAX(0,AJ971-AK971)</f>
        <v/>
      </c>
      <c r="AN971" s="84">
        <f>IF(AM971=0,AH971,IF(AM971&gt;=AH971,0,AH971-AM971))</f>
        <v/>
      </c>
      <c r="AO971" s="84">
        <f>IF(AM971&gt;=AH971,AI971,AI971*AM971/AH971)</f>
        <v/>
      </c>
      <c r="AP971">
        <f t="array" ref="AP971">INDEX($AU$8:$BB$25,6*(R971-1)+MATCH(AB971,$AS$8:$AS$13,0),MATCH(O971,$AU$7:$BB$7,0))</f>
        <v/>
      </c>
    </row>
    <row r="972" ht="14.25" customHeight="1">
      <c r="O972" s="43" t="inlineStr">
        <is>
          <t>Q4’27</t>
        </is>
      </c>
      <c r="P972" s="43" t="n">
        <v>2</v>
      </c>
      <c r="Q972" s="43" t="n">
        <v>10</v>
      </c>
      <c r="R972" s="43" t="n">
        <v>2</v>
      </c>
      <c r="S972" s="45" t="n">
        <v>1458</v>
      </c>
      <c r="T972">
        <f>(S971+S972+S973)=U3</f>
        <v/>
      </c>
      <c r="X972" s="84">
        <f>MAX(S969-S972,0)</f>
        <v/>
      </c>
      <c r="Y972" s="83" t="n">
        <v>0</v>
      </c>
      <c r="AA972" s="84" t="n">
        <v>6</v>
      </c>
      <c r="AB972" s="84" t="inlineStr">
        <is>
          <t>E</t>
        </is>
      </c>
      <c r="AC972" s="84" t="inlineStr">
        <is>
          <t>E+</t>
        </is>
      </c>
      <c r="AD972" s="84" t="n">
        <v>9</v>
      </c>
      <c r="AE972" s="84" t="n">
        <v>7</v>
      </c>
      <c r="AF972" s="84" t="n">
        <v>0.76</v>
      </c>
      <c r="AG972" s="84" t="n">
        <v>0.84</v>
      </c>
      <c r="AH972" s="84" t="n">
        <v>0</v>
      </c>
      <c r="AI972" s="84" t="n">
        <v>0</v>
      </c>
      <c r="AJ972" s="84">
        <f>SUMIFS(AH$8:AH$1039,$O$8:$O$1039,O972,$AB$8:$AB$1039,AB972,$R$8:$R$1039,R972,$AA$8:$AA$1039,"&lt;="&amp;AA972)</f>
        <v/>
      </c>
      <c r="AK972" s="84">
        <f>D96</f>
        <v/>
      </c>
      <c r="AL972" s="84">
        <f>D102</f>
        <v/>
      </c>
      <c r="AM972" s="84">
        <f>MAX(0,AJ972-AK972)</f>
        <v/>
      </c>
      <c r="AN972" s="84">
        <f>IF(AM972=0,AH972,IF(AM972&gt;=AH972,0,AH972-AM972))</f>
        <v/>
      </c>
      <c r="AO972" s="84">
        <f>IF(AM972&gt;=AH972,AI972,AI972*AM972/AH972)</f>
        <v/>
      </c>
      <c r="AP972">
        <f t="array" ref="AP972">INDEX($AU$8:$BB$25,6*(R972-1)+MATCH(AB972,$AS$8:$AS$13,0),MATCH(O972,$AU$7:$BB$7,0))</f>
        <v/>
      </c>
    </row>
    <row r="973" ht="14.25" customHeight="1">
      <c r="O973" s="43" t="inlineStr">
        <is>
          <t>Q4’27</t>
        </is>
      </c>
      <c r="P973" s="43" t="n">
        <v>2</v>
      </c>
      <c r="Q973" s="43" t="n">
        <v>10</v>
      </c>
      <c r="R973" s="43" t="n">
        <v>3</v>
      </c>
      <c r="S973" s="45" t="n">
        <v>-0</v>
      </c>
      <c r="T973">
        <f>(S971+S972+S973)=U3</f>
        <v/>
      </c>
      <c r="X973" s="84">
        <f>MAX(S970-S973,0)</f>
        <v/>
      </c>
      <c r="Y973" s="83" t="n">
        <v>0</v>
      </c>
      <c r="AA973" s="84" t="n">
        <v>6</v>
      </c>
      <c r="AB973" s="84" t="inlineStr">
        <is>
          <t>E</t>
        </is>
      </c>
      <c r="AC973" s="84" t="inlineStr">
        <is>
          <t>E+</t>
        </is>
      </c>
      <c r="AD973" s="84" t="n">
        <v>9</v>
      </c>
      <c r="AE973" s="84" t="n">
        <v>7</v>
      </c>
      <c r="AF973" s="84" t="n">
        <v>0.76</v>
      </c>
      <c r="AG973" s="84" t="n">
        <v>0.84</v>
      </c>
      <c r="AH973" s="84" t="n">
        <v>0</v>
      </c>
      <c r="AI973" s="84" t="n">
        <v>0</v>
      </c>
      <c r="AJ973" s="84">
        <f>SUMIFS(AH$8:AH$1039,$O$8:$O$1039,O973,$AB$8:$AB$1039,AB973,$R$8:$R$1039,R973,$AA$8:$AA$1039,"&lt;="&amp;AA973)</f>
        <v/>
      </c>
      <c r="AK973" s="84">
        <f>E96</f>
        <v/>
      </c>
      <c r="AL973" s="84">
        <f>E102</f>
        <v/>
      </c>
      <c r="AM973" s="84">
        <f>MAX(0,AJ973-AK973)</f>
        <v/>
      </c>
      <c r="AN973" s="84">
        <f>IF(AM973=0,AH973,IF(AM973&gt;=AH973,0,AH973-AM973))</f>
        <v/>
      </c>
      <c r="AO973" s="84">
        <f>IF(AM973&gt;=AH973,AI973,AI973*AM973/AH973)</f>
        <v/>
      </c>
      <c r="AP973">
        <f t="array" ref="AP973">INDEX($AU$8:$BB$25,6*(R973-1)+MATCH(AB973,$AS$8:$AS$13,0),MATCH(O973,$AU$7:$BB$7,0))</f>
        <v/>
      </c>
    </row>
    <row r="974" ht="14.25" customHeight="1">
      <c r="O974" s="43" t="inlineStr">
        <is>
          <t>Q4’27</t>
        </is>
      </c>
      <c r="P974" s="43" t="n">
        <v>2</v>
      </c>
      <c r="Q974" s="43" t="n">
        <v>11</v>
      </c>
      <c r="R974" s="43" t="n">
        <v>1</v>
      </c>
      <c r="S974" s="45" t="n">
        <v>3192</v>
      </c>
      <c r="T974">
        <f>(S974+S975+S976)=U3</f>
        <v/>
      </c>
      <c r="X974" s="84">
        <f>MAX(S971-S974,0)</f>
        <v/>
      </c>
      <c r="Y974" s="83" t="n">
        <v>0</v>
      </c>
      <c r="AA974" s="84" t="n">
        <v>2</v>
      </c>
      <c r="AB974" s="84" t="inlineStr">
        <is>
          <t>E</t>
        </is>
      </c>
      <c r="AC974" s="84" t="inlineStr">
        <is>
          <t>E+</t>
        </is>
      </c>
      <c r="AD974" s="84" t="n">
        <v>20</v>
      </c>
      <c r="AE974" s="84" t="n">
        <v>19</v>
      </c>
      <c r="AF974" s="84" t="n">
        <v>0.76</v>
      </c>
      <c r="AG974" s="84" t="n">
        <v>0.84</v>
      </c>
      <c r="AH974" s="84" t="n">
        <v>0</v>
      </c>
      <c r="AI974" s="84" t="n">
        <v>0</v>
      </c>
      <c r="AJ974" s="84">
        <f>SUMIFS(AH$8:AH$1039,$O$8:$O$1039,O974,$AB$8:$AB$1039,AB974,$R$8:$R$1039,R974,$AA$8:$AA$1039,"&lt;="&amp;AA974)</f>
        <v/>
      </c>
      <c r="AK974" s="84">
        <f>C96</f>
        <v/>
      </c>
      <c r="AL974" s="84">
        <f>C102</f>
        <v/>
      </c>
      <c r="AM974" s="84">
        <f>MAX(0,AJ974-AK974)</f>
        <v/>
      </c>
      <c r="AN974" s="84">
        <f>IF(AM974=0,AH974,IF(AM974&gt;=AH974,0,AH974-AM974))</f>
        <v/>
      </c>
      <c r="AO974" s="84">
        <f>IF(AM974&gt;=AH974,AI974,AI974*AM974/AH974)</f>
        <v/>
      </c>
      <c r="AP974">
        <f t="array" ref="AP974">INDEX($AU$8:$BB$25,6*(R974-1)+MATCH(AB974,$AS$8:$AS$13,0),MATCH(O974,$AU$7:$BB$7,0))</f>
        <v/>
      </c>
    </row>
    <row r="975" ht="14.25" customHeight="1">
      <c r="O975" s="43" t="inlineStr">
        <is>
          <t>Q4’27</t>
        </is>
      </c>
      <c r="P975" s="43" t="n">
        <v>2</v>
      </c>
      <c r="Q975" s="43" t="n">
        <v>11</v>
      </c>
      <c r="R975" s="43" t="n">
        <v>2</v>
      </c>
      <c r="S975" s="45" t="n">
        <v>1458</v>
      </c>
      <c r="T975">
        <f>(S974+S975+S976)=U3</f>
        <v/>
      </c>
      <c r="X975" s="84">
        <f>MAX(S972-S975,0)</f>
        <v/>
      </c>
      <c r="Y975" s="83" t="n">
        <v>0</v>
      </c>
      <c r="AA975" s="84" t="n">
        <v>2</v>
      </c>
      <c r="AB975" s="84" t="inlineStr">
        <is>
          <t>E</t>
        </is>
      </c>
      <c r="AC975" s="84" t="inlineStr">
        <is>
          <t>E+</t>
        </is>
      </c>
      <c r="AD975" s="84" t="n">
        <v>20</v>
      </c>
      <c r="AE975" s="84" t="n">
        <v>19</v>
      </c>
      <c r="AF975" s="84" t="n">
        <v>0.76</v>
      </c>
      <c r="AG975" s="84" t="n">
        <v>0.84</v>
      </c>
      <c r="AH975" s="84" t="n">
        <v>0</v>
      </c>
      <c r="AI975" s="84" t="n">
        <v>0</v>
      </c>
      <c r="AJ975" s="84">
        <f>SUMIFS(AH$8:AH$1039,$O$8:$O$1039,O975,$AB$8:$AB$1039,AB975,$R$8:$R$1039,R975,$AA$8:$AA$1039,"&lt;="&amp;AA975)</f>
        <v/>
      </c>
      <c r="AK975" s="84">
        <f>D96</f>
        <v/>
      </c>
      <c r="AL975" s="84">
        <f>D102</f>
        <v/>
      </c>
      <c r="AM975" s="84">
        <f>MAX(0,AJ975-AK975)</f>
        <v/>
      </c>
      <c r="AN975" s="84">
        <f>IF(AM975=0,AH975,IF(AM975&gt;=AH975,0,AH975-AM975))</f>
        <v/>
      </c>
      <c r="AO975" s="84">
        <f>IF(AM975&gt;=AH975,AI975,AI975*AM975/AH975)</f>
        <v/>
      </c>
      <c r="AP975">
        <f t="array" ref="AP975">INDEX($AU$8:$BB$25,6*(R975-1)+MATCH(AB975,$AS$8:$AS$13,0),MATCH(O975,$AU$7:$BB$7,0))</f>
        <v/>
      </c>
    </row>
    <row r="976" ht="14.25" customHeight="1">
      <c r="O976" s="43" t="inlineStr">
        <is>
          <t>Q4’27</t>
        </is>
      </c>
      <c r="P976" s="43" t="n">
        <v>2</v>
      </c>
      <c r="Q976" s="43" t="n">
        <v>11</v>
      </c>
      <c r="R976" s="43" t="n">
        <v>3</v>
      </c>
      <c r="S976" s="45" t="n">
        <v>-0</v>
      </c>
      <c r="T976">
        <f>(S974+S975+S976)=U3</f>
        <v/>
      </c>
      <c r="X976" s="84">
        <f>MAX(S973-S976,0)</f>
        <v/>
      </c>
      <c r="Y976" s="83" t="n">
        <v>0</v>
      </c>
      <c r="AA976" s="84" t="n">
        <v>2</v>
      </c>
      <c r="AB976" s="84" t="inlineStr">
        <is>
          <t>E</t>
        </is>
      </c>
      <c r="AC976" s="84" t="inlineStr">
        <is>
          <t>E+</t>
        </is>
      </c>
      <c r="AD976" s="84" t="n">
        <v>20</v>
      </c>
      <c r="AE976" s="84" t="n">
        <v>19</v>
      </c>
      <c r="AF976" s="84" t="n">
        <v>0.76</v>
      </c>
      <c r="AG976" s="84" t="n">
        <v>0.84</v>
      </c>
      <c r="AH976" s="84" t="n">
        <v>0</v>
      </c>
      <c r="AI976" s="84" t="n">
        <v>0</v>
      </c>
      <c r="AJ976" s="84">
        <f>SUMIFS(AH$8:AH$1039,$O$8:$O$1039,O976,$AB$8:$AB$1039,AB976,$R$8:$R$1039,R976,$AA$8:$AA$1039,"&lt;="&amp;AA976)</f>
        <v/>
      </c>
      <c r="AK976" s="84">
        <f>E96</f>
        <v/>
      </c>
      <c r="AL976" s="84">
        <f>E102</f>
        <v/>
      </c>
      <c r="AM976" s="84">
        <f>MAX(0,AJ976-AK976)</f>
        <v/>
      </c>
      <c r="AN976" s="84">
        <f>IF(AM976=0,AH976,IF(AM976&gt;=AH976,0,AH976-AM976))</f>
        <v/>
      </c>
      <c r="AO976" s="84">
        <f>IF(AM976&gt;=AH976,AI976,AI976*AM976/AH976)</f>
        <v/>
      </c>
      <c r="AP976">
        <f t="array" ref="AP976">INDEX($AU$8:$BB$25,6*(R976-1)+MATCH(AB976,$AS$8:$AS$13,0),MATCH(O976,$AU$7:$BB$7,0))</f>
        <v/>
      </c>
    </row>
    <row r="977" ht="14.25" customHeight="1">
      <c r="O977" s="43" t="inlineStr">
        <is>
          <t>Q4’27</t>
        </is>
      </c>
      <c r="P977" s="43" t="n">
        <v>2</v>
      </c>
      <c r="Q977" s="43" t="n">
        <v>12</v>
      </c>
      <c r="R977" s="43" t="n">
        <v>1</v>
      </c>
      <c r="S977" s="45" t="n">
        <v>3192</v>
      </c>
      <c r="T977">
        <f>(S977+S978+S979)=U3</f>
        <v/>
      </c>
      <c r="X977" s="84">
        <f>MAX(S974-S977,0)</f>
        <v/>
      </c>
      <c r="Y977" s="83" t="n">
        <v>0</v>
      </c>
      <c r="AA977" s="84" t="n">
        <v>7</v>
      </c>
      <c r="AB977" s="84" t="inlineStr">
        <is>
          <t>F</t>
        </is>
      </c>
      <c r="AC977" s="84" t="inlineStr">
        <is>
          <t>F+</t>
        </is>
      </c>
      <c r="AD977" s="84" t="n">
        <v>21</v>
      </c>
      <c r="AE977" s="84" t="n">
        <v>18</v>
      </c>
      <c r="AF977" s="84" t="n">
        <v>0.8</v>
      </c>
      <c r="AG977" s="84" t="n">
        <v>0.9</v>
      </c>
      <c r="AH977" s="84" t="n">
        <v>0</v>
      </c>
      <c r="AI977" s="84" t="n">
        <v>0</v>
      </c>
      <c r="AJ977" s="84">
        <f>SUMIFS(AH$8:AH$1039,$O$8:$O$1039,O977,$AB$8:$AB$1039,AB977,$R$8:$R$1039,R977,$AA$8:$AA$1039,"&lt;="&amp;AA977)</f>
        <v/>
      </c>
      <c r="AK977" s="84">
        <f>C97</f>
        <v/>
      </c>
      <c r="AL977" s="84">
        <f>C103</f>
        <v/>
      </c>
      <c r="AM977" s="84">
        <f>MAX(0,AJ977-AK977)</f>
        <v/>
      </c>
      <c r="AN977" s="84">
        <f>IF(AM977=0,AH977,IF(AM977&gt;=AH977,0,AH977-AM977))</f>
        <v/>
      </c>
      <c r="AO977" s="84">
        <f>IF(AM977&gt;=AH977,AI977,AI977*AM977/AH977)</f>
        <v/>
      </c>
      <c r="AP977">
        <f t="array" ref="AP977">INDEX($AU$8:$BB$25,6*(R977-1)+MATCH(AB977,$AS$8:$AS$13,0),MATCH(O977,$AU$7:$BB$7,0))</f>
        <v/>
      </c>
    </row>
    <row r="978" ht="14.25" customHeight="1">
      <c r="O978" s="43" t="inlineStr">
        <is>
          <t>Q4’27</t>
        </is>
      </c>
      <c r="P978" s="43" t="n">
        <v>2</v>
      </c>
      <c r="Q978" s="43" t="n">
        <v>12</v>
      </c>
      <c r="R978" s="43" t="n">
        <v>2</v>
      </c>
      <c r="S978" s="45" t="n">
        <v>1458</v>
      </c>
      <c r="T978">
        <f>(S977+S978+S979)=U3</f>
        <v/>
      </c>
      <c r="X978" s="84">
        <f>MAX(S975-S978,0)</f>
        <v/>
      </c>
      <c r="Y978" s="83" t="n">
        <v>0</v>
      </c>
      <c r="AA978" s="84" t="n">
        <v>7</v>
      </c>
      <c r="AB978" s="84" t="inlineStr">
        <is>
          <t>F</t>
        </is>
      </c>
      <c r="AC978" s="84" t="inlineStr">
        <is>
          <t>F+</t>
        </is>
      </c>
      <c r="AD978" s="84" t="n">
        <v>21</v>
      </c>
      <c r="AE978" s="84" t="n">
        <v>18</v>
      </c>
      <c r="AF978" s="84" t="n">
        <v>0.8</v>
      </c>
      <c r="AG978" s="84" t="n">
        <v>0.9</v>
      </c>
      <c r="AH978" s="84" t="n">
        <v>0</v>
      </c>
      <c r="AI978" s="84" t="n">
        <v>0</v>
      </c>
      <c r="AJ978" s="84">
        <f>SUMIFS(AH$8:AH$1039,$O$8:$O$1039,O978,$AB$8:$AB$1039,AB978,$R$8:$R$1039,R978,$AA$8:$AA$1039,"&lt;="&amp;AA978)</f>
        <v/>
      </c>
      <c r="AK978" s="84">
        <f>D97</f>
        <v/>
      </c>
      <c r="AL978" s="84">
        <f>D103</f>
        <v/>
      </c>
      <c r="AM978" s="84">
        <f>MAX(0,AJ978-AK978)</f>
        <v/>
      </c>
      <c r="AN978" s="84">
        <f>IF(AM978=0,AH978,IF(AM978&gt;=AH978,0,AH978-AM978))</f>
        <v/>
      </c>
      <c r="AO978" s="84">
        <f>IF(AM978&gt;=AH978,AI978,AI978*AM978/AH978)</f>
        <v/>
      </c>
      <c r="AP978">
        <f t="array" ref="AP978">INDEX($AU$8:$BB$25,6*(R978-1)+MATCH(AB978,$AS$8:$AS$13,0),MATCH(O978,$AU$7:$BB$7,0))</f>
        <v/>
      </c>
    </row>
    <row r="979" ht="14.25" customHeight="1">
      <c r="O979" s="43" t="inlineStr">
        <is>
          <t>Q4’27</t>
        </is>
      </c>
      <c r="P979" s="43" t="n">
        <v>2</v>
      </c>
      <c r="Q979" s="43" t="n">
        <v>12</v>
      </c>
      <c r="R979" s="43" t="n">
        <v>3</v>
      </c>
      <c r="S979" s="45" t="n">
        <v>-0</v>
      </c>
      <c r="T979">
        <f>(S977+S978+S979)=U3</f>
        <v/>
      </c>
      <c r="X979" s="84">
        <f>MAX(S976-S979,0)</f>
        <v/>
      </c>
      <c r="Y979" s="83" t="n">
        <v>0</v>
      </c>
      <c r="AA979" s="84" t="n">
        <v>7</v>
      </c>
      <c r="AB979" s="84" t="inlineStr">
        <is>
          <t>F</t>
        </is>
      </c>
      <c r="AC979" s="84" t="inlineStr">
        <is>
          <t>F+</t>
        </is>
      </c>
      <c r="AD979" s="84" t="n">
        <v>21</v>
      </c>
      <c r="AE979" s="84" t="n">
        <v>18</v>
      </c>
      <c r="AF979" s="84" t="n">
        <v>0.8</v>
      </c>
      <c r="AG979" s="84" t="n">
        <v>0.9</v>
      </c>
      <c r="AH979" s="84" t="n">
        <v>0</v>
      </c>
      <c r="AI979" s="84" t="n">
        <v>0</v>
      </c>
      <c r="AJ979" s="84">
        <f>SUMIFS(AH$8:AH$1039,$O$8:$O$1039,O979,$AB$8:$AB$1039,AB979,$R$8:$R$1039,R979,$AA$8:$AA$1039,"&lt;="&amp;AA979)</f>
        <v/>
      </c>
      <c r="AK979" s="84">
        <f>E97</f>
        <v/>
      </c>
      <c r="AL979" s="84">
        <f>E103</f>
        <v/>
      </c>
      <c r="AM979" s="84">
        <f>MAX(0,AJ979-AK979)</f>
        <v/>
      </c>
      <c r="AN979" s="84">
        <f>IF(AM979=0,AH979,IF(AM979&gt;=AH979,0,AH979-AM979))</f>
        <v/>
      </c>
      <c r="AO979" s="84">
        <f>IF(AM979&gt;=AH979,AI979,AI979*AM979/AH979)</f>
        <v/>
      </c>
      <c r="AP979">
        <f t="array" ref="AP979">INDEX($AU$8:$BB$25,6*(R979-1)+MATCH(AB979,$AS$8:$AS$13,0),MATCH(O979,$AU$7:$BB$7,0))</f>
        <v/>
      </c>
    </row>
    <row r="980" ht="14.25" customHeight="1">
      <c r="O980" s="43" t="inlineStr">
        <is>
          <t>Q4’27</t>
        </is>
      </c>
      <c r="P980" s="43" t="n">
        <v>2</v>
      </c>
      <c r="Q980" s="43" t="n">
        <v>13</v>
      </c>
      <c r="R980" s="43" t="n">
        <v>1</v>
      </c>
      <c r="S980" s="45" t="n">
        <v>3192</v>
      </c>
      <c r="T980">
        <f>(S980+S981+S982)=U3</f>
        <v/>
      </c>
      <c r="X980" s="84">
        <f>MAX(S977-S980,0)</f>
        <v/>
      </c>
      <c r="Y980" s="83" t="n">
        <v>0</v>
      </c>
      <c r="AA980" s="84" t="n">
        <v>8</v>
      </c>
      <c r="AB980" s="84" t="inlineStr">
        <is>
          <t>E</t>
        </is>
      </c>
      <c r="AC980" s="84" t="inlineStr">
        <is>
          <t>E+</t>
        </is>
      </c>
      <c r="AD980" s="84" t="n">
        <v>12</v>
      </c>
      <c r="AE980" s="84" t="n">
        <v>9</v>
      </c>
      <c r="AF980" s="84" t="n">
        <v>0.76</v>
      </c>
      <c r="AG980" s="84" t="n">
        <v>0.84</v>
      </c>
      <c r="AH980" s="84" t="n">
        <v>0</v>
      </c>
      <c r="AI980" s="84" t="n">
        <v>0</v>
      </c>
      <c r="AJ980" s="84">
        <f>SUMIFS(AH$8:AH$1039,$O$8:$O$1039,O980,$AB$8:$AB$1039,AB980,$R$8:$R$1039,R980,$AA$8:$AA$1039,"&lt;="&amp;AA980)</f>
        <v/>
      </c>
      <c r="AK980" s="84">
        <f>C96</f>
        <v/>
      </c>
      <c r="AL980" s="84">
        <f>C102</f>
        <v/>
      </c>
      <c r="AM980" s="84">
        <f>MAX(0,AJ980-AK980)</f>
        <v/>
      </c>
      <c r="AN980" s="84">
        <f>IF(AM980=0,AH980,IF(AM980&gt;=AH980,0,AH980-AM980))</f>
        <v/>
      </c>
      <c r="AO980" s="84">
        <f>IF(AM980&gt;=AH980,AI980,AI980*AM980/AH980)</f>
        <v/>
      </c>
      <c r="AP980">
        <f t="array" ref="AP980">INDEX($AU$8:$BB$25,6*(R980-1)+MATCH(AB980,$AS$8:$AS$13,0),MATCH(O980,$AU$7:$BB$7,0))</f>
        <v/>
      </c>
    </row>
    <row r="981" ht="14.25" customHeight="1">
      <c r="O981" s="43" t="inlineStr">
        <is>
          <t>Q4’27</t>
        </is>
      </c>
      <c r="P981" s="43" t="n">
        <v>2</v>
      </c>
      <c r="Q981" s="43" t="n">
        <v>13</v>
      </c>
      <c r="R981" s="43" t="n">
        <v>2</v>
      </c>
      <c r="S981" s="45" t="n">
        <v>1458</v>
      </c>
      <c r="T981">
        <f>(S980+S981+S982)=U3</f>
        <v/>
      </c>
      <c r="X981" s="84">
        <f>MAX(S978-S981,0)</f>
        <v/>
      </c>
      <c r="Y981" s="83" t="n">
        <v>0</v>
      </c>
      <c r="AA981" s="84" t="n">
        <v>8</v>
      </c>
      <c r="AB981" s="84" t="inlineStr">
        <is>
          <t>E</t>
        </is>
      </c>
      <c r="AC981" s="84" t="inlineStr">
        <is>
          <t>E+</t>
        </is>
      </c>
      <c r="AD981" s="84" t="n">
        <v>12</v>
      </c>
      <c r="AE981" s="84" t="n">
        <v>9</v>
      </c>
      <c r="AF981" s="84" t="n">
        <v>0.76</v>
      </c>
      <c r="AG981" s="84" t="n">
        <v>0.84</v>
      </c>
      <c r="AH981" s="84" t="n">
        <v>0</v>
      </c>
      <c r="AI981" s="84" t="n">
        <v>0</v>
      </c>
      <c r="AJ981" s="84">
        <f>SUMIFS(AH$8:AH$1039,$O$8:$O$1039,O981,$AB$8:$AB$1039,AB981,$R$8:$R$1039,R981,$AA$8:$AA$1039,"&lt;="&amp;AA981)</f>
        <v/>
      </c>
      <c r="AK981" s="84">
        <f>D96</f>
        <v/>
      </c>
      <c r="AL981" s="84">
        <f>D102</f>
        <v/>
      </c>
      <c r="AM981" s="84">
        <f>MAX(0,AJ981-AK981)</f>
        <v/>
      </c>
      <c r="AN981" s="84">
        <f>IF(AM981=0,AH981,IF(AM981&gt;=AH981,0,AH981-AM981))</f>
        <v/>
      </c>
      <c r="AO981" s="84">
        <f>IF(AM981&gt;=AH981,AI981,AI981*AM981/AH981)</f>
        <v/>
      </c>
      <c r="AP981">
        <f t="array" ref="AP981">INDEX($AU$8:$BB$25,6*(R981-1)+MATCH(AB981,$AS$8:$AS$13,0),MATCH(O981,$AU$7:$BB$7,0))</f>
        <v/>
      </c>
    </row>
    <row r="982" ht="14.25" customHeight="1">
      <c r="O982" s="43" t="inlineStr">
        <is>
          <t>Q4’27</t>
        </is>
      </c>
      <c r="P982" s="43" t="n">
        <v>2</v>
      </c>
      <c r="Q982" s="43" t="n">
        <v>13</v>
      </c>
      <c r="R982" s="43" t="n">
        <v>3</v>
      </c>
      <c r="S982" s="45" t="n">
        <v>-0</v>
      </c>
      <c r="T982">
        <f>(S980+S981+S982)=U3</f>
        <v/>
      </c>
      <c r="X982" s="84">
        <f>MAX(S979-S982,0)</f>
        <v/>
      </c>
      <c r="Y982" s="83" t="n">
        <v>0</v>
      </c>
      <c r="AA982" s="84" t="n">
        <v>8</v>
      </c>
      <c r="AB982" s="84" t="inlineStr">
        <is>
          <t>E</t>
        </is>
      </c>
      <c r="AC982" s="84" t="inlineStr">
        <is>
          <t>E+</t>
        </is>
      </c>
      <c r="AD982" s="84" t="n">
        <v>12</v>
      </c>
      <c r="AE982" s="84" t="n">
        <v>9</v>
      </c>
      <c r="AF982" s="84" t="n">
        <v>0.76</v>
      </c>
      <c r="AG982" s="84" t="n">
        <v>0.84</v>
      </c>
      <c r="AH982" s="84" t="n">
        <v>0</v>
      </c>
      <c r="AI982" s="84" t="n">
        <v>0</v>
      </c>
      <c r="AJ982" s="84">
        <f>SUMIFS(AH$8:AH$1039,$O$8:$O$1039,O982,$AB$8:$AB$1039,AB982,$R$8:$R$1039,R982,$AA$8:$AA$1039,"&lt;="&amp;AA982)</f>
        <v/>
      </c>
      <c r="AK982" s="84">
        <f>E96</f>
        <v/>
      </c>
      <c r="AL982" s="84">
        <f>E102</f>
        <v/>
      </c>
      <c r="AM982" s="84">
        <f>MAX(0,AJ982-AK982)</f>
        <v/>
      </c>
      <c r="AN982" s="84">
        <f>IF(AM982=0,AH982,IF(AM982&gt;=AH982,0,AH982-AM982))</f>
        <v/>
      </c>
      <c r="AO982" s="84">
        <f>IF(AM982&gt;=AH982,AI982,AI982*AM982/AH982)</f>
        <v/>
      </c>
      <c r="AP982">
        <f t="array" ref="AP982">INDEX($AU$8:$BB$25,6*(R982-1)+MATCH(AB982,$AS$8:$AS$13,0),MATCH(O982,$AU$7:$BB$7,0))</f>
        <v/>
      </c>
    </row>
    <row r="983" ht="14.25" customHeight="1">
      <c r="O983" s="43" t="inlineStr">
        <is>
          <t>Q4’27</t>
        </is>
      </c>
      <c r="P983" s="43" t="n">
        <v>2</v>
      </c>
      <c r="Q983" s="43" t="n">
        <v>14</v>
      </c>
      <c r="R983" s="43" t="n">
        <v>1</v>
      </c>
      <c r="S983" s="45" t="n">
        <v>3192</v>
      </c>
      <c r="T983">
        <f>(S983+S984+S985)=U3</f>
        <v/>
      </c>
      <c r="X983" s="84">
        <f>MAX(S980-S983,0)</f>
        <v/>
      </c>
      <c r="Y983" s="83" t="n">
        <v>0</v>
      </c>
      <c r="AA983" s="84" t="n">
        <v>5</v>
      </c>
      <c r="AB983" s="84" t="inlineStr">
        <is>
          <t>E</t>
        </is>
      </c>
      <c r="AC983" s="84" t="inlineStr">
        <is>
          <t>E+</t>
        </is>
      </c>
      <c r="AD983" s="84" t="n">
        <v>15</v>
      </c>
      <c r="AE983" s="84" t="n">
        <v>12</v>
      </c>
      <c r="AF983" s="84" t="n">
        <v>0.76</v>
      </c>
      <c r="AG983" s="84" t="n">
        <v>0.84</v>
      </c>
      <c r="AH983" s="84" t="n">
        <v>0</v>
      </c>
      <c r="AI983" s="84" t="n">
        <v>0</v>
      </c>
      <c r="AJ983" s="84">
        <f>SUMIFS(AH$8:AH$1039,$O$8:$O$1039,O983,$AB$8:$AB$1039,AB983,$R$8:$R$1039,R983,$AA$8:$AA$1039,"&lt;="&amp;AA983)</f>
        <v/>
      </c>
      <c r="AK983" s="84">
        <f>C96</f>
        <v/>
      </c>
      <c r="AL983" s="84">
        <f>C102</f>
        <v/>
      </c>
      <c r="AM983" s="84">
        <f>MAX(0,AJ983-AK983)</f>
        <v/>
      </c>
      <c r="AN983" s="84">
        <f>IF(AM983=0,AH983,IF(AM983&gt;=AH983,0,AH983-AM983))</f>
        <v/>
      </c>
      <c r="AO983" s="84">
        <f>IF(AM983&gt;=AH983,AI983,AI983*AM983/AH983)</f>
        <v/>
      </c>
      <c r="AP983">
        <f t="array" ref="AP983">INDEX($AU$8:$BB$25,6*(R983-1)+MATCH(AB983,$AS$8:$AS$13,0),MATCH(O983,$AU$7:$BB$7,0))</f>
        <v/>
      </c>
    </row>
    <row r="984" ht="14.25" customHeight="1">
      <c r="O984" s="43" t="inlineStr">
        <is>
          <t>Q4’27</t>
        </is>
      </c>
      <c r="P984" s="43" t="n">
        <v>2</v>
      </c>
      <c r="Q984" s="43" t="n">
        <v>14</v>
      </c>
      <c r="R984" s="43" t="n">
        <v>2</v>
      </c>
      <c r="S984" s="45" t="n">
        <v>1458</v>
      </c>
      <c r="T984">
        <f>(S983+S984+S985)=U3</f>
        <v/>
      </c>
      <c r="X984" s="84">
        <f>MAX(S981-S984,0)</f>
        <v/>
      </c>
      <c r="Y984" s="83" t="n">
        <v>0</v>
      </c>
      <c r="AA984" s="84" t="n">
        <v>5</v>
      </c>
      <c r="AB984" s="84" t="inlineStr">
        <is>
          <t>E</t>
        </is>
      </c>
      <c r="AC984" s="84" t="inlineStr">
        <is>
          <t>E+</t>
        </is>
      </c>
      <c r="AD984" s="84" t="n">
        <v>15</v>
      </c>
      <c r="AE984" s="84" t="n">
        <v>12</v>
      </c>
      <c r="AF984" s="84" t="n">
        <v>0.76</v>
      </c>
      <c r="AG984" s="84" t="n">
        <v>0.84</v>
      </c>
      <c r="AH984" s="84" t="n">
        <v>0</v>
      </c>
      <c r="AI984" s="84" t="n">
        <v>0</v>
      </c>
      <c r="AJ984" s="84">
        <f>SUMIFS(AH$8:AH$1039,$O$8:$O$1039,O984,$AB$8:$AB$1039,AB984,$R$8:$R$1039,R984,$AA$8:$AA$1039,"&lt;="&amp;AA984)</f>
        <v/>
      </c>
      <c r="AK984" s="84">
        <f>D96</f>
        <v/>
      </c>
      <c r="AL984" s="84">
        <f>D102</f>
        <v/>
      </c>
      <c r="AM984" s="84">
        <f>MAX(0,AJ984-AK984)</f>
        <v/>
      </c>
      <c r="AN984" s="84">
        <f>IF(AM984=0,AH984,IF(AM984&gt;=AH984,0,AH984-AM984))</f>
        <v/>
      </c>
      <c r="AO984" s="84">
        <f>IF(AM984&gt;=AH984,AI984,AI984*AM984/AH984)</f>
        <v/>
      </c>
      <c r="AP984">
        <f t="array" ref="AP984">INDEX($AU$8:$BB$25,6*(R984-1)+MATCH(AB984,$AS$8:$AS$13,0),MATCH(O984,$AU$7:$BB$7,0))</f>
        <v/>
      </c>
    </row>
    <row r="985" ht="14.25" customHeight="1">
      <c r="O985" s="43" t="inlineStr">
        <is>
          <t>Q4’27</t>
        </is>
      </c>
      <c r="P985" s="43" t="n">
        <v>2</v>
      </c>
      <c r="Q985" s="43" t="n">
        <v>14</v>
      </c>
      <c r="R985" s="43" t="n">
        <v>3</v>
      </c>
      <c r="S985" s="45" t="n">
        <v>-0</v>
      </c>
      <c r="T985">
        <f>(S983+S984+S985)=U3</f>
        <v/>
      </c>
      <c r="X985" s="84">
        <f>MAX(S982-S985,0)</f>
        <v/>
      </c>
      <c r="Y985" s="83" t="n">
        <v>0</v>
      </c>
      <c r="AA985" s="84" t="n">
        <v>5</v>
      </c>
      <c r="AB985" s="84" t="inlineStr">
        <is>
          <t>E</t>
        </is>
      </c>
      <c r="AC985" s="84" t="inlineStr">
        <is>
          <t>E+</t>
        </is>
      </c>
      <c r="AD985" s="84" t="n">
        <v>15</v>
      </c>
      <c r="AE985" s="84" t="n">
        <v>12</v>
      </c>
      <c r="AF985" s="84" t="n">
        <v>0.76</v>
      </c>
      <c r="AG985" s="84" t="n">
        <v>0.84</v>
      </c>
      <c r="AH985" s="84" t="n">
        <v>0</v>
      </c>
      <c r="AI985" s="84" t="n">
        <v>0</v>
      </c>
      <c r="AJ985" s="84">
        <f>SUMIFS(AH$8:AH$1039,$O$8:$O$1039,O985,$AB$8:$AB$1039,AB985,$R$8:$R$1039,R985,$AA$8:$AA$1039,"&lt;="&amp;AA985)</f>
        <v/>
      </c>
      <c r="AK985" s="84">
        <f>E96</f>
        <v/>
      </c>
      <c r="AL985" s="84">
        <f>E102</f>
        <v/>
      </c>
      <c r="AM985" s="84">
        <f>MAX(0,AJ985-AK985)</f>
        <v/>
      </c>
      <c r="AN985" s="84">
        <f>IF(AM985=0,AH985,IF(AM985&gt;=AH985,0,AH985-AM985))</f>
        <v/>
      </c>
      <c r="AO985" s="84">
        <f>IF(AM985&gt;=AH985,AI985,AI985*AM985/AH985)</f>
        <v/>
      </c>
      <c r="AP985">
        <f t="array" ref="AP985">INDEX($AU$8:$BB$25,6*(R985-1)+MATCH(AB985,$AS$8:$AS$13,0),MATCH(O985,$AU$7:$BB$7,0))</f>
        <v/>
      </c>
    </row>
    <row r="986" ht="14.25" customHeight="1">
      <c r="O986" s="43" t="inlineStr">
        <is>
          <t>Q4’27</t>
        </is>
      </c>
      <c r="P986" s="43" t="n">
        <v>2</v>
      </c>
      <c r="Q986" s="43" t="n">
        <v>15</v>
      </c>
      <c r="R986" s="43" t="n">
        <v>1</v>
      </c>
      <c r="S986" s="45" t="n">
        <v>3192</v>
      </c>
      <c r="T986">
        <f>(S986+S987+S988)=U3</f>
        <v/>
      </c>
      <c r="X986" s="84">
        <f>MAX(S983-S986,0)</f>
        <v/>
      </c>
      <c r="Y986" s="83" t="n">
        <v>0</v>
      </c>
      <c r="AA986" s="84" t="n">
        <v>7</v>
      </c>
      <c r="AB986" s="84" t="inlineStr">
        <is>
          <t>E</t>
        </is>
      </c>
      <c r="AC986" s="84" t="inlineStr">
        <is>
          <t>E+</t>
        </is>
      </c>
      <c r="AD986" s="84" t="n">
        <v>13</v>
      </c>
      <c r="AE986" s="84" t="n">
        <v>10</v>
      </c>
      <c r="AF986" s="84" t="n">
        <v>0.76</v>
      </c>
      <c r="AG986" s="84" t="n">
        <v>0.84</v>
      </c>
      <c r="AH986" s="84" t="n">
        <v>0</v>
      </c>
      <c r="AI986" s="84" t="n">
        <v>0</v>
      </c>
      <c r="AJ986" s="84">
        <f>SUMIFS(AH$8:AH$1039,$O$8:$O$1039,O986,$AB$8:$AB$1039,AB986,$R$8:$R$1039,R986,$AA$8:$AA$1039,"&lt;="&amp;AA986)</f>
        <v/>
      </c>
      <c r="AK986" s="84">
        <f>C96</f>
        <v/>
      </c>
      <c r="AL986" s="84">
        <f>C102</f>
        <v/>
      </c>
      <c r="AM986" s="84">
        <f>MAX(0,AJ986-AK986)</f>
        <v/>
      </c>
      <c r="AN986" s="84">
        <f>IF(AM986=0,AH986,IF(AM986&gt;=AH986,0,AH986-AM986))</f>
        <v/>
      </c>
      <c r="AO986" s="84">
        <f>IF(AM986&gt;=AH986,AI986,AI986*AM986/AH986)</f>
        <v/>
      </c>
      <c r="AP986">
        <f t="array" ref="AP986">INDEX($AU$8:$BB$25,6*(R986-1)+MATCH(AB986,$AS$8:$AS$13,0),MATCH(O986,$AU$7:$BB$7,0))</f>
        <v/>
      </c>
    </row>
    <row r="987" ht="14.25" customHeight="1">
      <c r="O987" s="43" t="inlineStr">
        <is>
          <t>Q4’27</t>
        </is>
      </c>
      <c r="P987" s="43" t="n">
        <v>2</v>
      </c>
      <c r="Q987" s="43" t="n">
        <v>15</v>
      </c>
      <c r="R987" s="43" t="n">
        <v>2</v>
      </c>
      <c r="S987" s="45" t="n">
        <v>1458</v>
      </c>
      <c r="T987">
        <f>(S986+S987+S988)=U3</f>
        <v/>
      </c>
      <c r="X987" s="84">
        <f>MAX(S984-S987,0)</f>
        <v/>
      </c>
      <c r="Y987" s="83" t="n">
        <v>0</v>
      </c>
      <c r="AA987" s="84" t="n">
        <v>7</v>
      </c>
      <c r="AB987" s="84" t="inlineStr">
        <is>
          <t>E</t>
        </is>
      </c>
      <c r="AC987" s="84" t="inlineStr">
        <is>
          <t>E+</t>
        </is>
      </c>
      <c r="AD987" s="84" t="n">
        <v>13</v>
      </c>
      <c r="AE987" s="84" t="n">
        <v>10</v>
      </c>
      <c r="AF987" s="84" t="n">
        <v>0.76</v>
      </c>
      <c r="AG987" s="84" t="n">
        <v>0.84</v>
      </c>
      <c r="AH987" s="84" t="n">
        <v>0</v>
      </c>
      <c r="AI987" s="84" t="n">
        <v>0</v>
      </c>
      <c r="AJ987" s="84">
        <f>SUMIFS(AH$8:AH$1039,$O$8:$O$1039,O987,$AB$8:$AB$1039,AB987,$R$8:$R$1039,R987,$AA$8:$AA$1039,"&lt;="&amp;AA987)</f>
        <v/>
      </c>
      <c r="AK987" s="84">
        <f>D96</f>
        <v/>
      </c>
      <c r="AL987" s="84">
        <f>D102</f>
        <v/>
      </c>
      <c r="AM987" s="84">
        <f>MAX(0,AJ987-AK987)</f>
        <v/>
      </c>
      <c r="AN987" s="84">
        <f>IF(AM987=0,AH987,IF(AM987&gt;=AH987,0,AH987-AM987))</f>
        <v/>
      </c>
      <c r="AO987" s="84">
        <f>IF(AM987&gt;=AH987,AI987,AI987*AM987/AH987)</f>
        <v/>
      </c>
      <c r="AP987">
        <f t="array" ref="AP987">INDEX($AU$8:$BB$25,6*(R987-1)+MATCH(AB987,$AS$8:$AS$13,0),MATCH(O987,$AU$7:$BB$7,0))</f>
        <v/>
      </c>
    </row>
    <row r="988" ht="14.25" customHeight="1">
      <c r="O988" s="43" t="inlineStr">
        <is>
          <t>Q4’27</t>
        </is>
      </c>
      <c r="P988" s="43" t="n">
        <v>2</v>
      </c>
      <c r="Q988" s="43" t="n">
        <v>15</v>
      </c>
      <c r="R988" s="43" t="n">
        <v>3</v>
      </c>
      <c r="S988" s="45" t="n">
        <v>0</v>
      </c>
      <c r="T988">
        <f>(S986+S987+S988)=U3</f>
        <v/>
      </c>
      <c r="X988" s="84">
        <f>MAX(S985-S988,0)</f>
        <v/>
      </c>
      <c r="Y988" s="83" t="n">
        <v>0</v>
      </c>
      <c r="AA988" s="84" t="n">
        <v>7</v>
      </c>
      <c r="AB988" s="84" t="inlineStr">
        <is>
          <t>E</t>
        </is>
      </c>
      <c r="AC988" s="84" t="inlineStr">
        <is>
          <t>E+</t>
        </is>
      </c>
      <c r="AD988" s="84" t="n">
        <v>13</v>
      </c>
      <c r="AE988" s="84" t="n">
        <v>10</v>
      </c>
      <c r="AF988" s="84" t="n">
        <v>0.76</v>
      </c>
      <c r="AG988" s="84" t="n">
        <v>0.84</v>
      </c>
      <c r="AH988" s="84" t="n">
        <v>0</v>
      </c>
      <c r="AI988" s="84" t="n">
        <v>0</v>
      </c>
      <c r="AJ988" s="84">
        <f>SUMIFS(AH$8:AH$1039,$O$8:$O$1039,O988,$AB$8:$AB$1039,AB988,$R$8:$R$1039,R988,$AA$8:$AA$1039,"&lt;="&amp;AA988)</f>
        <v/>
      </c>
      <c r="AK988" s="84">
        <f>E96</f>
        <v/>
      </c>
      <c r="AL988" s="84">
        <f>E102</f>
        <v/>
      </c>
      <c r="AM988" s="84">
        <f>MAX(0,AJ988-AK988)</f>
        <v/>
      </c>
      <c r="AN988" s="84">
        <f>IF(AM988=0,AH988,IF(AM988&gt;=AH988,0,AH988-AM988))</f>
        <v/>
      </c>
      <c r="AO988" s="84">
        <f>IF(AM988&gt;=AH988,AI988,AI988*AM988/AH988)</f>
        <v/>
      </c>
      <c r="AP988">
        <f t="array" ref="AP988">INDEX($AU$8:$BB$25,6*(R988-1)+MATCH(AB988,$AS$8:$AS$13,0),MATCH(O988,$AU$7:$BB$7,0))</f>
        <v/>
      </c>
    </row>
    <row r="989" ht="14.25" customHeight="1">
      <c r="O989" s="43" t="inlineStr">
        <is>
          <t>Q4’27</t>
        </is>
      </c>
      <c r="P989" s="43" t="n">
        <v>3</v>
      </c>
      <c r="Q989" s="43" t="n">
        <v>1</v>
      </c>
      <c r="R989" s="43" t="n">
        <v>1</v>
      </c>
      <c r="S989" s="45" t="n">
        <v>656.237960844951</v>
      </c>
      <c r="T989">
        <f>(S989+S990+S991)=U4</f>
        <v/>
      </c>
      <c r="X989" s="84" t="n">
        <v>0</v>
      </c>
      <c r="Y989" s="83" t="n">
        <v>0</v>
      </c>
      <c r="AA989" s="84" t="n">
        <v>1</v>
      </c>
      <c r="AB989" s="84" t="inlineStr">
        <is>
          <t>C</t>
        </is>
      </c>
      <c r="AC989" s="84" t="inlineStr">
        <is>
          <t>C+</t>
        </is>
      </c>
      <c r="AD989" s="84" t="n">
        <v>21</v>
      </c>
      <c r="AE989" s="84" t="n">
        <v>20</v>
      </c>
      <c r="AF989" s="84" t="n">
        <v>0.8</v>
      </c>
      <c r="AG989" s="84" t="n">
        <v>0.86</v>
      </c>
      <c r="AH989" s="84" t="n">
        <v>0</v>
      </c>
      <c r="AI989" s="84" t="n">
        <v>0</v>
      </c>
      <c r="AJ989" s="84">
        <f>SUMIFS(AH$8:AH$1039,$O$8:$O$1039,O989,$AB$8:$AB$1039,AB989,$R$8:$R$1039,R989,$AA$8:$AA$1039,"&lt;="&amp;AA989)</f>
        <v/>
      </c>
      <c r="AK989" s="84">
        <f>C94</f>
        <v/>
      </c>
      <c r="AL989" s="84">
        <f>C100</f>
        <v/>
      </c>
      <c r="AM989" s="84">
        <f>MAX(0,AJ989-AK989)</f>
        <v/>
      </c>
      <c r="AN989" s="84">
        <f>IF(AM989=0,AH989,IF(AM989&gt;=AH989,0,AH989-AM989))</f>
        <v/>
      </c>
      <c r="AO989" s="84">
        <f>IF(AM989&gt;=AH989,AI989,AI989*AM989/AH989)</f>
        <v/>
      </c>
      <c r="AP989">
        <f t="array" ref="AP989">INDEX($AU$8:$BB$25,6*(R989-1)+MATCH(AB989,$AS$8:$AS$13,0),MATCH(O989,$AU$7:$BB$7,0))</f>
        <v/>
      </c>
    </row>
    <row r="990" ht="14.25" customHeight="1">
      <c r="O990" s="43" t="inlineStr">
        <is>
          <t>Q4’27</t>
        </is>
      </c>
      <c r="P990" s="43" t="n">
        <v>3</v>
      </c>
      <c r="Q990" s="43" t="n">
        <v>1</v>
      </c>
      <c r="R990" s="43" t="n">
        <v>2</v>
      </c>
      <c r="S990" s="45" t="n">
        <v>2927.162116464678</v>
      </c>
      <c r="T990">
        <f>(S989+S990+S991)=U4</f>
        <v/>
      </c>
      <c r="X990" s="84" t="n">
        <v>0</v>
      </c>
      <c r="Y990" s="83" t="n">
        <v>0</v>
      </c>
      <c r="AA990" s="84" t="n">
        <v>1</v>
      </c>
      <c r="AB990" s="84" t="inlineStr">
        <is>
          <t>C</t>
        </is>
      </c>
      <c r="AC990" s="84" t="inlineStr">
        <is>
          <t>C+</t>
        </is>
      </c>
      <c r="AD990" s="84" t="n">
        <v>21</v>
      </c>
      <c r="AE990" s="84" t="n">
        <v>20</v>
      </c>
      <c r="AF990" s="84" t="n">
        <v>0.8</v>
      </c>
      <c r="AG990" s="84" t="n">
        <v>0.86</v>
      </c>
      <c r="AH990" s="84" t="n">
        <v>0</v>
      </c>
      <c r="AI990" s="84" t="n">
        <v>0</v>
      </c>
      <c r="AJ990" s="84">
        <f>SUMIFS(AH$8:AH$1039,$O$8:$O$1039,O990,$AB$8:$AB$1039,AB990,$R$8:$R$1039,R990,$AA$8:$AA$1039,"&lt;="&amp;AA990)</f>
        <v/>
      </c>
      <c r="AK990" s="84">
        <f>D94</f>
        <v/>
      </c>
      <c r="AL990" s="84">
        <f>D100</f>
        <v/>
      </c>
      <c r="AM990" s="84">
        <f>MAX(0,AJ990-AK990)</f>
        <v/>
      </c>
      <c r="AN990" s="84">
        <f>IF(AM990=0,AH990,IF(AM990&gt;=AH990,0,AH990-AM990))</f>
        <v/>
      </c>
      <c r="AO990" s="84">
        <f>IF(AM990&gt;=AH990,AI990,AI990*AM990/AH990)</f>
        <v/>
      </c>
      <c r="AP990">
        <f t="array" ref="AP990">INDEX($AU$8:$BB$25,6*(R990-1)+MATCH(AB990,$AS$8:$AS$13,0),MATCH(O990,$AU$7:$BB$7,0))</f>
        <v/>
      </c>
    </row>
    <row r="991" ht="14.25" customHeight="1">
      <c r="O991" s="43" t="inlineStr">
        <is>
          <t>Q4’27</t>
        </is>
      </c>
      <c r="P991" s="43" t="n">
        <v>3</v>
      </c>
      <c r="Q991" s="43" t="n">
        <v>1</v>
      </c>
      <c r="R991" s="43" t="n">
        <v>3</v>
      </c>
      <c r="S991" s="45" t="n">
        <v>6336.599922690371</v>
      </c>
      <c r="T991">
        <f>(S989+S990+S991)=U4</f>
        <v/>
      </c>
      <c r="X991" s="84" t="n">
        <v>0</v>
      </c>
      <c r="Y991" s="83" t="n">
        <v>0</v>
      </c>
      <c r="AA991" s="84" t="n">
        <v>1</v>
      </c>
      <c r="AB991" s="84" t="inlineStr">
        <is>
          <t>C</t>
        </is>
      </c>
      <c r="AC991" s="84" t="inlineStr">
        <is>
          <t>C+</t>
        </is>
      </c>
      <c r="AD991" s="84" t="n">
        <v>21</v>
      </c>
      <c r="AE991" s="84" t="n">
        <v>20</v>
      </c>
      <c r="AF991" s="84" t="n">
        <v>0.8</v>
      </c>
      <c r="AG991" s="84" t="n">
        <v>0.86</v>
      </c>
      <c r="AH991" s="84" t="n">
        <v>0</v>
      </c>
      <c r="AI991" s="84" t="n">
        <v>0</v>
      </c>
      <c r="AJ991" s="84">
        <f>SUMIFS(AH$8:AH$1039,$O$8:$O$1039,O991,$AB$8:$AB$1039,AB991,$R$8:$R$1039,R991,$AA$8:$AA$1039,"&lt;="&amp;AA991)</f>
        <v/>
      </c>
      <c r="AK991" s="84">
        <f>E94</f>
        <v/>
      </c>
      <c r="AL991" s="84">
        <f>E100</f>
        <v/>
      </c>
      <c r="AM991" s="84">
        <f>MAX(0,AJ991-AK991)</f>
        <v/>
      </c>
      <c r="AN991" s="84">
        <f>IF(AM991=0,AH991,IF(AM991&gt;=AH991,0,AH991-AM991))</f>
        <v/>
      </c>
      <c r="AO991" s="84">
        <f>IF(AM991&gt;=AH991,AI991,AI991*AM991/AH991)</f>
        <v/>
      </c>
      <c r="AP991">
        <f t="array" ref="AP991">INDEX($AU$8:$BB$25,6*(R991-1)+MATCH(AB991,$AS$8:$AS$13,0),MATCH(O991,$AU$7:$BB$7,0))</f>
        <v/>
      </c>
    </row>
    <row r="992" ht="14.25" customHeight="1">
      <c r="O992" s="43" t="inlineStr">
        <is>
          <t>Q4’27</t>
        </is>
      </c>
      <c r="P992" s="43" t="n">
        <v>3</v>
      </c>
      <c r="Q992" s="43" t="n">
        <v>2</v>
      </c>
      <c r="R992" s="43" t="n">
        <v>1</v>
      </c>
      <c r="S992" s="45" t="n">
        <v>656.237960844952</v>
      </c>
      <c r="T992">
        <f>(S992+S993+S994)=U4</f>
        <v/>
      </c>
      <c r="X992" s="84">
        <f>MAX(S989-S992,0)</f>
        <v/>
      </c>
      <c r="Y992" s="83" t="n">
        <v>0</v>
      </c>
      <c r="AA992" s="84" t="n">
        <v>8</v>
      </c>
      <c r="AB992" s="84" t="inlineStr">
        <is>
          <t>D</t>
        </is>
      </c>
      <c r="AC992" s="84" t="inlineStr">
        <is>
          <t>D+</t>
        </is>
      </c>
      <c r="AD992" s="84" t="n">
        <v>9</v>
      </c>
      <c r="AE992" s="84" t="n">
        <v>7</v>
      </c>
      <c r="AF992" s="84" t="n">
        <v>0.8</v>
      </c>
      <c r="AG992" s="84" t="n">
        <v>0.88</v>
      </c>
      <c r="AH992" s="84" t="n">
        <v>0</v>
      </c>
      <c r="AI992" s="84" t="n">
        <v>0</v>
      </c>
      <c r="AJ992" s="84">
        <f>SUMIFS(AH$8:AH$1039,$O$8:$O$1039,O992,$AB$8:$AB$1039,AB992,$R$8:$R$1039,R992,$AA$8:$AA$1039,"&lt;="&amp;AA992)</f>
        <v/>
      </c>
      <c r="AK992" s="84">
        <f>C95</f>
        <v/>
      </c>
      <c r="AL992" s="84">
        <f>C101</f>
        <v/>
      </c>
      <c r="AM992" s="84">
        <f>MAX(0,AJ992-AK992)</f>
        <v/>
      </c>
      <c r="AN992" s="84">
        <f>IF(AM992=0,AH992,IF(AM992&gt;=AH992,0,AH992-AM992))</f>
        <v/>
      </c>
      <c r="AO992" s="84">
        <f>IF(AM992&gt;=AH992,AI992,AI992*AM992/AH992)</f>
        <v/>
      </c>
      <c r="AP992">
        <f t="array" ref="AP992">INDEX($AU$8:$BB$25,6*(R992-1)+MATCH(AB992,$AS$8:$AS$13,0),MATCH(O992,$AU$7:$BB$7,0))</f>
        <v/>
      </c>
    </row>
    <row r="993" ht="14.25" customHeight="1">
      <c r="O993" s="43" t="inlineStr">
        <is>
          <t>Q4’27</t>
        </is>
      </c>
      <c r="P993" s="43" t="n">
        <v>3</v>
      </c>
      <c r="Q993" s="43" t="n">
        <v>2</v>
      </c>
      <c r="R993" s="43" t="n">
        <v>2</v>
      </c>
      <c r="S993" s="45" t="n">
        <v>3900.516271857022</v>
      </c>
      <c r="T993">
        <f>(S992+S993+S994)=U4</f>
        <v/>
      </c>
      <c r="X993" s="84">
        <f>MAX(S990-S993,0)</f>
        <v/>
      </c>
      <c r="Y993" s="83" t="n">
        <v>0</v>
      </c>
      <c r="AA993" s="84" t="n">
        <v>8</v>
      </c>
      <c r="AB993" s="84" t="inlineStr">
        <is>
          <t>D</t>
        </is>
      </c>
      <c r="AC993" s="84" t="inlineStr">
        <is>
          <t>D+</t>
        </is>
      </c>
      <c r="AD993" s="84" t="n">
        <v>9</v>
      </c>
      <c r="AE993" s="84" t="n">
        <v>7</v>
      </c>
      <c r="AF993" s="84" t="n">
        <v>0.8</v>
      </c>
      <c r="AG993" s="84" t="n">
        <v>0.88</v>
      </c>
      <c r="AH993" s="84" t="n">
        <v>0</v>
      </c>
      <c r="AI993" s="84" t="n">
        <v>0</v>
      </c>
      <c r="AJ993" s="84">
        <f>SUMIFS(AH$8:AH$1039,$O$8:$O$1039,O993,$AB$8:$AB$1039,AB993,$R$8:$R$1039,R993,$AA$8:$AA$1039,"&lt;="&amp;AA993)</f>
        <v/>
      </c>
      <c r="AK993" s="84">
        <f>D95</f>
        <v/>
      </c>
      <c r="AL993" s="84">
        <f>D101</f>
        <v/>
      </c>
      <c r="AM993" s="84">
        <f>MAX(0,AJ993-AK993)</f>
        <v/>
      </c>
      <c r="AN993" s="84">
        <f>IF(AM993=0,AH993,IF(AM993&gt;=AH993,0,AH993-AM993))</f>
        <v/>
      </c>
      <c r="AO993" s="84">
        <f>IF(AM993&gt;=AH993,AI993,AI993*AM993/AH993)</f>
        <v/>
      </c>
      <c r="AP993">
        <f t="array" ref="AP993">INDEX($AU$8:$BB$25,6*(R993-1)+MATCH(AB993,$AS$8:$AS$13,0),MATCH(O993,$AU$7:$BB$7,0))</f>
        <v/>
      </c>
    </row>
    <row r="994" ht="14.25" customHeight="1">
      <c r="O994" s="43" t="inlineStr">
        <is>
          <t>Q4’27</t>
        </is>
      </c>
      <c r="P994" s="43" t="n">
        <v>3</v>
      </c>
      <c r="Q994" s="43" t="n">
        <v>2</v>
      </c>
      <c r="R994" s="43" t="n">
        <v>3</v>
      </c>
      <c r="S994" s="45" t="n">
        <v>5363.245767298025</v>
      </c>
      <c r="T994">
        <f>(S992+S993+S994)=U4</f>
        <v/>
      </c>
      <c r="X994" s="84">
        <f>MAX(S991-S994,0)</f>
        <v/>
      </c>
      <c r="Y994" s="83" t="n">
        <v>0</v>
      </c>
      <c r="AA994" s="84" t="n">
        <v>8</v>
      </c>
      <c r="AB994" s="84" t="inlineStr">
        <is>
          <t>D</t>
        </is>
      </c>
      <c r="AC994" s="84" t="inlineStr">
        <is>
          <t>D+</t>
        </is>
      </c>
      <c r="AD994" s="84" t="n">
        <v>9</v>
      </c>
      <c r="AE994" s="84" t="n">
        <v>7</v>
      </c>
      <c r="AF994" s="84" t="n">
        <v>0.8</v>
      </c>
      <c r="AG994" s="84" t="n">
        <v>0.88</v>
      </c>
      <c r="AH994" s="84" t="n">
        <v>0</v>
      </c>
      <c r="AI994" s="84" t="n">
        <v>0</v>
      </c>
      <c r="AJ994" s="84">
        <f>SUMIFS(AH$8:AH$1039,$O$8:$O$1039,O994,$AB$8:$AB$1039,AB994,$R$8:$R$1039,R994,$AA$8:$AA$1039,"&lt;="&amp;AA994)</f>
        <v/>
      </c>
      <c r="AK994" s="84">
        <f>E95</f>
        <v/>
      </c>
      <c r="AL994" s="84">
        <f>E101</f>
        <v/>
      </c>
      <c r="AM994" s="84">
        <f>MAX(0,AJ994-AK994)</f>
        <v/>
      </c>
      <c r="AN994" s="84">
        <f>IF(AM994=0,AH994,IF(AM994&gt;=AH994,0,AH994-AM994))</f>
        <v/>
      </c>
      <c r="AO994" s="84">
        <f>IF(AM994&gt;=AH994,AI994,AI994*AM994/AH994)</f>
        <v/>
      </c>
      <c r="AP994">
        <f t="array" ref="AP994">INDEX($AU$8:$BB$25,6*(R994-1)+MATCH(AB994,$AS$8:$AS$13,0),MATCH(O994,$AU$7:$BB$7,0))</f>
        <v/>
      </c>
    </row>
    <row r="995" ht="14.25" customHeight="1">
      <c r="O995" s="43" t="inlineStr">
        <is>
          <t>Q4’27</t>
        </is>
      </c>
      <c r="P995" s="43" t="n">
        <v>3</v>
      </c>
      <c r="Q995" s="43" t="n">
        <v>3</v>
      </c>
      <c r="R995" s="43" t="n">
        <v>1</v>
      </c>
      <c r="S995" s="45" t="n">
        <v>656.237960844951</v>
      </c>
      <c r="T995">
        <f>(S995+S996+S997)=U4</f>
        <v/>
      </c>
      <c r="X995" s="84">
        <f>MAX(S992-S995,0)</f>
        <v/>
      </c>
      <c r="Y995" s="83" t="n">
        <v>0</v>
      </c>
      <c r="AA995" s="84" t="n">
        <v>1</v>
      </c>
      <c r="AB995" s="84" t="inlineStr">
        <is>
          <t>E</t>
        </is>
      </c>
      <c r="AC995" s="84" t="inlineStr">
        <is>
          <t>E+</t>
        </is>
      </c>
      <c r="AD995" s="84" t="n">
        <v>24</v>
      </c>
      <c r="AE995" s="84" t="n">
        <v>23</v>
      </c>
      <c r="AF995" s="84" t="n">
        <v>0.76</v>
      </c>
      <c r="AG995" s="84" t="n">
        <v>0.84</v>
      </c>
      <c r="AH995" s="84" t="n">
        <v>0</v>
      </c>
      <c r="AI995" s="84" t="n">
        <v>0</v>
      </c>
      <c r="AJ995" s="84">
        <f>SUMIFS(AH$8:AH$1039,$O$8:$O$1039,O995,$AB$8:$AB$1039,AB995,$R$8:$R$1039,R995,$AA$8:$AA$1039,"&lt;="&amp;AA995)</f>
        <v/>
      </c>
      <c r="AK995" s="84">
        <f>C96</f>
        <v/>
      </c>
      <c r="AL995" s="84">
        <f>C102</f>
        <v/>
      </c>
      <c r="AM995" s="84">
        <f>MAX(0,AJ995-AK995)</f>
        <v/>
      </c>
      <c r="AN995" s="84">
        <f>IF(AM995=0,AH995,IF(AM995&gt;=AH995,0,AH995-AM995))</f>
        <v/>
      </c>
      <c r="AO995" s="84">
        <f>IF(AM995&gt;=AH995,AI995,AI995*AM995/AH995)</f>
        <v/>
      </c>
      <c r="AP995">
        <f t="array" ref="AP995">INDEX($AU$8:$BB$25,6*(R995-1)+MATCH(AB995,$AS$8:$AS$13,0),MATCH(O995,$AU$7:$BB$7,0))</f>
        <v/>
      </c>
    </row>
    <row r="996" ht="14.25" customHeight="1">
      <c r="O996" s="43" t="inlineStr">
        <is>
          <t>Q4’27</t>
        </is>
      </c>
      <c r="P996" s="43" t="n">
        <v>3</v>
      </c>
      <c r="Q996" s="43" t="n">
        <v>3</v>
      </c>
      <c r="R996" s="43" t="n">
        <v>2</v>
      </c>
      <c r="S996" s="45" t="n">
        <v>3900.516271857022</v>
      </c>
      <c r="T996">
        <f>(S995+S996+S997)=U4</f>
        <v/>
      </c>
      <c r="X996" s="84">
        <f>MAX(S993-S996,0)</f>
        <v/>
      </c>
      <c r="Y996" s="83" t="n">
        <v>0</v>
      </c>
      <c r="AA996" s="84" t="n">
        <v>1</v>
      </c>
      <c r="AB996" s="84" t="inlineStr">
        <is>
          <t>E</t>
        </is>
      </c>
      <c r="AC996" s="84" t="inlineStr">
        <is>
          <t>E+</t>
        </is>
      </c>
      <c r="AD996" s="84" t="n">
        <v>24</v>
      </c>
      <c r="AE996" s="84" t="n">
        <v>23</v>
      </c>
      <c r="AF996" s="84" t="n">
        <v>0.76</v>
      </c>
      <c r="AG996" s="84" t="n">
        <v>0.84</v>
      </c>
      <c r="AH996" s="84" t="n">
        <v>0</v>
      </c>
      <c r="AI996" s="84" t="n">
        <v>0</v>
      </c>
      <c r="AJ996" s="84">
        <f>SUMIFS(AH$8:AH$1039,$O$8:$O$1039,O996,$AB$8:$AB$1039,AB996,$R$8:$R$1039,R996,$AA$8:$AA$1039,"&lt;="&amp;AA996)</f>
        <v/>
      </c>
      <c r="AK996" s="84">
        <f>D96</f>
        <v/>
      </c>
      <c r="AL996" s="84">
        <f>D102</f>
        <v/>
      </c>
      <c r="AM996" s="84">
        <f>MAX(0,AJ996-AK996)</f>
        <v/>
      </c>
      <c r="AN996" s="84">
        <f>IF(AM996=0,AH996,IF(AM996&gt;=AH996,0,AH996-AM996))</f>
        <v/>
      </c>
      <c r="AO996" s="84">
        <f>IF(AM996&gt;=AH996,AI996,AI996*AM996/AH996)</f>
        <v/>
      </c>
      <c r="AP996">
        <f t="array" ref="AP996">INDEX($AU$8:$BB$25,6*(R996-1)+MATCH(AB996,$AS$8:$AS$13,0),MATCH(O996,$AU$7:$BB$7,0))</f>
        <v/>
      </c>
    </row>
    <row r="997" ht="14.25" customHeight="1">
      <c r="O997" s="43" t="inlineStr">
        <is>
          <t>Q4’27</t>
        </is>
      </c>
      <c r="P997" s="43" t="n">
        <v>3</v>
      </c>
      <c r="Q997" s="43" t="n">
        <v>3</v>
      </c>
      <c r="R997" s="43" t="n">
        <v>3</v>
      </c>
      <c r="S997" s="45" t="n">
        <v>5363.245767298026</v>
      </c>
      <c r="T997">
        <f>(S995+S996+S997)=U4</f>
        <v/>
      </c>
      <c r="X997" s="84">
        <f>MAX(S994-S997,0)</f>
        <v/>
      </c>
      <c r="Y997" s="83" t="n">
        <v>0</v>
      </c>
      <c r="AA997" s="84" t="n">
        <v>1</v>
      </c>
      <c r="AB997" s="84" t="inlineStr">
        <is>
          <t>E</t>
        </is>
      </c>
      <c r="AC997" s="84" t="inlineStr">
        <is>
          <t>E+</t>
        </is>
      </c>
      <c r="AD997" s="84" t="n">
        <v>24</v>
      </c>
      <c r="AE997" s="84" t="n">
        <v>23</v>
      </c>
      <c r="AF997" s="84" t="n">
        <v>0.76</v>
      </c>
      <c r="AG997" s="84" t="n">
        <v>0.84</v>
      </c>
      <c r="AH997" s="84" t="n">
        <v>0</v>
      </c>
      <c r="AI997" s="84" t="n">
        <v>0</v>
      </c>
      <c r="AJ997" s="84">
        <f>SUMIFS(AH$8:AH$1039,$O$8:$O$1039,O997,$AB$8:$AB$1039,AB997,$R$8:$R$1039,R997,$AA$8:$AA$1039,"&lt;="&amp;AA997)</f>
        <v/>
      </c>
      <c r="AK997" s="84">
        <f>E96</f>
        <v/>
      </c>
      <c r="AL997" s="84">
        <f>E102</f>
        <v/>
      </c>
      <c r="AM997" s="84">
        <f>MAX(0,AJ997-AK997)</f>
        <v/>
      </c>
      <c r="AN997" s="84">
        <f>IF(AM997=0,AH997,IF(AM997&gt;=AH997,0,AH997-AM997))</f>
        <v/>
      </c>
      <c r="AO997" s="84">
        <f>IF(AM997&gt;=AH997,AI997,AI997*AM997/AH997)</f>
        <v/>
      </c>
      <c r="AP997">
        <f t="array" ref="AP997">INDEX($AU$8:$BB$25,6*(R997-1)+MATCH(AB997,$AS$8:$AS$13,0),MATCH(O997,$AU$7:$BB$7,0))</f>
        <v/>
      </c>
    </row>
    <row r="998" ht="14.25" customHeight="1">
      <c r="O998" s="43" t="inlineStr">
        <is>
          <t>Q4’27</t>
        </is>
      </c>
      <c r="P998" s="43" t="n">
        <v>3</v>
      </c>
      <c r="Q998" s="43" t="n">
        <v>4</v>
      </c>
      <c r="R998" s="43" t="n">
        <v>1</v>
      </c>
      <c r="S998" s="45" t="n">
        <v>656.237960844951</v>
      </c>
      <c r="T998">
        <f>(S998+S999+S1000)=U4</f>
        <v/>
      </c>
      <c r="X998" s="84">
        <f>MAX(S995-S998,0)</f>
        <v/>
      </c>
      <c r="Y998" s="83" t="n">
        <v>0</v>
      </c>
      <c r="AA998" s="84" t="n">
        <v>9</v>
      </c>
      <c r="AB998" s="84" t="inlineStr">
        <is>
          <t>E</t>
        </is>
      </c>
      <c r="AC998" s="84" t="inlineStr">
        <is>
          <t>E+</t>
        </is>
      </c>
      <c r="AD998" s="84" t="n">
        <v>15</v>
      </c>
      <c r="AE998" s="84" t="n">
        <v>11</v>
      </c>
      <c r="AF998" s="84" t="n">
        <v>0.76</v>
      </c>
      <c r="AG998" s="84" t="n">
        <v>0.84</v>
      </c>
      <c r="AH998" s="84" t="n">
        <v>0</v>
      </c>
      <c r="AI998" s="84" t="n">
        <v>0</v>
      </c>
      <c r="AJ998" s="84">
        <f>SUMIFS(AH$8:AH$1039,$O$8:$O$1039,O998,$AB$8:$AB$1039,AB998,$R$8:$R$1039,R998,$AA$8:$AA$1039,"&lt;="&amp;AA998)</f>
        <v/>
      </c>
      <c r="AK998" s="84">
        <f>C96</f>
        <v/>
      </c>
      <c r="AL998" s="84">
        <f>C102</f>
        <v/>
      </c>
      <c r="AM998" s="84">
        <f>MAX(0,AJ998-AK998)</f>
        <v/>
      </c>
      <c r="AN998" s="84">
        <f>IF(AM998=0,AH998,IF(AM998&gt;=AH998,0,AH998-AM998))</f>
        <v/>
      </c>
      <c r="AO998" s="84">
        <f>IF(AM998&gt;=AH998,AI998,AI998*AM998/AH998)</f>
        <v/>
      </c>
      <c r="AP998">
        <f t="array" ref="AP998">INDEX($AU$8:$BB$25,6*(R998-1)+MATCH(AB998,$AS$8:$AS$13,0),MATCH(O998,$AU$7:$BB$7,0))</f>
        <v/>
      </c>
    </row>
    <row r="999" ht="14.25" customHeight="1">
      <c r="O999" s="43" t="inlineStr">
        <is>
          <t>Q4’27</t>
        </is>
      </c>
      <c r="P999" s="43" t="n">
        <v>3</v>
      </c>
      <c r="Q999" s="43" t="n">
        <v>4</v>
      </c>
      <c r="R999" s="43" t="n">
        <v>2</v>
      </c>
      <c r="S999" s="45" t="n">
        <v>3900.516271857022</v>
      </c>
      <c r="T999">
        <f>(S998+S999+S1000)=U4</f>
        <v/>
      </c>
      <c r="X999" s="84">
        <f>MAX(S996-S999,0)</f>
        <v/>
      </c>
      <c r="Y999" s="83" t="n">
        <v>0</v>
      </c>
      <c r="AA999" s="84" t="n">
        <v>9</v>
      </c>
      <c r="AB999" s="84" t="inlineStr">
        <is>
          <t>E</t>
        </is>
      </c>
      <c r="AC999" s="84" t="inlineStr">
        <is>
          <t>E+</t>
        </is>
      </c>
      <c r="AD999" s="84" t="n">
        <v>15</v>
      </c>
      <c r="AE999" s="84" t="n">
        <v>11</v>
      </c>
      <c r="AF999" s="84" t="n">
        <v>0.76</v>
      </c>
      <c r="AG999" s="84" t="n">
        <v>0.84</v>
      </c>
      <c r="AH999" s="84" t="n">
        <v>0</v>
      </c>
      <c r="AI999" s="84" t="n">
        <v>0</v>
      </c>
      <c r="AJ999" s="84">
        <f>SUMIFS(AH$8:AH$1039,$O$8:$O$1039,O999,$AB$8:$AB$1039,AB999,$R$8:$R$1039,R999,$AA$8:$AA$1039,"&lt;="&amp;AA999)</f>
        <v/>
      </c>
      <c r="AK999" s="84">
        <f>D96</f>
        <v/>
      </c>
      <c r="AL999" s="84">
        <f>D102</f>
        <v/>
      </c>
      <c r="AM999" s="84">
        <f>MAX(0,AJ999-AK999)</f>
        <v/>
      </c>
      <c r="AN999" s="84">
        <f>IF(AM999=0,AH999,IF(AM999&gt;=AH999,0,AH999-AM999))</f>
        <v/>
      </c>
      <c r="AO999" s="84">
        <f>IF(AM999&gt;=AH999,AI999,AI999*AM999/AH999)</f>
        <v/>
      </c>
      <c r="AP999">
        <f t="array" ref="AP999">INDEX($AU$8:$BB$25,6*(R999-1)+MATCH(AB999,$AS$8:$AS$13,0),MATCH(O999,$AU$7:$BB$7,0))</f>
        <v/>
      </c>
    </row>
    <row r="1000" ht="14.25" customHeight="1">
      <c r="O1000" s="43" t="inlineStr">
        <is>
          <t>Q4’27</t>
        </is>
      </c>
      <c r="P1000" s="43" t="n">
        <v>3</v>
      </c>
      <c r="Q1000" s="43" t="n">
        <v>4</v>
      </c>
      <c r="R1000" s="43" t="n">
        <v>3</v>
      </c>
      <c r="S1000" s="45" t="n">
        <v>5363.245767298026</v>
      </c>
      <c r="T1000">
        <f>(S998+S999+S1000)=U4</f>
        <v/>
      </c>
      <c r="X1000" s="84">
        <f>MAX(S997-S1000,0)</f>
        <v/>
      </c>
      <c r="Y1000" s="83" t="n">
        <v>0</v>
      </c>
      <c r="AA1000" s="84" t="n">
        <v>9</v>
      </c>
      <c r="AB1000" s="84" t="inlineStr">
        <is>
          <t>E</t>
        </is>
      </c>
      <c r="AC1000" s="84" t="inlineStr">
        <is>
          <t>E+</t>
        </is>
      </c>
      <c r="AD1000" s="84" t="n">
        <v>15</v>
      </c>
      <c r="AE1000" s="84" t="n">
        <v>11</v>
      </c>
      <c r="AF1000" s="84" t="n">
        <v>0.76</v>
      </c>
      <c r="AG1000" s="84" t="n">
        <v>0.84</v>
      </c>
      <c r="AH1000" s="84" t="n">
        <v>0</v>
      </c>
      <c r="AI1000" s="84" t="n">
        <v>0</v>
      </c>
      <c r="AJ1000" s="84">
        <f>SUMIFS(AH$8:AH$1039,$O$8:$O$1039,O1000,$AB$8:$AB$1039,AB1000,$R$8:$R$1039,R1000,$AA$8:$AA$1039,"&lt;="&amp;AA1000)</f>
        <v/>
      </c>
      <c r="AK1000" s="84">
        <f>E96</f>
        <v/>
      </c>
      <c r="AL1000" s="84">
        <f>E102</f>
        <v/>
      </c>
      <c r="AM1000" s="84">
        <f>MAX(0,AJ1000-AK1000)</f>
        <v/>
      </c>
      <c r="AN1000" s="84">
        <f>IF(AM1000=0,AH1000,IF(AM1000&gt;=AH1000,0,AH1000-AM1000))</f>
        <v/>
      </c>
      <c r="AO1000" s="84">
        <f>IF(AM1000&gt;=AH1000,AI1000,AI1000*AM1000/AH1000)</f>
        <v/>
      </c>
      <c r="AP1000">
        <f t="array" ref="AP1000">INDEX($AU$8:$BB$25,6*(R1000-1)+MATCH(AB1000,$AS$8:$AS$13,0),MATCH(O1000,$AU$7:$BB$7,0))</f>
        <v/>
      </c>
    </row>
    <row r="1001" ht="14.25" customHeight="1">
      <c r="O1001" s="43" t="inlineStr">
        <is>
          <t>Q4’27</t>
        </is>
      </c>
      <c r="P1001" s="43" t="n">
        <v>3</v>
      </c>
      <c r="Q1001" s="43" t="n">
        <v>5</v>
      </c>
      <c r="R1001" s="43" t="n">
        <v>1</v>
      </c>
      <c r="S1001" s="45" t="n">
        <v>656.237960844952</v>
      </c>
      <c r="T1001">
        <f>(S1001+S1002+S1003)=U4</f>
        <v/>
      </c>
      <c r="X1001" s="84">
        <f>MAX(S998-S1001,0)</f>
        <v/>
      </c>
      <c r="Y1001" s="83" t="n">
        <v>0</v>
      </c>
      <c r="AA1001" s="84" t="n">
        <v>6</v>
      </c>
      <c r="AB1001" s="84" t="inlineStr">
        <is>
          <t>F</t>
        </is>
      </c>
      <c r="AC1001" s="84" t="inlineStr">
        <is>
          <t>F+</t>
        </is>
      </c>
      <c r="AD1001" s="84" t="n">
        <v>16</v>
      </c>
      <c r="AE1001" s="84" t="n">
        <v>14</v>
      </c>
      <c r="AF1001" s="84" t="n">
        <v>0.8</v>
      </c>
      <c r="AG1001" s="84" t="n">
        <v>0.9</v>
      </c>
      <c r="AH1001" s="84" t="n">
        <v>0</v>
      </c>
      <c r="AI1001" s="84" t="n">
        <v>0</v>
      </c>
      <c r="AJ1001" s="84">
        <f>SUMIFS(AH$8:AH$1039,$O$8:$O$1039,O1001,$AB$8:$AB$1039,AB1001,$R$8:$R$1039,R1001,$AA$8:$AA$1039,"&lt;="&amp;AA1001)</f>
        <v/>
      </c>
      <c r="AK1001" s="84">
        <f>C97</f>
        <v/>
      </c>
      <c r="AL1001" s="84">
        <f>C103</f>
        <v/>
      </c>
      <c r="AM1001" s="84">
        <f>MAX(0,AJ1001-AK1001)</f>
        <v/>
      </c>
      <c r="AN1001" s="84">
        <f>IF(AM1001=0,AH1001,IF(AM1001&gt;=AH1001,0,AH1001-AM1001))</f>
        <v/>
      </c>
      <c r="AO1001" s="84">
        <f>IF(AM1001&gt;=AH1001,AI1001,AI1001*AM1001/AH1001)</f>
        <v/>
      </c>
      <c r="AP1001">
        <f t="array" ref="AP1001">INDEX($AU$8:$BB$25,6*(R1001-1)+MATCH(AB1001,$AS$8:$AS$13,0),MATCH(O1001,$AU$7:$BB$7,0))</f>
        <v/>
      </c>
    </row>
    <row r="1002" ht="14.25" customHeight="1">
      <c r="O1002" s="43" t="inlineStr">
        <is>
          <t>Q4’27</t>
        </is>
      </c>
      <c r="P1002" s="43" t="n">
        <v>3</v>
      </c>
      <c r="Q1002" s="43" t="n">
        <v>5</v>
      </c>
      <c r="R1002" s="43" t="n">
        <v>2</v>
      </c>
      <c r="S1002" s="45" t="n">
        <v>3900.516271857022</v>
      </c>
      <c r="T1002">
        <f>(S1001+S1002+S1003)=U4</f>
        <v/>
      </c>
      <c r="X1002" s="84">
        <f>MAX(S999-S1002,0)</f>
        <v/>
      </c>
      <c r="Y1002" s="83" t="n">
        <v>0</v>
      </c>
      <c r="AA1002" s="84" t="n">
        <v>6</v>
      </c>
      <c r="AB1002" s="84" t="inlineStr">
        <is>
          <t>F</t>
        </is>
      </c>
      <c r="AC1002" s="84" t="inlineStr">
        <is>
          <t>F+</t>
        </is>
      </c>
      <c r="AD1002" s="84" t="n">
        <v>16</v>
      </c>
      <c r="AE1002" s="84" t="n">
        <v>14</v>
      </c>
      <c r="AF1002" s="84" t="n">
        <v>0.8</v>
      </c>
      <c r="AG1002" s="84" t="n">
        <v>0.9</v>
      </c>
      <c r="AH1002" s="84" t="n">
        <v>0</v>
      </c>
      <c r="AI1002" s="84" t="n">
        <v>0</v>
      </c>
      <c r="AJ1002" s="84">
        <f>SUMIFS(AH$8:AH$1039,$O$8:$O$1039,O1002,$AB$8:$AB$1039,AB1002,$R$8:$R$1039,R1002,$AA$8:$AA$1039,"&lt;="&amp;AA1002)</f>
        <v/>
      </c>
      <c r="AK1002" s="84">
        <f>D97</f>
        <v/>
      </c>
      <c r="AL1002" s="84">
        <f>D103</f>
        <v/>
      </c>
      <c r="AM1002" s="84">
        <f>MAX(0,AJ1002-AK1002)</f>
        <v/>
      </c>
      <c r="AN1002" s="84">
        <f>IF(AM1002=0,AH1002,IF(AM1002&gt;=AH1002,0,AH1002-AM1002))</f>
        <v/>
      </c>
      <c r="AO1002" s="84">
        <f>IF(AM1002&gt;=AH1002,AI1002,AI1002*AM1002/AH1002)</f>
        <v/>
      </c>
      <c r="AP1002">
        <f t="array" ref="AP1002">INDEX($AU$8:$BB$25,6*(R1002-1)+MATCH(AB1002,$AS$8:$AS$13,0),MATCH(O1002,$AU$7:$BB$7,0))</f>
        <v/>
      </c>
    </row>
    <row r="1003" ht="14.25" customHeight="1">
      <c r="O1003" s="43" t="inlineStr">
        <is>
          <t>Q4’27</t>
        </is>
      </c>
      <c r="P1003" s="43" t="n">
        <v>3</v>
      </c>
      <c r="Q1003" s="43" t="n">
        <v>5</v>
      </c>
      <c r="R1003" s="43" t="n">
        <v>3</v>
      </c>
      <c r="S1003" s="45" t="n">
        <v>5363.245767298025</v>
      </c>
      <c r="T1003">
        <f>(S1001+S1002+S1003)=U4</f>
        <v/>
      </c>
      <c r="X1003" s="84">
        <f>MAX(S1000-S1003,0)</f>
        <v/>
      </c>
      <c r="Y1003" s="83" t="n">
        <v>0</v>
      </c>
      <c r="AA1003" s="84" t="n">
        <v>6</v>
      </c>
      <c r="AB1003" s="84" t="inlineStr">
        <is>
          <t>F</t>
        </is>
      </c>
      <c r="AC1003" s="84" t="inlineStr">
        <is>
          <t>F+</t>
        </is>
      </c>
      <c r="AD1003" s="84" t="n">
        <v>16</v>
      </c>
      <c r="AE1003" s="84" t="n">
        <v>14</v>
      </c>
      <c r="AF1003" s="84" t="n">
        <v>0.8</v>
      </c>
      <c r="AG1003" s="84" t="n">
        <v>0.9</v>
      </c>
      <c r="AH1003" s="84" t="n">
        <v>0</v>
      </c>
      <c r="AI1003" s="84" t="n">
        <v>0</v>
      </c>
      <c r="AJ1003" s="84">
        <f>SUMIFS(AH$8:AH$1039,$O$8:$O$1039,O1003,$AB$8:$AB$1039,AB1003,$R$8:$R$1039,R1003,$AA$8:$AA$1039,"&lt;="&amp;AA1003)</f>
        <v/>
      </c>
      <c r="AK1003" s="84">
        <f>E97</f>
        <v/>
      </c>
      <c r="AL1003" s="84">
        <f>E103</f>
        <v/>
      </c>
      <c r="AM1003" s="84">
        <f>MAX(0,AJ1003-AK1003)</f>
        <v/>
      </c>
      <c r="AN1003" s="84">
        <f>IF(AM1003=0,AH1003,IF(AM1003&gt;=AH1003,0,AH1003-AM1003))</f>
        <v/>
      </c>
      <c r="AO1003" s="84">
        <f>IF(AM1003&gt;=AH1003,AI1003,AI1003*AM1003/AH1003)</f>
        <v/>
      </c>
      <c r="AP1003">
        <f t="array" ref="AP1003">INDEX($AU$8:$BB$25,6*(R1003-1)+MATCH(AB1003,$AS$8:$AS$13,0),MATCH(O1003,$AU$7:$BB$7,0))</f>
        <v/>
      </c>
    </row>
    <row r="1004" ht="14.25" customHeight="1">
      <c r="O1004" s="43" t="inlineStr">
        <is>
          <t>Q4’27</t>
        </is>
      </c>
      <c r="P1004" s="43" t="n">
        <v>3</v>
      </c>
      <c r="Q1004" s="43" t="n">
        <v>6</v>
      </c>
      <c r="R1004" s="43" t="n">
        <v>1</v>
      </c>
      <c r="S1004" s="45" t="n">
        <v>656.237960844951</v>
      </c>
      <c r="T1004">
        <f>(S1004+S1005+S1006)=U4</f>
        <v/>
      </c>
      <c r="X1004" s="84">
        <f>MAX(S1001-S1004,0)</f>
        <v/>
      </c>
      <c r="Y1004" s="83" t="n">
        <v>0</v>
      </c>
      <c r="AA1004" s="84" t="n">
        <v>1</v>
      </c>
      <c r="AB1004" s="84" t="inlineStr">
        <is>
          <t>D</t>
        </is>
      </c>
      <c r="AC1004" s="84" t="inlineStr">
        <is>
          <t>D+</t>
        </is>
      </c>
      <c r="AD1004" s="84" t="n">
        <v>12</v>
      </c>
      <c r="AE1004" s="84" t="n">
        <v>11</v>
      </c>
      <c r="AF1004" s="84" t="n">
        <v>0.8</v>
      </c>
      <c r="AG1004" s="84" t="n">
        <v>0.88</v>
      </c>
      <c r="AH1004" s="84" t="n">
        <v>0</v>
      </c>
      <c r="AI1004" s="84" t="n">
        <v>0</v>
      </c>
      <c r="AJ1004" s="84">
        <f>SUMIFS(AH$8:AH$1039,$O$8:$O$1039,O1004,$AB$8:$AB$1039,AB1004,$R$8:$R$1039,R1004,$AA$8:$AA$1039,"&lt;="&amp;AA1004)</f>
        <v/>
      </c>
      <c r="AK1004" s="84">
        <f>C95</f>
        <v/>
      </c>
      <c r="AL1004" s="84">
        <f>C101</f>
        <v/>
      </c>
      <c r="AM1004" s="84">
        <f>MAX(0,AJ1004-AK1004)</f>
        <v/>
      </c>
      <c r="AN1004" s="84">
        <f>IF(AM1004=0,AH1004,IF(AM1004&gt;=AH1004,0,AH1004-AM1004))</f>
        <v/>
      </c>
      <c r="AO1004" s="84">
        <f>IF(AM1004&gt;=AH1004,AI1004,AI1004*AM1004/AH1004)</f>
        <v/>
      </c>
      <c r="AP1004">
        <f t="array" ref="AP1004">INDEX($AU$8:$BB$25,6*(R1004-1)+MATCH(AB1004,$AS$8:$AS$13,0),MATCH(O1004,$AU$7:$BB$7,0))</f>
        <v/>
      </c>
    </row>
    <row r="1005" ht="14.25" customHeight="1">
      <c r="O1005" s="43" t="inlineStr">
        <is>
          <t>Q4’27</t>
        </is>
      </c>
      <c r="P1005" s="43" t="n">
        <v>3</v>
      </c>
      <c r="Q1005" s="43" t="n">
        <v>6</v>
      </c>
      <c r="R1005" s="43" t="n">
        <v>2</v>
      </c>
      <c r="S1005" s="45" t="n">
        <v>3900.516271857022</v>
      </c>
      <c r="T1005">
        <f>(S1004+S1005+S1006)=U4</f>
        <v/>
      </c>
      <c r="X1005" s="84">
        <f>MAX(S1002-S1005,0)</f>
        <v/>
      </c>
      <c r="Y1005" s="83" t="n">
        <v>0</v>
      </c>
      <c r="AA1005" s="84" t="n">
        <v>1</v>
      </c>
      <c r="AB1005" s="84" t="inlineStr">
        <is>
          <t>D</t>
        </is>
      </c>
      <c r="AC1005" s="84" t="inlineStr">
        <is>
          <t>D+</t>
        </is>
      </c>
      <c r="AD1005" s="84" t="n">
        <v>12</v>
      </c>
      <c r="AE1005" s="84" t="n">
        <v>11</v>
      </c>
      <c r="AF1005" s="84" t="n">
        <v>0.8</v>
      </c>
      <c r="AG1005" s="84" t="n">
        <v>0.88</v>
      </c>
      <c r="AH1005" s="84" t="n">
        <v>0</v>
      </c>
      <c r="AI1005" s="84" t="n">
        <v>0</v>
      </c>
      <c r="AJ1005" s="84">
        <f>SUMIFS(AH$8:AH$1039,$O$8:$O$1039,O1005,$AB$8:$AB$1039,AB1005,$R$8:$R$1039,R1005,$AA$8:$AA$1039,"&lt;="&amp;AA1005)</f>
        <v/>
      </c>
      <c r="AK1005" s="84">
        <f>D95</f>
        <v/>
      </c>
      <c r="AL1005" s="84">
        <f>D101</f>
        <v/>
      </c>
      <c r="AM1005" s="84">
        <f>MAX(0,AJ1005-AK1005)</f>
        <v/>
      </c>
      <c r="AN1005" s="84">
        <f>IF(AM1005=0,AH1005,IF(AM1005&gt;=AH1005,0,AH1005-AM1005))</f>
        <v/>
      </c>
      <c r="AO1005" s="84">
        <f>IF(AM1005&gt;=AH1005,AI1005,AI1005*AM1005/AH1005)</f>
        <v/>
      </c>
      <c r="AP1005">
        <f t="array" ref="AP1005">INDEX($AU$8:$BB$25,6*(R1005-1)+MATCH(AB1005,$AS$8:$AS$13,0),MATCH(O1005,$AU$7:$BB$7,0))</f>
        <v/>
      </c>
    </row>
    <row r="1006" ht="14.25" customHeight="1">
      <c r="O1006" s="43" t="inlineStr">
        <is>
          <t>Q4’27</t>
        </is>
      </c>
      <c r="P1006" s="43" t="n">
        <v>3</v>
      </c>
      <c r="Q1006" s="43" t="n">
        <v>6</v>
      </c>
      <c r="R1006" s="43" t="n">
        <v>3</v>
      </c>
      <c r="S1006" s="45" t="n">
        <v>5363.245767298026</v>
      </c>
      <c r="T1006">
        <f>(S1004+S1005+S1006)=U4</f>
        <v/>
      </c>
      <c r="X1006" s="84">
        <f>MAX(S1003-S1006,0)</f>
        <v/>
      </c>
      <c r="Y1006" s="83" t="n">
        <v>0</v>
      </c>
      <c r="AA1006" s="84" t="n">
        <v>1</v>
      </c>
      <c r="AB1006" s="84" t="inlineStr">
        <is>
          <t>D</t>
        </is>
      </c>
      <c r="AC1006" s="84" t="inlineStr">
        <is>
          <t>D+</t>
        </is>
      </c>
      <c r="AD1006" s="84" t="n">
        <v>12</v>
      </c>
      <c r="AE1006" s="84" t="n">
        <v>11</v>
      </c>
      <c r="AF1006" s="84" t="n">
        <v>0.8</v>
      </c>
      <c r="AG1006" s="84" t="n">
        <v>0.88</v>
      </c>
      <c r="AH1006" s="84" t="n">
        <v>0</v>
      </c>
      <c r="AI1006" s="84" t="n">
        <v>0</v>
      </c>
      <c r="AJ1006" s="84">
        <f>SUMIFS(AH$8:AH$1039,$O$8:$O$1039,O1006,$AB$8:$AB$1039,AB1006,$R$8:$R$1039,R1006,$AA$8:$AA$1039,"&lt;="&amp;AA1006)</f>
        <v/>
      </c>
      <c r="AK1006" s="84">
        <f>E95</f>
        <v/>
      </c>
      <c r="AL1006" s="84">
        <f>E101</f>
        <v/>
      </c>
      <c r="AM1006" s="84">
        <f>MAX(0,AJ1006-AK1006)</f>
        <v/>
      </c>
      <c r="AN1006" s="84">
        <f>IF(AM1006=0,AH1006,IF(AM1006&gt;=AH1006,0,AH1006-AM1006))</f>
        <v/>
      </c>
      <c r="AO1006" s="84">
        <f>IF(AM1006&gt;=AH1006,AI1006,AI1006*AM1006/AH1006)</f>
        <v/>
      </c>
      <c r="AP1006">
        <f t="array" ref="AP1006">INDEX($AU$8:$BB$25,6*(R1006-1)+MATCH(AB1006,$AS$8:$AS$13,0),MATCH(O1006,$AU$7:$BB$7,0))</f>
        <v/>
      </c>
    </row>
    <row r="1007" ht="14.25" customHeight="1">
      <c r="O1007" s="43" t="inlineStr">
        <is>
          <t>Q4’27</t>
        </is>
      </c>
      <c r="P1007" s="43" t="n">
        <v>3</v>
      </c>
      <c r="Q1007" s="43" t="n">
        <v>7</v>
      </c>
      <c r="R1007" s="43" t="n">
        <v>1</v>
      </c>
      <c r="S1007" s="45" t="n">
        <v>656.237960844951</v>
      </c>
      <c r="T1007">
        <f>(S1007+S1008+S1009)=U4</f>
        <v/>
      </c>
      <c r="X1007" s="84">
        <f>MAX(S1004-S1007,0)</f>
        <v/>
      </c>
      <c r="Y1007" s="83" t="n">
        <v>0</v>
      </c>
      <c r="AA1007" s="84" t="n">
        <v>3</v>
      </c>
      <c r="AB1007" s="84" t="inlineStr">
        <is>
          <t>C</t>
        </is>
      </c>
      <c r="AC1007" s="84" t="inlineStr">
        <is>
          <t>C+</t>
        </is>
      </c>
      <c r="AD1007" s="84" t="n">
        <v>24</v>
      </c>
      <c r="AE1007" s="84" t="n">
        <v>21</v>
      </c>
      <c r="AF1007" s="84" t="n">
        <v>0.8</v>
      </c>
      <c r="AG1007" s="84" t="n">
        <v>0.86</v>
      </c>
      <c r="AH1007" s="84" t="n">
        <v>0</v>
      </c>
      <c r="AI1007" s="84" t="n">
        <v>0</v>
      </c>
      <c r="AJ1007" s="84">
        <f>SUMIFS(AH$8:AH$1039,$O$8:$O$1039,O1007,$AB$8:$AB$1039,AB1007,$R$8:$R$1039,R1007,$AA$8:$AA$1039,"&lt;="&amp;AA1007)</f>
        <v/>
      </c>
      <c r="AK1007" s="84">
        <f>C94</f>
        <v/>
      </c>
      <c r="AL1007" s="84">
        <f>C100</f>
        <v/>
      </c>
      <c r="AM1007" s="84">
        <f>MAX(0,AJ1007-AK1007)</f>
        <v/>
      </c>
      <c r="AN1007" s="84">
        <f>IF(AM1007=0,AH1007,IF(AM1007&gt;=AH1007,0,AH1007-AM1007))</f>
        <v/>
      </c>
      <c r="AO1007" s="84">
        <f>IF(AM1007&gt;=AH1007,AI1007,AI1007*AM1007/AH1007)</f>
        <v/>
      </c>
      <c r="AP1007">
        <f t="array" ref="AP1007">INDEX($AU$8:$BB$25,6*(R1007-1)+MATCH(AB1007,$AS$8:$AS$13,0),MATCH(O1007,$AU$7:$BB$7,0))</f>
        <v/>
      </c>
    </row>
    <row r="1008" ht="14.25" customHeight="1">
      <c r="O1008" s="43" t="inlineStr">
        <is>
          <t>Q4’27</t>
        </is>
      </c>
      <c r="P1008" s="43" t="n">
        <v>3</v>
      </c>
      <c r="Q1008" s="43" t="n">
        <v>7</v>
      </c>
      <c r="R1008" s="43" t="n">
        <v>2</v>
      </c>
      <c r="S1008" s="45" t="n">
        <v>3900.516271857022</v>
      </c>
      <c r="T1008">
        <f>(S1007+S1008+S1009)=U4</f>
        <v/>
      </c>
      <c r="X1008" s="84">
        <f>MAX(S1005-S1008,0)</f>
        <v/>
      </c>
      <c r="Y1008" s="83" t="n">
        <v>0</v>
      </c>
      <c r="AA1008" s="84" t="n">
        <v>3</v>
      </c>
      <c r="AB1008" s="84" t="inlineStr">
        <is>
          <t>C</t>
        </is>
      </c>
      <c r="AC1008" s="84" t="inlineStr">
        <is>
          <t>C+</t>
        </is>
      </c>
      <c r="AD1008" s="84" t="n">
        <v>24</v>
      </c>
      <c r="AE1008" s="84" t="n">
        <v>21</v>
      </c>
      <c r="AF1008" s="84" t="n">
        <v>0.8</v>
      </c>
      <c r="AG1008" s="84" t="n">
        <v>0.86</v>
      </c>
      <c r="AH1008" s="84" t="n">
        <v>0</v>
      </c>
      <c r="AI1008" s="84" t="n">
        <v>0</v>
      </c>
      <c r="AJ1008" s="84">
        <f>SUMIFS(AH$8:AH$1039,$O$8:$O$1039,O1008,$AB$8:$AB$1039,AB1008,$R$8:$R$1039,R1008,$AA$8:$AA$1039,"&lt;="&amp;AA1008)</f>
        <v/>
      </c>
      <c r="AK1008" s="84">
        <f>D94</f>
        <v/>
      </c>
      <c r="AL1008" s="84">
        <f>D100</f>
        <v/>
      </c>
      <c r="AM1008" s="84">
        <f>MAX(0,AJ1008-AK1008)</f>
        <v/>
      </c>
      <c r="AN1008" s="84">
        <f>IF(AM1008=0,AH1008,IF(AM1008&gt;=AH1008,0,AH1008-AM1008))</f>
        <v/>
      </c>
      <c r="AO1008" s="84">
        <f>IF(AM1008&gt;=AH1008,AI1008,AI1008*AM1008/AH1008)</f>
        <v/>
      </c>
      <c r="AP1008">
        <f t="array" ref="AP1008">INDEX($AU$8:$BB$25,6*(R1008-1)+MATCH(AB1008,$AS$8:$AS$13,0),MATCH(O1008,$AU$7:$BB$7,0))</f>
        <v/>
      </c>
    </row>
    <row r="1009" ht="14.25" customHeight="1">
      <c r="O1009" s="43" t="inlineStr">
        <is>
          <t>Q4’27</t>
        </is>
      </c>
      <c r="P1009" s="43" t="n">
        <v>3</v>
      </c>
      <c r="Q1009" s="43" t="n">
        <v>7</v>
      </c>
      <c r="R1009" s="43" t="n">
        <v>3</v>
      </c>
      <c r="S1009" s="45" t="n">
        <v>5363.245767298026</v>
      </c>
      <c r="T1009">
        <f>(S1007+S1008+S1009)=U4</f>
        <v/>
      </c>
      <c r="X1009" s="84">
        <f>MAX(S1006-S1009,0)</f>
        <v/>
      </c>
      <c r="Y1009" s="83" t="n">
        <v>0</v>
      </c>
      <c r="AA1009" s="84" t="n">
        <v>3</v>
      </c>
      <c r="AB1009" s="84" t="inlineStr">
        <is>
          <t>C</t>
        </is>
      </c>
      <c r="AC1009" s="84" t="inlineStr">
        <is>
          <t>C+</t>
        </is>
      </c>
      <c r="AD1009" s="84" t="n">
        <v>24</v>
      </c>
      <c r="AE1009" s="84" t="n">
        <v>21</v>
      </c>
      <c r="AF1009" s="84" t="n">
        <v>0.8</v>
      </c>
      <c r="AG1009" s="84" t="n">
        <v>0.86</v>
      </c>
      <c r="AH1009" s="84" t="n">
        <v>0</v>
      </c>
      <c r="AI1009" s="84" t="n">
        <v>0</v>
      </c>
      <c r="AJ1009" s="84">
        <f>SUMIFS(AH$8:AH$1039,$O$8:$O$1039,O1009,$AB$8:$AB$1039,AB1009,$R$8:$R$1039,R1009,$AA$8:$AA$1039,"&lt;="&amp;AA1009)</f>
        <v/>
      </c>
      <c r="AK1009" s="84">
        <f>E94</f>
        <v/>
      </c>
      <c r="AL1009" s="84">
        <f>E100</f>
        <v/>
      </c>
      <c r="AM1009" s="84">
        <f>MAX(0,AJ1009-AK1009)</f>
        <v/>
      </c>
      <c r="AN1009" s="84">
        <f>IF(AM1009=0,AH1009,IF(AM1009&gt;=AH1009,0,AH1009-AM1009))</f>
        <v/>
      </c>
      <c r="AO1009" s="84">
        <f>IF(AM1009&gt;=AH1009,AI1009,AI1009*AM1009/AH1009)</f>
        <v/>
      </c>
      <c r="AP1009">
        <f t="array" ref="AP1009">INDEX($AU$8:$BB$25,6*(R1009-1)+MATCH(AB1009,$AS$8:$AS$13,0),MATCH(O1009,$AU$7:$BB$7,0))</f>
        <v/>
      </c>
    </row>
    <row r="1010" ht="14.25" customHeight="1">
      <c r="O1010" s="43" t="inlineStr">
        <is>
          <t>Q4’27</t>
        </is>
      </c>
      <c r="P1010" s="43" t="n">
        <v>3</v>
      </c>
      <c r="Q1010" s="43" t="n">
        <v>8</v>
      </c>
      <c r="R1010" s="43" t="n">
        <v>1</v>
      </c>
      <c r="S1010" s="45" t="n">
        <v>4707.996445576296</v>
      </c>
      <c r="T1010">
        <f>(S1010+S1011+S1012)=U4</f>
        <v/>
      </c>
      <c r="X1010" s="84">
        <f>MAX(S1007-S1010,0)</f>
        <v/>
      </c>
      <c r="Y1010" s="83" t="n">
        <v>0</v>
      </c>
      <c r="AA1010" s="84" t="n">
        <v>5</v>
      </c>
      <c r="AB1010" s="84" t="inlineStr">
        <is>
          <t>C</t>
        </is>
      </c>
      <c r="AC1010" s="84" t="inlineStr">
        <is>
          <t>C+</t>
        </is>
      </c>
      <c r="AD1010" s="84" t="n">
        <v>19</v>
      </c>
      <c r="AE1010" s="84" t="n">
        <v>13</v>
      </c>
      <c r="AF1010" s="84" t="n">
        <v>0.8</v>
      </c>
      <c r="AG1010" s="84" t="n">
        <v>0.86</v>
      </c>
      <c r="AH1010" s="84" t="n">
        <v>0</v>
      </c>
      <c r="AI1010" s="84" t="n">
        <v>0</v>
      </c>
      <c r="AJ1010" s="84">
        <f>SUMIFS(AH$8:AH$1039,$O$8:$O$1039,O1010,$AB$8:$AB$1039,AB1010,$R$8:$R$1039,R1010,$AA$8:$AA$1039,"&lt;="&amp;AA1010)</f>
        <v/>
      </c>
      <c r="AK1010" s="84">
        <f>C94</f>
        <v/>
      </c>
      <c r="AL1010" s="84">
        <f>C100</f>
        <v/>
      </c>
      <c r="AM1010" s="84">
        <f>MAX(0,AJ1010-AK1010)</f>
        <v/>
      </c>
      <c r="AN1010" s="84">
        <f>IF(AM1010=0,AH1010,IF(AM1010&gt;=AH1010,0,AH1010-AM1010))</f>
        <v/>
      </c>
      <c r="AO1010" s="84">
        <f>IF(AM1010&gt;=AH1010,AI1010,AI1010*AM1010/AH1010)</f>
        <v/>
      </c>
      <c r="AP1010">
        <f t="array" ref="AP1010">INDEX($AU$8:$BB$25,6*(R1010-1)+MATCH(AB1010,$AS$8:$AS$13,0),MATCH(O1010,$AU$7:$BB$7,0))</f>
        <v/>
      </c>
    </row>
    <row r="1011" ht="14.25" customHeight="1">
      <c r="O1011" s="43" t="inlineStr">
        <is>
          <t>Q4’27</t>
        </is>
      </c>
      <c r="P1011" s="43" t="n">
        <v>3</v>
      </c>
      <c r="Q1011" s="43" t="n">
        <v>8</v>
      </c>
      <c r="R1011" s="43" t="n">
        <v>2</v>
      </c>
      <c r="S1011" s="45" t="n">
        <v>3900.516271857022</v>
      </c>
      <c r="T1011">
        <f>(S1010+S1011+S1012)=U4</f>
        <v/>
      </c>
      <c r="X1011" s="84">
        <f>MAX(S1008-S1011,0)</f>
        <v/>
      </c>
      <c r="Y1011" s="83" t="n">
        <v>0</v>
      </c>
      <c r="AA1011" s="84" t="n">
        <v>5</v>
      </c>
      <c r="AB1011" s="84" t="inlineStr">
        <is>
          <t>C</t>
        </is>
      </c>
      <c r="AC1011" s="84" t="inlineStr">
        <is>
          <t>C+</t>
        </is>
      </c>
      <c r="AD1011" s="84" t="n">
        <v>19</v>
      </c>
      <c r="AE1011" s="84" t="n">
        <v>13</v>
      </c>
      <c r="AF1011" s="84" t="n">
        <v>0.8</v>
      </c>
      <c r="AG1011" s="84" t="n">
        <v>0.86</v>
      </c>
      <c r="AH1011" s="84" t="n">
        <v>0</v>
      </c>
      <c r="AI1011" s="84" t="n">
        <v>0</v>
      </c>
      <c r="AJ1011" s="84">
        <f>SUMIFS(AH$8:AH$1039,$O$8:$O$1039,O1011,$AB$8:$AB$1039,AB1011,$R$8:$R$1039,R1011,$AA$8:$AA$1039,"&lt;="&amp;AA1011)</f>
        <v/>
      </c>
      <c r="AK1011" s="84">
        <f>D94</f>
        <v/>
      </c>
      <c r="AL1011" s="84">
        <f>D100</f>
        <v/>
      </c>
      <c r="AM1011" s="84">
        <f>MAX(0,AJ1011-AK1011)</f>
        <v/>
      </c>
      <c r="AN1011" s="84">
        <f>IF(AM1011=0,AH1011,IF(AM1011&gt;=AH1011,0,AH1011-AM1011))</f>
        <v/>
      </c>
      <c r="AO1011" s="84">
        <f>IF(AM1011&gt;=AH1011,AI1011,AI1011*AM1011/AH1011)</f>
        <v/>
      </c>
      <c r="AP1011">
        <f t="array" ref="AP1011">INDEX($AU$8:$BB$25,6*(R1011-1)+MATCH(AB1011,$AS$8:$AS$13,0),MATCH(O1011,$AU$7:$BB$7,0))</f>
        <v/>
      </c>
    </row>
    <row r="1012" ht="14.25" customHeight="1">
      <c r="O1012" s="43" t="inlineStr">
        <is>
          <t>Q4’27</t>
        </is>
      </c>
      <c r="P1012" s="43" t="n">
        <v>3</v>
      </c>
      <c r="Q1012" s="43" t="n">
        <v>8</v>
      </c>
      <c r="R1012" s="43" t="n">
        <v>3</v>
      </c>
      <c r="S1012" s="45" t="n">
        <v>1311.487282566682</v>
      </c>
      <c r="T1012">
        <f>(S1010+S1011+S1012)=U4</f>
        <v/>
      </c>
      <c r="X1012" s="84">
        <f>MAX(S1009-S1012,0)</f>
        <v/>
      </c>
      <c r="Y1012" s="83" t="n">
        <v>0</v>
      </c>
      <c r="AA1012" s="84" t="n">
        <v>5</v>
      </c>
      <c r="AB1012" s="84" t="inlineStr">
        <is>
          <t>C</t>
        </is>
      </c>
      <c r="AC1012" s="84" t="inlineStr">
        <is>
          <t>C+</t>
        </is>
      </c>
      <c r="AD1012" s="84" t="n">
        <v>19</v>
      </c>
      <c r="AE1012" s="84" t="n">
        <v>13</v>
      </c>
      <c r="AF1012" s="84" t="n">
        <v>0.8</v>
      </c>
      <c r="AG1012" s="84" t="n">
        <v>0.86</v>
      </c>
      <c r="AH1012" s="84" t="n">
        <v>0</v>
      </c>
      <c r="AI1012" s="84" t="n">
        <v>0</v>
      </c>
      <c r="AJ1012" s="84">
        <f>SUMIFS(AH$8:AH$1039,$O$8:$O$1039,O1012,$AB$8:$AB$1039,AB1012,$R$8:$R$1039,R1012,$AA$8:$AA$1039,"&lt;="&amp;AA1012)</f>
        <v/>
      </c>
      <c r="AK1012" s="84">
        <f>E94</f>
        <v/>
      </c>
      <c r="AL1012" s="84">
        <f>E100</f>
        <v/>
      </c>
      <c r="AM1012" s="84">
        <f>MAX(0,AJ1012-AK1012)</f>
        <v/>
      </c>
      <c r="AN1012" s="84">
        <f>IF(AM1012=0,AH1012,IF(AM1012&gt;=AH1012,0,AH1012-AM1012))</f>
        <v/>
      </c>
      <c r="AO1012" s="84">
        <f>IF(AM1012&gt;=AH1012,AI1012,AI1012*AM1012/AH1012)</f>
        <v/>
      </c>
      <c r="AP1012">
        <f t="array" ref="AP1012">INDEX($AU$8:$BB$25,6*(R1012-1)+MATCH(AB1012,$AS$8:$AS$13,0),MATCH(O1012,$AU$7:$BB$7,0))</f>
        <v/>
      </c>
    </row>
    <row r="1013" ht="14.25" customHeight="1">
      <c r="O1013" s="43" t="inlineStr">
        <is>
          <t>Q4’27</t>
        </is>
      </c>
      <c r="P1013" s="43" t="n">
        <v>3</v>
      </c>
      <c r="Q1013" s="43" t="n">
        <v>9</v>
      </c>
      <c r="R1013" s="43" t="n">
        <v>1</v>
      </c>
      <c r="S1013" s="45" t="n">
        <v>4707.996445576296</v>
      </c>
      <c r="T1013">
        <f>(S1013+S1014+S1015)=U4</f>
        <v/>
      </c>
      <c r="X1013" s="84">
        <f>MAX(S1010-S1013,0)</f>
        <v/>
      </c>
      <c r="Y1013" s="83" t="n">
        <v>0</v>
      </c>
      <c r="AA1013" s="84" t="n">
        <v>3</v>
      </c>
      <c r="AB1013" s="84" t="inlineStr">
        <is>
          <t>D</t>
        </is>
      </c>
      <c r="AC1013" s="84" t="inlineStr">
        <is>
          <t>D+</t>
        </is>
      </c>
      <c r="AD1013" s="84" t="n">
        <v>15</v>
      </c>
      <c r="AE1013" s="84" t="n">
        <v>13</v>
      </c>
      <c r="AF1013" s="84" t="n">
        <v>0.8</v>
      </c>
      <c r="AG1013" s="84" t="n">
        <v>0.88</v>
      </c>
      <c r="AH1013" s="84" t="n">
        <v>0</v>
      </c>
      <c r="AI1013" s="84" t="n">
        <v>0</v>
      </c>
      <c r="AJ1013" s="84">
        <f>SUMIFS(AH$8:AH$1039,$O$8:$O$1039,O1013,$AB$8:$AB$1039,AB1013,$R$8:$R$1039,R1013,$AA$8:$AA$1039,"&lt;="&amp;AA1013)</f>
        <v/>
      </c>
      <c r="AK1013" s="84">
        <f>C95</f>
        <v/>
      </c>
      <c r="AL1013" s="84">
        <f>C101</f>
        <v/>
      </c>
      <c r="AM1013" s="84">
        <f>MAX(0,AJ1013-AK1013)</f>
        <v/>
      </c>
      <c r="AN1013" s="84">
        <f>IF(AM1013=0,AH1013,IF(AM1013&gt;=AH1013,0,AH1013-AM1013))</f>
        <v/>
      </c>
      <c r="AO1013" s="84">
        <f>IF(AM1013&gt;=AH1013,AI1013,AI1013*AM1013/AH1013)</f>
        <v/>
      </c>
      <c r="AP1013">
        <f t="array" ref="AP1013">INDEX($AU$8:$BB$25,6*(R1013-1)+MATCH(AB1013,$AS$8:$AS$13,0),MATCH(O1013,$AU$7:$BB$7,0))</f>
        <v/>
      </c>
    </row>
    <row r="1014" ht="14.25" customHeight="1">
      <c r="O1014" s="43" t="inlineStr">
        <is>
          <t>Q4’27</t>
        </is>
      </c>
      <c r="P1014" s="43" t="n">
        <v>3</v>
      </c>
      <c r="Q1014" s="43" t="n">
        <v>9</v>
      </c>
      <c r="R1014" s="43" t="n">
        <v>2</v>
      </c>
      <c r="S1014" s="45" t="n">
        <v>3900.516271857022</v>
      </c>
      <c r="T1014">
        <f>(S1013+S1014+S1015)=U4</f>
        <v/>
      </c>
      <c r="X1014" s="84">
        <f>MAX(S1011-S1014,0)</f>
        <v/>
      </c>
      <c r="Y1014" s="83" t="n">
        <v>0</v>
      </c>
      <c r="AA1014" s="84" t="n">
        <v>3</v>
      </c>
      <c r="AB1014" s="84" t="inlineStr">
        <is>
          <t>D</t>
        </is>
      </c>
      <c r="AC1014" s="84" t="inlineStr">
        <is>
          <t>D+</t>
        </is>
      </c>
      <c r="AD1014" s="84" t="n">
        <v>15</v>
      </c>
      <c r="AE1014" s="84" t="n">
        <v>13</v>
      </c>
      <c r="AF1014" s="84" t="n">
        <v>0.8</v>
      </c>
      <c r="AG1014" s="84" t="n">
        <v>0.88</v>
      </c>
      <c r="AH1014" s="84" t="n">
        <v>0</v>
      </c>
      <c r="AI1014" s="84" t="n">
        <v>0</v>
      </c>
      <c r="AJ1014" s="84">
        <f>SUMIFS(AH$8:AH$1039,$O$8:$O$1039,O1014,$AB$8:$AB$1039,AB1014,$R$8:$R$1039,R1014,$AA$8:$AA$1039,"&lt;="&amp;AA1014)</f>
        <v/>
      </c>
      <c r="AK1014" s="84">
        <f>D95</f>
        <v/>
      </c>
      <c r="AL1014" s="84">
        <f>D101</f>
        <v/>
      </c>
      <c r="AM1014" s="84">
        <f>MAX(0,AJ1014-AK1014)</f>
        <v/>
      </c>
      <c r="AN1014" s="84">
        <f>IF(AM1014=0,AH1014,IF(AM1014&gt;=AH1014,0,AH1014-AM1014))</f>
        <v/>
      </c>
      <c r="AO1014" s="84">
        <f>IF(AM1014&gt;=AH1014,AI1014,AI1014*AM1014/AH1014)</f>
        <v/>
      </c>
      <c r="AP1014">
        <f t="array" ref="AP1014">INDEX($AU$8:$BB$25,6*(R1014-1)+MATCH(AB1014,$AS$8:$AS$13,0),MATCH(O1014,$AU$7:$BB$7,0))</f>
        <v/>
      </c>
    </row>
    <row r="1015" ht="14.25" customHeight="1">
      <c r="O1015" s="43" t="inlineStr">
        <is>
          <t>Q4’27</t>
        </is>
      </c>
      <c r="P1015" s="43" t="n">
        <v>3</v>
      </c>
      <c r="Q1015" s="43" t="n">
        <v>9</v>
      </c>
      <c r="R1015" s="43" t="n">
        <v>3</v>
      </c>
      <c r="S1015" s="45" t="n">
        <v>1311.487282566682</v>
      </c>
      <c r="T1015">
        <f>(S1013+S1014+S1015)=U4</f>
        <v/>
      </c>
      <c r="X1015" s="84">
        <f>MAX(S1012-S1015,0)</f>
        <v/>
      </c>
      <c r="Y1015" s="83" t="n">
        <v>0</v>
      </c>
      <c r="AA1015" s="84" t="n">
        <v>3</v>
      </c>
      <c r="AB1015" s="84" t="inlineStr">
        <is>
          <t>D</t>
        </is>
      </c>
      <c r="AC1015" s="84" t="inlineStr">
        <is>
          <t>D+</t>
        </is>
      </c>
      <c r="AD1015" s="84" t="n">
        <v>15</v>
      </c>
      <c r="AE1015" s="84" t="n">
        <v>13</v>
      </c>
      <c r="AF1015" s="84" t="n">
        <v>0.8</v>
      </c>
      <c r="AG1015" s="84" t="n">
        <v>0.88</v>
      </c>
      <c r="AH1015" s="84" t="n">
        <v>0</v>
      </c>
      <c r="AI1015" s="84" t="n">
        <v>0</v>
      </c>
      <c r="AJ1015" s="84">
        <f>SUMIFS(AH$8:AH$1039,$O$8:$O$1039,O1015,$AB$8:$AB$1039,AB1015,$R$8:$R$1039,R1015,$AA$8:$AA$1039,"&lt;="&amp;AA1015)</f>
        <v/>
      </c>
      <c r="AK1015" s="84">
        <f>E95</f>
        <v/>
      </c>
      <c r="AL1015" s="84">
        <f>E101</f>
        <v/>
      </c>
      <c r="AM1015" s="84">
        <f>MAX(0,AJ1015-AK1015)</f>
        <v/>
      </c>
      <c r="AN1015" s="84">
        <f>IF(AM1015=0,AH1015,IF(AM1015&gt;=AH1015,0,AH1015-AM1015))</f>
        <v/>
      </c>
      <c r="AO1015" s="84">
        <f>IF(AM1015&gt;=AH1015,AI1015,AI1015*AM1015/AH1015)</f>
        <v/>
      </c>
      <c r="AP1015">
        <f t="array" ref="AP1015">INDEX($AU$8:$BB$25,6*(R1015-1)+MATCH(AB1015,$AS$8:$AS$13,0),MATCH(O1015,$AU$7:$BB$7,0))</f>
        <v/>
      </c>
    </row>
    <row r="1016" ht="14.25" customHeight="1">
      <c r="O1016" s="43" t="inlineStr">
        <is>
          <t>Q4’27</t>
        </is>
      </c>
      <c r="P1016" s="43" t="n">
        <v>3</v>
      </c>
      <c r="Q1016" s="43" t="n">
        <v>10</v>
      </c>
      <c r="R1016" s="43" t="n">
        <v>1</v>
      </c>
      <c r="S1016" s="45" t="n">
        <v>4707.996445576296</v>
      </c>
      <c r="T1016">
        <f>(S1016+S1017+S1018)=U4</f>
        <v/>
      </c>
      <c r="X1016" s="84">
        <f>MAX(S1013-S1016,0)</f>
        <v/>
      </c>
      <c r="Y1016" s="83" t="n">
        <v>0</v>
      </c>
      <c r="AA1016" s="84" t="n">
        <v>5</v>
      </c>
      <c r="AB1016" s="84" t="inlineStr">
        <is>
          <t>D</t>
        </is>
      </c>
      <c r="AC1016" s="84" t="inlineStr">
        <is>
          <t>D+</t>
        </is>
      </c>
      <c r="AD1016" s="84" t="n">
        <v>24</v>
      </c>
      <c r="AE1016" s="84" t="n">
        <v>20</v>
      </c>
      <c r="AF1016" s="84" t="n">
        <v>0.8</v>
      </c>
      <c r="AG1016" s="84" t="n">
        <v>0.88</v>
      </c>
      <c r="AH1016" s="84" t="n">
        <v>0</v>
      </c>
      <c r="AI1016" s="84" t="n">
        <v>0</v>
      </c>
      <c r="AJ1016" s="84">
        <f>SUMIFS(AH$8:AH$1039,$O$8:$O$1039,O1016,$AB$8:$AB$1039,AB1016,$R$8:$R$1039,R1016,$AA$8:$AA$1039,"&lt;="&amp;AA1016)</f>
        <v/>
      </c>
      <c r="AK1016" s="84">
        <f>C95</f>
        <v/>
      </c>
      <c r="AL1016" s="84">
        <f>C101</f>
        <v/>
      </c>
      <c r="AM1016" s="84">
        <f>MAX(0,AJ1016-AK1016)</f>
        <v/>
      </c>
      <c r="AN1016" s="84">
        <f>IF(AM1016=0,AH1016,IF(AM1016&gt;=AH1016,0,AH1016-AM1016))</f>
        <v/>
      </c>
      <c r="AO1016" s="84">
        <f>IF(AM1016&gt;=AH1016,AI1016,AI1016*AM1016/AH1016)</f>
        <v/>
      </c>
      <c r="AP1016">
        <f t="array" ref="AP1016">INDEX($AU$8:$BB$25,6*(R1016-1)+MATCH(AB1016,$AS$8:$AS$13,0),MATCH(O1016,$AU$7:$BB$7,0))</f>
        <v/>
      </c>
    </row>
    <row r="1017" ht="14.25" customHeight="1">
      <c r="O1017" s="43" t="inlineStr">
        <is>
          <t>Q4’27</t>
        </is>
      </c>
      <c r="P1017" s="43" t="n">
        <v>3</v>
      </c>
      <c r="Q1017" s="43" t="n">
        <v>10</v>
      </c>
      <c r="R1017" s="43" t="n">
        <v>2</v>
      </c>
      <c r="S1017" s="45" t="n">
        <v>3900.516271857022</v>
      </c>
      <c r="T1017">
        <f>(S1016+S1017+S1018)=U4</f>
        <v/>
      </c>
      <c r="X1017" s="84">
        <f>MAX(S1014-S1017,0)</f>
        <v/>
      </c>
      <c r="Y1017" s="83" t="n">
        <v>0</v>
      </c>
      <c r="AA1017" s="84" t="n">
        <v>5</v>
      </c>
      <c r="AB1017" s="84" t="inlineStr">
        <is>
          <t>D</t>
        </is>
      </c>
      <c r="AC1017" s="84" t="inlineStr">
        <is>
          <t>D+</t>
        </is>
      </c>
      <c r="AD1017" s="84" t="n">
        <v>24</v>
      </c>
      <c r="AE1017" s="84" t="n">
        <v>20</v>
      </c>
      <c r="AF1017" s="84" t="n">
        <v>0.8</v>
      </c>
      <c r="AG1017" s="84" t="n">
        <v>0.88</v>
      </c>
      <c r="AH1017" s="84" t="n">
        <v>0</v>
      </c>
      <c r="AI1017" s="84" t="n">
        <v>0</v>
      </c>
      <c r="AJ1017" s="84">
        <f>SUMIFS(AH$8:AH$1039,$O$8:$O$1039,O1017,$AB$8:$AB$1039,AB1017,$R$8:$R$1039,R1017,$AA$8:$AA$1039,"&lt;="&amp;AA1017)</f>
        <v/>
      </c>
      <c r="AK1017" s="84">
        <f>D95</f>
        <v/>
      </c>
      <c r="AL1017" s="84">
        <f>D101</f>
        <v/>
      </c>
      <c r="AM1017" s="84">
        <f>MAX(0,AJ1017-AK1017)</f>
        <v/>
      </c>
      <c r="AN1017" s="84">
        <f>IF(AM1017=0,AH1017,IF(AM1017&gt;=AH1017,0,AH1017-AM1017))</f>
        <v/>
      </c>
      <c r="AO1017" s="84">
        <f>IF(AM1017&gt;=AH1017,AI1017,AI1017*AM1017/AH1017)</f>
        <v/>
      </c>
      <c r="AP1017">
        <f t="array" ref="AP1017">INDEX($AU$8:$BB$25,6*(R1017-1)+MATCH(AB1017,$AS$8:$AS$13,0),MATCH(O1017,$AU$7:$BB$7,0))</f>
        <v/>
      </c>
    </row>
    <row r="1018" ht="14.25" customHeight="1">
      <c r="O1018" s="43" t="inlineStr">
        <is>
          <t>Q4’27</t>
        </is>
      </c>
      <c r="P1018" s="43" t="n">
        <v>3</v>
      </c>
      <c r="Q1018" s="43" t="n">
        <v>10</v>
      </c>
      <c r="R1018" s="43" t="n">
        <v>3</v>
      </c>
      <c r="S1018" s="45" t="n">
        <v>1311.487282566682</v>
      </c>
      <c r="T1018">
        <f>(S1016+S1017+S1018)=U4</f>
        <v/>
      </c>
      <c r="X1018" s="84">
        <f>MAX(S1015-S1018,0)</f>
        <v/>
      </c>
      <c r="Y1018" s="83" t="n">
        <v>0</v>
      </c>
      <c r="AA1018" s="84" t="n">
        <v>5</v>
      </c>
      <c r="AB1018" s="84" t="inlineStr">
        <is>
          <t>D</t>
        </is>
      </c>
      <c r="AC1018" s="84" t="inlineStr">
        <is>
          <t>D+</t>
        </is>
      </c>
      <c r="AD1018" s="84" t="n">
        <v>24</v>
      </c>
      <c r="AE1018" s="84" t="n">
        <v>20</v>
      </c>
      <c r="AF1018" s="84" t="n">
        <v>0.8</v>
      </c>
      <c r="AG1018" s="84" t="n">
        <v>0.88</v>
      </c>
      <c r="AH1018" s="84" t="n">
        <v>0</v>
      </c>
      <c r="AI1018" s="84" t="n">
        <v>0</v>
      </c>
      <c r="AJ1018" s="84">
        <f>SUMIFS(AH$8:AH$1039,$O$8:$O$1039,O1018,$AB$8:$AB$1039,AB1018,$R$8:$R$1039,R1018,$AA$8:$AA$1039,"&lt;="&amp;AA1018)</f>
        <v/>
      </c>
      <c r="AK1018" s="84">
        <f>E95</f>
        <v/>
      </c>
      <c r="AL1018" s="84">
        <f>E101</f>
        <v/>
      </c>
      <c r="AM1018" s="84">
        <f>MAX(0,AJ1018-AK1018)</f>
        <v/>
      </c>
      <c r="AN1018" s="84">
        <f>IF(AM1018=0,AH1018,IF(AM1018&gt;=AH1018,0,AH1018-AM1018))</f>
        <v/>
      </c>
      <c r="AO1018" s="84">
        <f>IF(AM1018&gt;=AH1018,AI1018,AI1018*AM1018/AH1018)</f>
        <v/>
      </c>
      <c r="AP1018">
        <f t="array" ref="AP1018">INDEX($AU$8:$BB$25,6*(R1018-1)+MATCH(AB1018,$AS$8:$AS$13,0),MATCH(O1018,$AU$7:$BB$7,0))</f>
        <v/>
      </c>
    </row>
    <row r="1019" ht="14.25" customHeight="1">
      <c r="O1019" s="43" t="inlineStr">
        <is>
          <t>Q4’27</t>
        </is>
      </c>
      <c r="P1019" s="43" t="n">
        <v>3</v>
      </c>
      <c r="Q1019" s="43" t="n">
        <v>11</v>
      </c>
      <c r="R1019" s="43" t="n">
        <v>1</v>
      </c>
      <c r="S1019" s="45" t="n">
        <v>4707.996445576296</v>
      </c>
      <c r="T1019">
        <f>(S1019+S1020+S1021)=U4</f>
        <v/>
      </c>
      <c r="X1019" s="84">
        <f>MAX(S1016-S1019,0)</f>
        <v/>
      </c>
      <c r="Y1019" s="83" t="n">
        <v>0</v>
      </c>
      <c r="AA1019" s="84" t="n">
        <v>3</v>
      </c>
      <c r="AB1019" s="84" t="inlineStr">
        <is>
          <t>E</t>
        </is>
      </c>
      <c r="AC1019" s="84" t="inlineStr">
        <is>
          <t>E+</t>
        </is>
      </c>
      <c r="AD1019" s="84" t="n">
        <v>17</v>
      </c>
      <c r="AE1019" s="84" t="n">
        <v>15</v>
      </c>
      <c r="AF1019" s="84" t="n">
        <v>0.76</v>
      </c>
      <c r="AG1019" s="84" t="n">
        <v>0.84</v>
      </c>
      <c r="AH1019" s="84" t="n">
        <v>0</v>
      </c>
      <c r="AI1019" s="84" t="n">
        <v>0</v>
      </c>
      <c r="AJ1019" s="84">
        <f>SUMIFS(AH$8:AH$1039,$O$8:$O$1039,O1019,$AB$8:$AB$1039,AB1019,$R$8:$R$1039,R1019,$AA$8:$AA$1039,"&lt;="&amp;AA1019)</f>
        <v/>
      </c>
      <c r="AK1019" s="84">
        <f>C96</f>
        <v/>
      </c>
      <c r="AL1019" s="84">
        <f>C102</f>
        <v/>
      </c>
      <c r="AM1019" s="84">
        <f>MAX(0,AJ1019-AK1019)</f>
        <v/>
      </c>
      <c r="AN1019" s="84">
        <f>IF(AM1019=0,AH1019,IF(AM1019&gt;=AH1019,0,AH1019-AM1019))</f>
        <v/>
      </c>
      <c r="AO1019" s="84">
        <f>IF(AM1019&gt;=AH1019,AI1019,AI1019*AM1019/AH1019)</f>
        <v/>
      </c>
      <c r="AP1019">
        <f t="array" ref="AP1019">INDEX($AU$8:$BB$25,6*(R1019-1)+MATCH(AB1019,$AS$8:$AS$13,0),MATCH(O1019,$AU$7:$BB$7,0))</f>
        <v/>
      </c>
    </row>
    <row r="1020" ht="14.25" customHeight="1">
      <c r="O1020" s="43" t="inlineStr">
        <is>
          <t>Q4’27</t>
        </is>
      </c>
      <c r="P1020" s="43" t="n">
        <v>3</v>
      </c>
      <c r="Q1020" s="43" t="n">
        <v>11</v>
      </c>
      <c r="R1020" s="43" t="n">
        <v>2</v>
      </c>
      <c r="S1020" s="45" t="n">
        <v>3900.516271857022</v>
      </c>
      <c r="T1020">
        <f>(S1019+S1020+S1021)=U4</f>
        <v/>
      </c>
      <c r="X1020" s="84">
        <f>MAX(S1017-S1020,0)</f>
        <v/>
      </c>
      <c r="Y1020" s="83" t="n">
        <v>0</v>
      </c>
      <c r="AA1020" s="84" t="n">
        <v>3</v>
      </c>
      <c r="AB1020" s="84" t="inlineStr">
        <is>
          <t>E</t>
        </is>
      </c>
      <c r="AC1020" s="84" t="inlineStr">
        <is>
          <t>E+</t>
        </is>
      </c>
      <c r="AD1020" s="84" t="n">
        <v>17</v>
      </c>
      <c r="AE1020" s="84" t="n">
        <v>15</v>
      </c>
      <c r="AF1020" s="84" t="n">
        <v>0.76</v>
      </c>
      <c r="AG1020" s="84" t="n">
        <v>0.84</v>
      </c>
      <c r="AH1020" s="84" t="n">
        <v>0</v>
      </c>
      <c r="AI1020" s="84" t="n">
        <v>0</v>
      </c>
      <c r="AJ1020" s="84">
        <f>SUMIFS(AH$8:AH$1039,$O$8:$O$1039,O1020,$AB$8:$AB$1039,AB1020,$R$8:$R$1039,R1020,$AA$8:$AA$1039,"&lt;="&amp;AA1020)</f>
        <v/>
      </c>
      <c r="AK1020" s="84">
        <f>D96</f>
        <v/>
      </c>
      <c r="AL1020" s="84">
        <f>D102</f>
        <v/>
      </c>
      <c r="AM1020" s="84">
        <f>MAX(0,AJ1020-AK1020)</f>
        <v/>
      </c>
      <c r="AN1020" s="84">
        <f>IF(AM1020=0,AH1020,IF(AM1020&gt;=AH1020,0,AH1020-AM1020))</f>
        <v/>
      </c>
      <c r="AO1020" s="84">
        <f>IF(AM1020&gt;=AH1020,AI1020,AI1020*AM1020/AH1020)</f>
        <v/>
      </c>
      <c r="AP1020">
        <f t="array" ref="AP1020">INDEX($AU$8:$BB$25,6*(R1020-1)+MATCH(AB1020,$AS$8:$AS$13,0),MATCH(O1020,$AU$7:$BB$7,0))</f>
        <v/>
      </c>
    </row>
    <row r="1021" ht="14.25" customHeight="1">
      <c r="O1021" s="43" t="inlineStr">
        <is>
          <t>Q4’27</t>
        </is>
      </c>
      <c r="P1021" s="43" t="n">
        <v>3</v>
      </c>
      <c r="Q1021" s="43" t="n">
        <v>11</v>
      </c>
      <c r="R1021" s="43" t="n">
        <v>3</v>
      </c>
      <c r="S1021" s="45" t="n">
        <v>1311.487282566682</v>
      </c>
      <c r="T1021">
        <f>(S1019+S1020+S1021)=U4</f>
        <v/>
      </c>
      <c r="X1021" s="84">
        <f>MAX(S1018-S1021,0)</f>
        <v/>
      </c>
      <c r="Y1021" s="83" t="n">
        <v>0</v>
      </c>
      <c r="AA1021" s="84" t="n">
        <v>3</v>
      </c>
      <c r="AB1021" s="84" t="inlineStr">
        <is>
          <t>E</t>
        </is>
      </c>
      <c r="AC1021" s="84" t="inlineStr">
        <is>
          <t>E+</t>
        </is>
      </c>
      <c r="AD1021" s="84" t="n">
        <v>17</v>
      </c>
      <c r="AE1021" s="84" t="n">
        <v>15</v>
      </c>
      <c r="AF1021" s="84" t="n">
        <v>0.76</v>
      </c>
      <c r="AG1021" s="84" t="n">
        <v>0.84</v>
      </c>
      <c r="AH1021" s="84" t="n">
        <v>0</v>
      </c>
      <c r="AI1021" s="84" t="n">
        <v>0</v>
      </c>
      <c r="AJ1021" s="84">
        <f>SUMIFS(AH$8:AH$1039,$O$8:$O$1039,O1021,$AB$8:$AB$1039,AB1021,$R$8:$R$1039,R1021,$AA$8:$AA$1039,"&lt;="&amp;AA1021)</f>
        <v/>
      </c>
      <c r="AK1021" s="84">
        <f>E96</f>
        <v/>
      </c>
      <c r="AL1021" s="84">
        <f>E102</f>
        <v/>
      </c>
      <c r="AM1021" s="84">
        <f>MAX(0,AJ1021-AK1021)</f>
        <v/>
      </c>
      <c r="AN1021" s="84">
        <f>IF(AM1021=0,AH1021,IF(AM1021&gt;=AH1021,0,AH1021-AM1021))</f>
        <v/>
      </c>
      <c r="AO1021" s="84">
        <f>IF(AM1021&gt;=AH1021,AI1021,AI1021*AM1021/AH1021)</f>
        <v/>
      </c>
      <c r="AP1021">
        <f t="array" ref="AP1021">INDEX($AU$8:$BB$25,6*(R1021-1)+MATCH(AB1021,$AS$8:$AS$13,0),MATCH(O1021,$AU$7:$BB$7,0))</f>
        <v/>
      </c>
    </row>
    <row r="1022" ht="14.25" customHeight="1">
      <c r="O1022" s="43" t="inlineStr">
        <is>
          <t>Q4’27</t>
        </is>
      </c>
      <c r="P1022" s="43" t="n">
        <v>3</v>
      </c>
      <c r="Q1022" s="43" t="n">
        <v>12</v>
      </c>
      <c r="R1022" s="43" t="n">
        <v>1</v>
      </c>
      <c r="S1022" s="45" t="n">
        <v>4707.996445576296</v>
      </c>
      <c r="T1022">
        <f>(S1022+S1023+S1024)=U4</f>
        <v/>
      </c>
      <c r="X1022" s="84">
        <f>MAX(S1019-S1022,0)</f>
        <v/>
      </c>
      <c r="Y1022" s="83" t="n">
        <v>0</v>
      </c>
      <c r="AA1022" s="84" t="n">
        <v>10</v>
      </c>
      <c r="AB1022" s="84" t="inlineStr">
        <is>
          <t>E</t>
        </is>
      </c>
      <c r="AC1022" s="84" t="inlineStr">
        <is>
          <t>E+</t>
        </is>
      </c>
      <c r="AD1022" s="84" t="n">
        <v>18</v>
      </c>
      <c r="AE1022" s="84" t="n">
        <v>13</v>
      </c>
      <c r="AF1022" s="84" t="n">
        <v>0.76</v>
      </c>
      <c r="AG1022" s="84" t="n">
        <v>0.84</v>
      </c>
      <c r="AH1022" s="84" t="n">
        <v>0</v>
      </c>
      <c r="AI1022" s="84" t="n">
        <v>0</v>
      </c>
      <c r="AJ1022" s="84">
        <f>SUMIFS(AH$8:AH$1039,$O$8:$O$1039,O1022,$AB$8:$AB$1039,AB1022,$R$8:$R$1039,R1022,$AA$8:$AA$1039,"&lt;="&amp;AA1022)</f>
        <v/>
      </c>
      <c r="AK1022" s="84">
        <f>C96</f>
        <v/>
      </c>
      <c r="AL1022" s="84">
        <f>C102</f>
        <v/>
      </c>
      <c r="AM1022" s="84">
        <f>MAX(0,AJ1022-AK1022)</f>
        <v/>
      </c>
      <c r="AN1022" s="84">
        <f>IF(AM1022=0,AH1022,IF(AM1022&gt;=AH1022,0,AH1022-AM1022))</f>
        <v/>
      </c>
      <c r="AO1022" s="84">
        <f>IF(AM1022&gt;=AH1022,AI1022,AI1022*AM1022/AH1022)</f>
        <v/>
      </c>
      <c r="AP1022">
        <f t="array" ref="AP1022">INDEX($AU$8:$BB$25,6*(R1022-1)+MATCH(AB1022,$AS$8:$AS$13,0),MATCH(O1022,$AU$7:$BB$7,0))</f>
        <v/>
      </c>
    </row>
    <row r="1023" ht="14.25" customHeight="1">
      <c r="O1023" s="43" t="inlineStr">
        <is>
          <t>Q4’27</t>
        </is>
      </c>
      <c r="P1023" s="43" t="n">
        <v>3</v>
      </c>
      <c r="Q1023" s="43" t="n">
        <v>12</v>
      </c>
      <c r="R1023" s="43" t="n">
        <v>2</v>
      </c>
      <c r="S1023" s="45" t="n">
        <v>3900.516271857022</v>
      </c>
      <c r="T1023">
        <f>(S1022+S1023+S1024)=U4</f>
        <v/>
      </c>
      <c r="X1023" s="84">
        <f>MAX(S1020-S1023,0)</f>
        <v/>
      </c>
      <c r="Y1023" s="83" t="n">
        <v>0</v>
      </c>
      <c r="AA1023" s="84" t="n">
        <v>10</v>
      </c>
      <c r="AB1023" s="84" t="inlineStr">
        <is>
          <t>E</t>
        </is>
      </c>
      <c r="AC1023" s="84" t="inlineStr">
        <is>
          <t>E+</t>
        </is>
      </c>
      <c r="AD1023" s="84" t="n">
        <v>18</v>
      </c>
      <c r="AE1023" s="84" t="n">
        <v>13</v>
      </c>
      <c r="AF1023" s="84" t="n">
        <v>0.76</v>
      </c>
      <c r="AG1023" s="84" t="n">
        <v>0.84</v>
      </c>
      <c r="AH1023" s="84" t="n">
        <v>0</v>
      </c>
      <c r="AI1023" s="84" t="n">
        <v>0</v>
      </c>
      <c r="AJ1023" s="84">
        <f>SUMIFS(AH$8:AH$1039,$O$8:$O$1039,O1023,$AB$8:$AB$1039,AB1023,$R$8:$R$1039,R1023,$AA$8:$AA$1039,"&lt;="&amp;AA1023)</f>
        <v/>
      </c>
      <c r="AK1023" s="84">
        <f>D96</f>
        <v/>
      </c>
      <c r="AL1023" s="84">
        <f>D102</f>
        <v/>
      </c>
      <c r="AM1023" s="84">
        <f>MAX(0,AJ1023-AK1023)</f>
        <v/>
      </c>
      <c r="AN1023" s="84">
        <f>IF(AM1023=0,AH1023,IF(AM1023&gt;=AH1023,0,AH1023-AM1023))</f>
        <v/>
      </c>
      <c r="AO1023" s="84">
        <f>IF(AM1023&gt;=AH1023,AI1023,AI1023*AM1023/AH1023)</f>
        <v/>
      </c>
      <c r="AP1023">
        <f t="array" ref="AP1023">INDEX($AU$8:$BB$25,6*(R1023-1)+MATCH(AB1023,$AS$8:$AS$13,0),MATCH(O1023,$AU$7:$BB$7,0))</f>
        <v/>
      </c>
    </row>
    <row r="1024" ht="14.25" customHeight="1">
      <c r="O1024" s="43" t="inlineStr">
        <is>
          <t>Q4’27</t>
        </is>
      </c>
      <c r="P1024" s="43" t="n">
        <v>3</v>
      </c>
      <c r="Q1024" s="43" t="n">
        <v>12</v>
      </c>
      <c r="R1024" s="43" t="n">
        <v>3</v>
      </c>
      <c r="S1024" s="45" t="n">
        <v>1311.487282566682</v>
      </c>
      <c r="T1024">
        <f>(S1022+S1023+S1024)=U4</f>
        <v/>
      </c>
      <c r="X1024" s="84">
        <f>MAX(S1021-S1024,0)</f>
        <v/>
      </c>
      <c r="Y1024" s="83" t="n">
        <v>0</v>
      </c>
      <c r="AA1024" s="84" t="n">
        <v>10</v>
      </c>
      <c r="AB1024" s="84" t="inlineStr">
        <is>
          <t>E</t>
        </is>
      </c>
      <c r="AC1024" s="84" t="inlineStr">
        <is>
          <t>E+</t>
        </is>
      </c>
      <c r="AD1024" s="84" t="n">
        <v>18</v>
      </c>
      <c r="AE1024" s="84" t="n">
        <v>13</v>
      </c>
      <c r="AF1024" s="84" t="n">
        <v>0.76</v>
      </c>
      <c r="AG1024" s="84" t="n">
        <v>0.84</v>
      </c>
      <c r="AH1024" s="84" t="n">
        <v>0</v>
      </c>
      <c r="AI1024" s="84" t="n">
        <v>0</v>
      </c>
      <c r="AJ1024" s="84">
        <f>SUMIFS(AH$8:AH$1039,$O$8:$O$1039,O1024,$AB$8:$AB$1039,AB1024,$R$8:$R$1039,R1024,$AA$8:$AA$1039,"&lt;="&amp;AA1024)</f>
        <v/>
      </c>
      <c r="AK1024" s="84">
        <f>E96</f>
        <v/>
      </c>
      <c r="AL1024" s="84">
        <f>E102</f>
        <v/>
      </c>
      <c r="AM1024" s="84">
        <f>MAX(0,AJ1024-AK1024)</f>
        <v/>
      </c>
      <c r="AN1024" s="84">
        <f>IF(AM1024=0,AH1024,IF(AM1024&gt;=AH1024,0,AH1024-AM1024))</f>
        <v/>
      </c>
      <c r="AO1024" s="84">
        <f>IF(AM1024&gt;=AH1024,AI1024,AI1024*AM1024/AH1024)</f>
        <v/>
      </c>
      <c r="AP1024">
        <f t="array" ref="AP1024">INDEX($AU$8:$BB$25,6*(R1024-1)+MATCH(AB1024,$AS$8:$AS$13,0),MATCH(O1024,$AU$7:$BB$7,0))</f>
        <v/>
      </c>
    </row>
    <row r="1025" ht="14.25" customHeight="1">
      <c r="O1025" s="43" t="inlineStr">
        <is>
          <t>Q4’27</t>
        </is>
      </c>
      <c r="P1025" s="43" t="n">
        <v>3</v>
      </c>
      <c r="Q1025" s="43" t="n">
        <v>13</v>
      </c>
      <c r="R1025" s="43" t="n">
        <v>1</v>
      </c>
      <c r="S1025" s="45" t="n">
        <v>4707.996445576296</v>
      </c>
      <c r="T1025">
        <f>(S1025+S1026+S1027)=U4</f>
        <v/>
      </c>
      <c r="X1025" s="84">
        <f>MAX(S1022-S1025,0)</f>
        <v/>
      </c>
      <c r="Y1025" s="83" t="n">
        <v>0</v>
      </c>
      <c r="AA1025" s="84" t="n">
        <v>2</v>
      </c>
      <c r="AB1025" s="84" t="inlineStr">
        <is>
          <t>F</t>
        </is>
      </c>
      <c r="AC1025" s="84" t="inlineStr">
        <is>
          <t>F+</t>
        </is>
      </c>
      <c r="AD1025" s="84" t="n">
        <v>20</v>
      </c>
      <c r="AE1025" s="84" t="n">
        <v>18</v>
      </c>
      <c r="AF1025" s="84" t="n">
        <v>0.8</v>
      </c>
      <c r="AG1025" s="84" t="n">
        <v>0.9</v>
      </c>
      <c r="AH1025" s="84" t="n">
        <v>0</v>
      </c>
      <c r="AI1025" s="84" t="n">
        <v>0</v>
      </c>
      <c r="AJ1025" s="84">
        <f>SUMIFS(AH$8:AH$1039,$O$8:$O$1039,O1025,$AB$8:$AB$1039,AB1025,$R$8:$R$1039,R1025,$AA$8:$AA$1039,"&lt;="&amp;AA1025)</f>
        <v/>
      </c>
      <c r="AK1025" s="84">
        <f>C97</f>
        <v/>
      </c>
      <c r="AL1025" s="84">
        <f>C103</f>
        <v/>
      </c>
      <c r="AM1025" s="84">
        <f>MAX(0,AJ1025-AK1025)</f>
        <v/>
      </c>
      <c r="AN1025" s="84">
        <f>IF(AM1025=0,AH1025,IF(AM1025&gt;=AH1025,0,AH1025-AM1025))</f>
        <v/>
      </c>
      <c r="AO1025" s="84">
        <f>IF(AM1025&gt;=AH1025,AI1025,AI1025*AM1025/AH1025)</f>
        <v/>
      </c>
      <c r="AP1025">
        <f t="array" ref="AP1025">INDEX($AU$8:$BB$25,6*(R1025-1)+MATCH(AB1025,$AS$8:$AS$13,0),MATCH(O1025,$AU$7:$BB$7,0))</f>
        <v/>
      </c>
    </row>
    <row r="1026" ht="14.25" customHeight="1">
      <c r="O1026" s="43" t="inlineStr">
        <is>
          <t>Q4’27</t>
        </is>
      </c>
      <c r="P1026" s="43" t="n">
        <v>3</v>
      </c>
      <c r="Q1026" s="43" t="n">
        <v>13</v>
      </c>
      <c r="R1026" s="43" t="n">
        <v>2</v>
      </c>
      <c r="S1026" s="45" t="n">
        <v>3900.516271857022</v>
      </c>
      <c r="T1026">
        <f>(S1025+S1026+S1027)=U4</f>
        <v/>
      </c>
      <c r="X1026" s="84">
        <f>MAX(S1023-S1026,0)</f>
        <v/>
      </c>
      <c r="Y1026" s="83" t="n">
        <v>0</v>
      </c>
      <c r="AA1026" s="84" t="n">
        <v>2</v>
      </c>
      <c r="AB1026" s="84" t="inlineStr">
        <is>
          <t>F</t>
        </is>
      </c>
      <c r="AC1026" s="84" t="inlineStr">
        <is>
          <t>F+</t>
        </is>
      </c>
      <c r="AD1026" s="84" t="n">
        <v>20</v>
      </c>
      <c r="AE1026" s="84" t="n">
        <v>18</v>
      </c>
      <c r="AF1026" s="84" t="n">
        <v>0.8</v>
      </c>
      <c r="AG1026" s="84" t="n">
        <v>0.9</v>
      </c>
      <c r="AH1026" s="84" t="n">
        <v>0</v>
      </c>
      <c r="AI1026" s="84" t="n">
        <v>0</v>
      </c>
      <c r="AJ1026" s="84">
        <f>SUMIFS(AH$8:AH$1039,$O$8:$O$1039,O1026,$AB$8:$AB$1039,AB1026,$R$8:$R$1039,R1026,$AA$8:$AA$1039,"&lt;="&amp;AA1026)</f>
        <v/>
      </c>
      <c r="AK1026" s="84">
        <f>D97</f>
        <v/>
      </c>
      <c r="AL1026" s="84">
        <f>D103</f>
        <v/>
      </c>
      <c r="AM1026" s="84">
        <f>MAX(0,AJ1026-AK1026)</f>
        <v/>
      </c>
      <c r="AN1026" s="84">
        <f>IF(AM1026=0,AH1026,IF(AM1026&gt;=AH1026,0,AH1026-AM1026))</f>
        <v/>
      </c>
      <c r="AO1026" s="84">
        <f>IF(AM1026&gt;=AH1026,AI1026,AI1026*AM1026/AH1026)</f>
        <v/>
      </c>
      <c r="AP1026">
        <f t="array" ref="AP1026">INDEX($AU$8:$BB$25,6*(R1026-1)+MATCH(AB1026,$AS$8:$AS$13,0),MATCH(O1026,$AU$7:$BB$7,0))</f>
        <v/>
      </c>
    </row>
    <row r="1027" ht="14.25" customHeight="1">
      <c r="O1027" s="43" t="inlineStr">
        <is>
          <t>Q4’27</t>
        </is>
      </c>
      <c r="P1027" s="43" t="n">
        <v>3</v>
      </c>
      <c r="Q1027" s="43" t="n">
        <v>13</v>
      </c>
      <c r="R1027" s="43" t="n">
        <v>3</v>
      </c>
      <c r="S1027" s="45" t="n">
        <v>1311.487282566682</v>
      </c>
      <c r="T1027">
        <f>(S1025+S1026+S1027)=U4</f>
        <v/>
      </c>
      <c r="X1027" s="84">
        <f>MAX(S1024-S1027,0)</f>
        <v/>
      </c>
      <c r="Y1027" s="83" t="n">
        <v>0</v>
      </c>
      <c r="AA1027" s="84" t="n">
        <v>2</v>
      </c>
      <c r="AB1027" s="84" t="inlineStr">
        <is>
          <t>F</t>
        </is>
      </c>
      <c r="AC1027" s="84" t="inlineStr">
        <is>
          <t>F+</t>
        </is>
      </c>
      <c r="AD1027" s="84" t="n">
        <v>20</v>
      </c>
      <c r="AE1027" s="84" t="n">
        <v>18</v>
      </c>
      <c r="AF1027" s="84" t="n">
        <v>0.8</v>
      </c>
      <c r="AG1027" s="84" t="n">
        <v>0.9</v>
      </c>
      <c r="AH1027" s="84" t="n">
        <v>0</v>
      </c>
      <c r="AI1027" s="84" t="n">
        <v>0</v>
      </c>
      <c r="AJ1027" s="84">
        <f>SUMIFS(AH$8:AH$1039,$O$8:$O$1039,O1027,$AB$8:$AB$1039,AB1027,$R$8:$R$1039,R1027,$AA$8:$AA$1039,"&lt;="&amp;AA1027)</f>
        <v/>
      </c>
      <c r="AK1027" s="84">
        <f>E97</f>
        <v/>
      </c>
      <c r="AL1027" s="84">
        <f>E103</f>
        <v/>
      </c>
      <c r="AM1027" s="84">
        <f>MAX(0,AJ1027-AK1027)</f>
        <v/>
      </c>
      <c r="AN1027" s="84">
        <f>IF(AM1027=0,AH1027,IF(AM1027&gt;=AH1027,0,AH1027-AM1027))</f>
        <v/>
      </c>
      <c r="AO1027" s="84">
        <f>IF(AM1027&gt;=AH1027,AI1027,AI1027*AM1027/AH1027)</f>
        <v/>
      </c>
      <c r="AP1027">
        <f t="array" ref="AP1027">INDEX($AU$8:$BB$25,6*(R1027-1)+MATCH(AB1027,$AS$8:$AS$13,0),MATCH(O1027,$AU$7:$BB$7,0))</f>
        <v/>
      </c>
    </row>
    <row r="1028" ht="14.25" customHeight="1">
      <c r="O1028" s="43" t="inlineStr">
        <is>
          <t>Q4’27</t>
        </is>
      </c>
      <c r="P1028" s="43" t="n">
        <v>3</v>
      </c>
      <c r="Q1028" s="43" t="n">
        <v>14</v>
      </c>
      <c r="R1028" s="43" t="n">
        <v>1</v>
      </c>
      <c r="S1028" s="45" t="n">
        <v>4707.996445576296</v>
      </c>
      <c r="T1028">
        <f>(S1028+S1029+S1030)=U4</f>
        <v/>
      </c>
      <c r="X1028" s="84">
        <f>MAX(S1025-S1028,0)</f>
        <v/>
      </c>
      <c r="Y1028" s="83" t="n">
        <v>0</v>
      </c>
      <c r="AA1028" s="84" t="n">
        <v>2</v>
      </c>
      <c r="AB1028" s="84" t="inlineStr">
        <is>
          <t>C</t>
        </is>
      </c>
      <c r="AC1028" s="84" t="inlineStr">
        <is>
          <t>C+</t>
        </is>
      </c>
      <c r="AD1028" s="84" t="n">
        <v>12</v>
      </c>
      <c r="AE1028" s="84" t="n">
        <v>11</v>
      </c>
      <c r="AF1028" s="84" t="n">
        <v>0.8</v>
      </c>
      <c r="AG1028" s="84" t="n">
        <v>0.86</v>
      </c>
      <c r="AH1028" s="84" t="n">
        <v>0</v>
      </c>
      <c r="AI1028" s="84" t="n">
        <v>0</v>
      </c>
      <c r="AJ1028" s="84">
        <f>SUMIFS(AH$8:AH$1039,$O$8:$O$1039,O1028,$AB$8:$AB$1039,AB1028,$R$8:$R$1039,R1028,$AA$8:$AA$1039,"&lt;="&amp;AA1028)</f>
        <v/>
      </c>
      <c r="AK1028" s="84">
        <f>C94</f>
        <v/>
      </c>
      <c r="AL1028" s="84">
        <f>C100</f>
        <v/>
      </c>
      <c r="AM1028" s="84">
        <f>MAX(0,AJ1028-AK1028)</f>
        <v/>
      </c>
      <c r="AN1028" s="84">
        <f>IF(AM1028=0,AH1028,IF(AM1028&gt;=AH1028,0,AH1028-AM1028))</f>
        <v/>
      </c>
      <c r="AO1028" s="84">
        <f>IF(AM1028&gt;=AH1028,AI1028,AI1028*AM1028/AH1028)</f>
        <v/>
      </c>
      <c r="AP1028">
        <f t="array" ref="AP1028">INDEX($AU$8:$BB$25,6*(R1028-1)+MATCH(AB1028,$AS$8:$AS$13,0),MATCH(O1028,$AU$7:$BB$7,0))</f>
        <v/>
      </c>
    </row>
    <row r="1029" ht="14.25" customHeight="1">
      <c r="O1029" s="43" t="inlineStr">
        <is>
          <t>Q4’27</t>
        </is>
      </c>
      <c r="P1029" s="43" t="n">
        <v>3</v>
      </c>
      <c r="Q1029" s="43" t="n">
        <v>14</v>
      </c>
      <c r="R1029" s="43" t="n">
        <v>2</v>
      </c>
      <c r="S1029" s="45" t="n">
        <v>3900.516271857022</v>
      </c>
      <c r="T1029">
        <f>(S1028+S1029+S1030)=U4</f>
        <v/>
      </c>
      <c r="X1029" s="84">
        <f>MAX(S1026-S1029,0)</f>
        <v/>
      </c>
      <c r="Y1029" s="83" t="n">
        <v>0</v>
      </c>
      <c r="AA1029" s="84" t="n">
        <v>2</v>
      </c>
      <c r="AB1029" s="84" t="inlineStr">
        <is>
          <t>C</t>
        </is>
      </c>
      <c r="AC1029" s="84" t="inlineStr">
        <is>
          <t>C+</t>
        </is>
      </c>
      <c r="AD1029" s="84" t="n">
        <v>12</v>
      </c>
      <c r="AE1029" s="84" t="n">
        <v>11</v>
      </c>
      <c r="AF1029" s="84" t="n">
        <v>0.8</v>
      </c>
      <c r="AG1029" s="84" t="n">
        <v>0.86</v>
      </c>
      <c r="AH1029" s="84" t="n">
        <v>0</v>
      </c>
      <c r="AI1029" s="84" t="n">
        <v>0</v>
      </c>
      <c r="AJ1029" s="84">
        <f>SUMIFS(AH$8:AH$1039,$O$8:$O$1039,O1029,$AB$8:$AB$1039,AB1029,$R$8:$R$1039,R1029,$AA$8:$AA$1039,"&lt;="&amp;AA1029)</f>
        <v/>
      </c>
      <c r="AK1029" s="84">
        <f>D94</f>
        <v/>
      </c>
      <c r="AL1029" s="84">
        <f>D100</f>
        <v/>
      </c>
      <c r="AM1029" s="84">
        <f>MAX(0,AJ1029-AK1029)</f>
        <v/>
      </c>
      <c r="AN1029" s="84">
        <f>IF(AM1029=0,AH1029,IF(AM1029&gt;=AH1029,0,AH1029-AM1029))</f>
        <v/>
      </c>
      <c r="AO1029" s="84">
        <f>IF(AM1029&gt;=AH1029,AI1029,AI1029*AM1029/AH1029)</f>
        <v/>
      </c>
      <c r="AP1029">
        <f t="array" ref="AP1029">INDEX($AU$8:$BB$25,6*(R1029-1)+MATCH(AB1029,$AS$8:$AS$13,0),MATCH(O1029,$AU$7:$BB$7,0))</f>
        <v/>
      </c>
    </row>
    <row r="1030" ht="14.25" customHeight="1">
      <c r="O1030" s="43" t="inlineStr">
        <is>
          <t>Q4’27</t>
        </is>
      </c>
      <c r="P1030" s="43" t="n">
        <v>3</v>
      </c>
      <c r="Q1030" s="43" t="n">
        <v>14</v>
      </c>
      <c r="R1030" s="43" t="n">
        <v>3</v>
      </c>
      <c r="S1030" s="45" t="n">
        <v>1311.487282566682</v>
      </c>
      <c r="T1030">
        <f>(S1028+S1029+S1030)=U4</f>
        <v/>
      </c>
      <c r="X1030" s="84">
        <f>MAX(S1027-S1030,0)</f>
        <v/>
      </c>
      <c r="Y1030" s="83" t="n">
        <v>0</v>
      </c>
      <c r="AA1030" s="84" t="n">
        <v>2</v>
      </c>
      <c r="AB1030" s="84" t="inlineStr">
        <is>
          <t>C</t>
        </is>
      </c>
      <c r="AC1030" s="84" t="inlineStr">
        <is>
          <t>C+</t>
        </is>
      </c>
      <c r="AD1030" s="84" t="n">
        <v>12</v>
      </c>
      <c r="AE1030" s="84" t="n">
        <v>11</v>
      </c>
      <c r="AF1030" s="84" t="n">
        <v>0.8</v>
      </c>
      <c r="AG1030" s="84" t="n">
        <v>0.86</v>
      </c>
      <c r="AH1030" s="84" t="n">
        <v>0</v>
      </c>
      <c r="AI1030" s="84" t="n">
        <v>0</v>
      </c>
      <c r="AJ1030" s="84">
        <f>SUMIFS(AH$8:AH$1039,$O$8:$O$1039,O1030,$AB$8:$AB$1039,AB1030,$R$8:$R$1039,R1030,$AA$8:$AA$1039,"&lt;="&amp;AA1030)</f>
        <v/>
      </c>
      <c r="AK1030" s="84">
        <f>E94</f>
        <v/>
      </c>
      <c r="AL1030" s="84">
        <f>E100</f>
        <v/>
      </c>
      <c r="AM1030" s="84">
        <f>MAX(0,AJ1030-AK1030)</f>
        <v/>
      </c>
      <c r="AN1030" s="84">
        <f>IF(AM1030=0,AH1030,IF(AM1030&gt;=AH1030,0,AH1030-AM1030))</f>
        <v/>
      </c>
      <c r="AO1030" s="84">
        <f>IF(AM1030&gt;=AH1030,AI1030,AI1030*AM1030/AH1030)</f>
        <v/>
      </c>
      <c r="AP1030">
        <f t="array" ref="AP1030">INDEX($AU$8:$BB$25,6*(R1030-1)+MATCH(AB1030,$AS$8:$AS$13,0),MATCH(O1030,$AU$7:$BB$7,0))</f>
        <v/>
      </c>
    </row>
    <row r="1031" ht="14.25" customHeight="1">
      <c r="O1031" s="43" t="inlineStr">
        <is>
          <t>Q4’27</t>
        </is>
      </c>
      <c r="P1031" s="43" t="n">
        <v>3</v>
      </c>
      <c r="Q1031" s="43" t="n">
        <v>15</v>
      </c>
      <c r="R1031" s="43" t="n">
        <v>1</v>
      </c>
      <c r="S1031" s="45" t="n">
        <v>4707.996445576296</v>
      </c>
      <c r="T1031">
        <f>(S1031+S1032+S1033)=U4</f>
        <v/>
      </c>
      <c r="X1031" s="84">
        <f>MAX(S1028-S1031,0)</f>
        <v/>
      </c>
      <c r="Y1031" s="83" t="n">
        <v>0</v>
      </c>
      <c r="AA1031" s="84" t="n">
        <v>2</v>
      </c>
      <c r="AB1031" s="84" t="inlineStr">
        <is>
          <t>D</t>
        </is>
      </c>
      <c r="AC1031" s="84" t="inlineStr">
        <is>
          <t>D+</t>
        </is>
      </c>
      <c r="AD1031" s="84" t="n">
        <v>11</v>
      </c>
      <c r="AE1031" s="84" t="n">
        <v>10</v>
      </c>
      <c r="AF1031" s="84" t="n">
        <v>0.8</v>
      </c>
      <c r="AG1031" s="84" t="n">
        <v>0.88</v>
      </c>
      <c r="AH1031" s="84" t="n">
        <v>0</v>
      </c>
      <c r="AI1031" s="84" t="n">
        <v>0</v>
      </c>
      <c r="AJ1031" s="84">
        <f>SUMIFS(AH$8:AH$1039,$O$8:$O$1039,O1031,$AB$8:$AB$1039,AB1031,$R$8:$R$1039,R1031,$AA$8:$AA$1039,"&lt;="&amp;AA1031)</f>
        <v/>
      </c>
      <c r="AK1031" s="84">
        <f>C95</f>
        <v/>
      </c>
      <c r="AL1031" s="84">
        <f>C101</f>
        <v/>
      </c>
      <c r="AM1031" s="84">
        <f>MAX(0,AJ1031-AK1031)</f>
        <v/>
      </c>
      <c r="AN1031" s="84">
        <f>IF(AM1031=0,AH1031,IF(AM1031&gt;=AH1031,0,AH1031-AM1031))</f>
        <v/>
      </c>
      <c r="AO1031" s="84">
        <f>IF(AM1031&gt;=AH1031,AI1031,AI1031*AM1031/AH1031)</f>
        <v/>
      </c>
      <c r="AP1031">
        <f t="array" ref="AP1031">INDEX($AU$8:$BB$25,6*(R1031-1)+MATCH(AB1031,$AS$8:$AS$13,0),MATCH(O1031,$AU$7:$BB$7,0))</f>
        <v/>
      </c>
    </row>
    <row r="1032" ht="14.25" customHeight="1">
      <c r="O1032" s="43" t="inlineStr">
        <is>
          <t>Q4’27</t>
        </is>
      </c>
      <c r="P1032" s="43" t="n">
        <v>3</v>
      </c>
      <c r="Q1032" s="43" t="n">
        <v>15</v>
      </c>
      <c r="R1032" s="43" t="n">
        <v>2</v>
      </c>
      <c r="S1032" s="45" t="n">
        <v>3900.516271857022</v>
      </c>
      <c r="T1032">
        <f>(S1031+S1032+S1033)=U4</f>
        <v/>
      </c>
      <c r="X1032" s="84">
        <f>MAX(S1029-S1032,0)</f>
        <v/>
      </c>
      <c r="Y1032" s="83" t="n">
        <v>0</v>
      </c>
      <c r="AA1032" s="84" t="n">
        <v>2</v>
      </c>
      <c r="AB1032" s="84" t="inlineStr">
        <is>
          <t>D</t>
        </is>
      </c>
      <c r="AC1032" s="84" t="inlineStr">
        <is>
          <t>D+</t>
        </is>
      </c>
      <c r="AD1032" s="84" t="n">
        <v>11</v>
      </c>
      <c r="AE1032" s="84" t="n">
        <v>10</v>
      </c>
      <c r="AF1032" s="84" t="n">
        <v>0.8</v>
      </c>
      <c r="AG1032" s="84" t="n">
        <v>0.88</v>
      </c>
      <c r="AH1032" s="84" t="n">
        <v>0</v>
      </c>
      <c r="AI1032" s="84" t="n">
        <v>0</v>
      </c>
      <c r="AJ1032" s="84">
        <f>SUMIFS(AH$8:AH$1039,$O$8:$O$1039,O1032,$AB$8:$AB$1039,AB1032,$R$8:$R$1039,R1032,$AA$8:$AA$1039,"&lt;="&amp;AA1032)</f>
        <v/>
      </c>
      <c r="AK1032" s="84">
        <f>D95</f>
        <v/>
      </c>
      <c r="AL1032" s="84">
        <f>D101</f>
        <v/>
      </c>
      <c r="AM1032" s="84">
        <f>MAX(0,AJ1032-AK1032)</f>
        <v/>
      </c>
      <c r="AN1032" s="84">
        <f>IF(AM1032=0,AH1032,IF(AM1032&gt;=AH1032,0,AH1032-AM1032))</f>
        <v/>
      </c>
      <c r="AO1032" s="84">
        <f>IF(AM1032&gt;=AH1032,AI1032,AI1032*AM1032/AH1032)</f>
        <v/>
      </c>
      <c r="AP1032">
        <f t="array" ref="AP1032">INDEX($AU$8:$BB$25,6*(R1032-1)+MATCH(AB1032,$AS$8:$AS$13,0),MATCH(O1032,$AU$7:$BB$7,0))</f>
        <v/>
      </c>
    </row>
    <row r="1033" ht="14.25" customHeight="1">
      <c r="O1033" s="43" t="inlineStr">
        <is>
          <t>Q4’27</t>
        </is>
      </c>
      <c r="P1033" s="43" t="n">
        <v>3</v>
      </c>
      <c r="Q1033" s="43" t="n">
        <v>15</v>
      </c>
      <c r="R1033" s="43" t="n">
        <v>3</v>
      </c>
      <c r="S1033" s="45" t="n">
        <v>1311.487282566682</v>
      </c>
      <c r="T1033">
        <f>(S1031+S1032+S1033)=U4</f>
        <v/>
      </c>
      <c r="X1033" s="84">
        <f>MAX(S1030-S1033,0)</f>
        <v/>
      </c>
      <c r="Y1033" s="83" t="n">
        <v>0</v>
      </c>
      <c r="AA1033" s="84" t="n">
        <v>2</v>
      </c>
      <c r="AB1033" s="84" t="inlineStr">
        <is>
          <t>D</t>
        </is>
      </c>
      <c r="AC1033" s="84" t="inlineStr">
        <is>
          <t>D+</t>
        </is>
      </c>
      <c r="AD1033" s="84" t="n">
        <v>11</v>
      </c>
      <c r="AE1033" s="84" t="n">
        <v>10</v>
      </c>
      <c r="AF1033" s="84" t="n">
        <v>0.8</v>
      </c>
      <c r="AG1033" s="84" t="n">
        <v>0.88</v>
      </c>
      <c r="AH1033" s="84" t="n">
        <v>0</v>
      </c>
      <c r="AI1033" s="84" t="n">
        <v>0</v>
      </c>
      <c r="AJ1033" s="84">
        <f>SUMIFS(AH$8:AH$1039,$O$8:$O$1039,O1033,$AB$8:$AB$1039,AB1033,$R$8:$R$1039,R1033,$AA$8:$AA$1039,"&lt;="&amp;AA1033)</f>
        <v/>
      </c>
      <c r="AK1033" s="84">
        <f>E95</f>
        <v/>
      </c>
      <c r="AL1033" s="84">
        <f>E101</f>
        <v/>
      </c>
      <c r="AM1033" s="84">
        <f>MAX(0,AJ1033-AK1033)</f>
        <v/>
      </c>
      <c r="AN1033" s="84">
        <f>IF(AM1033=0,AH1033,IF(AM1033&gt;=AH1033,0,AH1033-AM1033))</f>
        <v/>
      </c>
      <c r="AO1033" s="84">
        <f>IF(AM1033&gt;=AH1033,AI1033,AI1033*AM1033/AH1033)</f>
        <v/>
      </c>
      <c r="AP1033">
        <f t="array" ref="AP1033">INDEX($AU$8:$BB$25,6*(R1033-1)+MATCH(AB1033,$AS$8:$AS$13,0),MATCH(O1033,$AU$7:$BB$7,0))</f>
        <v/>
      </c>
    </row>
    <row r="1034" ht="14.25" customHeight="1">
      <c r="O1034" s="43" t="inlineStr">
        <is>
          <t>Q4’27</t>
        </is>
      </c>
      <c r="P1034" s="43" t="n">
        <v>3</v>
      </c>
      <c r="Q1034" s="43" t="n">
        <v>16</v>
      </c>
      <c r="R1034" s="43" t="n">
        <v>1</v>
      </c>
      <c r="S1034" s="45" t="n">
        <v>4707.996445576296</v>
      </c>
      <c r="T1034">
        <f>(S1034+S1035+S1036)=U4</f>
        <v/>
      </c>
      <c r="X1034" s="84">
        <f>MAX(S1031-S1034,0)</f>
        <v/>
      </c>
      <c r="Y1034" s="83" t="n">
        <v>0</v>
      </c>
      <c r="AA1034" s="84" t="n">
        <v>4</v>
      </c>
      <c r="AB1034" s="84" t="inlineStr">
        <is>
          <t>C</t>
        </is>
      </c>
      <c r="AC1034" s="84" t="inlineStr">
        <is>
          <t>C+</t>
        </is>
      </c>
      <c r="AD1034" s="84" t="n">
        <v>25</v>
      </c>
      <c r="AE1034" s="84" t="n">
        <v>20</v>
      </c>
      <c r="AF1034" s="84" t="n">
        <v>0.8</v>
      </c>
      <c r="AG1034" s="84" t="n">
        <v>0.86</v>
      </c>
      <c r="AH1034" s="84" t="n">
        <v>0</v>
      </c>
      <c r="AI1034" s="84" t="n">
        <v>0</v>
      </c>
      <c r="AJ1034" s="84">
        <f>SUMIFS(AH$8:AH$1039,$O$8:$O$1039,O1034,$AB$8:$AB$1039,AB1034,$R$8:$R$1039,R1034,$AA$8:$AA$1039,"&lt;="&amp;AA1034)</f>
        <v/>
      </c>
      <c r="AK1034" s="84">
        <f>C94</f>
        <v/>
      </c>
      <c r="AL1034" s="84">
        <f>C100</f>
        <v/>
      </c>
      <c r="AM1034" s="84">
        <f>MAX(0,AJ1034-AK1034)</f>
        <v/>
      </c>
      <c r="AN1034" s="84">
        <f>IF(AM1034=0,AH1034,IF(AM1034&gt;=AH1034,0,AH1034-AM1034))</f>
        <v/>
      </c>
      <c r="AO1034" s="84">
        <f>IF(AM1034&gt;=AH1034,AI1034,AI1034*AM1034/AH1034)</f>
        <v/>
      </c>
      <c r="AP1034">
        <f t="array" ref="AP1034">INDEX($AU$8:$BB$25,6*(R1034-1)+MATCH(AB1034,$AS$8:$AS$13,0),MATCH(O1034,$AU$7:$BB$7,0))</f>
        <v/>
      </c>
    </row>
    <row r="1035" ht="14.25" customHeight="1">
      <c r="O1035" s="43" t="inlineStr">
        <is>
          <t>Q4’27</t>
        </is>
      </c>
      <c r="P1035" s="43" t="n">
        <v>3</v>
      </c>
      <c r="Q1035" s="43" t="n">
        <v>16</v>
      </c>
      <c r="R1035" s="43" t="n">
        <v>2</v>
      </c>
      <c r="S1035" s="45" t="n">
        <v>3900.516271857022</v>
      </c>
      <c r="T1035">
        <f>(S1034+S1035+S1036)=U4</f>
        <v/>
      </c>
      <c r="X1035" s="84">
        <f>MAX(S1032-S1035,0)</f>
        <v/>
      </c>
      <c r="Y1035" s="83" t="n">
        <v>0</v>
      </c>
      <c r="AA1035" s="84" t="n">
        <v>4</v>
      </c>
      <c r="AB1035" s="84" t="inlineStr">
        <is>
          <t>C</t>
        </is>
      </c>
      <c r="AC1035" s="84" t="inlineStr">
        <is>
          <t>C+</t>
        </is>
      </c>
      <c r="AD1035" s="84" t="n">
        <v>25</v>
      </c>
      <c r="AE1035" s="84" t="n">
        <v>20</v>
      </c>
      <c r="AF1035" s="84" t="n">
        <v>0.8</v>
      </c>
      <c r="AG1035" s="84" t="n">
        <v>0.86</v>
      </c>
      <c r="AH1035" s="84" t="n">
        <v>0</v>
      </c>
      <c r="AI1035" s="84" t="n">
        <v>0</v>
      </c>
      <c r="AJ1035" s="84">
        <f>SUMIFS(AH$8:AH$1039,$O$8:$O$1039,O1035,$AB$8:$AB$1039,AB1035,$R$8:$R$1039,R1035,$AA$8:$AA$1039,"&lt;="&amp;AA1035)</f>
        <v/>
      </c>
      <c r="AK1035" s="84">
        <f>D94</f>
        <v/>
      </c>
      <c r="AL1035" s="84">
        <f>D100</f>
        <v/>
      </c>
      <c r="AM1035" s="84">
        <f>MAX(0,AJ1035-AK1035)</f>
        <v/>
      </c>
      <c r="AN1035" s="84">
        <f>IF(AM1035=0,AH1035,IF(AM1035&gt;=AH1035,0,AH1035-AM1035))</f>
        <v/>
      </c>
      <c r="AO1035" s="84">
        <f>IF(AM1035&gt;=AH1035,AI1035,AI1035*AM1035/AH1035)</f>
        <v/>
      </c>
      <c r="AP1035">
        <f t="array" ref="AP1035">INDEX($AU$8:$BB$25,6*(R1035-1)+MATCH(AB1035,$AS$8:$AS$13,0),MATCH(O1035,$AU$7:$BB$7,0))</f>
        <v/>
      </c>
    </row>
    <row r="1036" ht="14.25" customHeight="1">
      <c r="O1036" s="43" t="inlineStr">
        <is>
          <t>Q4’27</t>
        </is>
      </c>
      <c r="P1036" s="43" t="n">
        <v>3</v>
      </c>
      <c r="Q1036" s="43" t="n">
        <v>16</v>
      </c>
      <c r="R1036" s="43" t="n">
        <v>3</v>
      </c>
      <c r="S1036" s="45" t="n">
        <v>1311.487282566682</v>
      </c>
      <c r="T1036">
        <f>(S1034+S1035+S1036)=U4</f>
        <v/>
      </c>
      <c r="X1036" s="84">
        <f>MAX(S1033-S1036,0)</f>
        <v/>
      </c>
      <c r="Y1036" s="83" t="n">
        <v>0</v>
      </c>
      <c r="AA1036" s="84" t="n">
        <v>4</v>
      </c>
      <c r="AB1036" s="84" t="inlineStr">
        <is>
          <t>C</t>
        </is>
      </c>
      <c r="AC1036" s="84" t="inlineStr">
        <is>
          <t>C+</t>
        </is>
      </c>
      <c r="AD1036" s="84" t="n">
        <v>25</v>
      </c>
      <c r="AE1036" s="84" t="n">
        <v>20</v>
      </c>
      <c r="AF1036" s="84" t="n">
        <v>0.8</v>
      </c>
      <c r="AG1036" s="84" t="n">
        <v>0.86</v>
      </c>
      <c r="AH1036" s="84" t="n">
        <v>0</v>
      </c>
      <c r="AI1036" s="84" t="n">
        <v>0</v>
      </c>
      <c r="AJ1036" s="84">
        <f>SUMIFS(AH$8:AH$1039,$O$8:$O$1039,O1036,$AB$8:$AB$1039,AB1036,$R$8:$R$1039,R1036,$AA$8:$AA$1039,"&lt;="&amp;AA1036)</f>
        <v/>
      </c>
      <c r="AK1036" s="84">
        <f>E94</f>
        <v/>
      </c>
      <c r="AL1036" s="84">
        <f>E100</f>
        <v/>
      </c>
      <c r="AM1036" s="84">
        <f>MAX(0,AJ1036-AK1036)</f>
        <v/>
      </c>
      <c r="AN1036" s="84">
        <f>IF(AM1036=0,AH1036,IF(AM1036&gt;=AH1036,0,AH1036-AM1036))</f>
        <v/>
      </c>
      <c r="AO1036" s="84">
        <f>IF(AM1036&gt;=AH1036,AI1036,AI1036*AM1036/AH1036)</f>
        <v/>
      </c>
      <c r="AP1036">
        <f t="array" ref="AP1036">INDEX($AU$8:$BB$25,6*(R1036-1)+MATCH(AB1036,$AS$8:$AS$13,0),MATCH(O1036,$AU$7:$BB$7,0))</f>
        <v/>
      </c>
    </row>
    <row r="1037" ht="14.25" customHeight="1">
      <c r="O1037" s="43" t="inlineStr">
        <is>
          <t>Q4’27</t>
        </is>
      </c>
      <c r="P1037" s="43" t="n">
        <v>3</v>
      </c>
      <c r="Q1037" s="43" t="n">
        <v>17</v>
      </c>
      <c r="R1037" s="43" t="n">
        <v>1</v>
      </c>
      <c r="S1037" s="45" t="n">
        <v>4707.996445576295</v>
      </c>
      <c r="T1037">
        <f>(S1037+S1038+S1039)=U4</f>
        <v/>
      </c>
      <c r="X1037" s="84">
        <f>MAX(S1034-S1037,0)</f>
        <v/>
      </c>
      <c r="Y1037" s="83" t="n">
        <v>0</v>
      </c>
      <c r="AA1037" s="84" t="n">
        <v>1</v>
      </c>
      <c r="AB1037" s="84" t="inlineStr">
        <is>
          <t>F</t>
        </is>
      </c>
      <c r="AC1037" s="84" t="inlineStr">
        <is>
          <t>F+</t>
        </is>
      </c>
      <c r="AD1037" s="84" t="n">
        <v>14</v>
      </c>
      <c r="AE1037" s="84" t="n">
        <v>13</v>
      </c>
      <c r="AF1037" s="84" t="n">
        <v>0.8</v>
      </c>
      <c r="AG1037" s="84" t="n">
        <v>0.9</v>
      </c>
      <c r="AH1037" s="84" t="n">
        <v>0</v>
      </c>
      <c r="AI1037" s="84" t="n">
        <v>0</v>
      </c>
      <c r="AJ1037" s="84">
        <f>SUMIFS(AH$8:AH$1039,$O$8:$O$1039,O1037,$AB$8:$AB$1039,AB1037,$R$8:$R$1039,R1037,$AA$8:$AA$1039,"&lt;="&amp;AA1037)</f>
        <v/>
      </c>
      <c r="AK1037" s="84">
        <f>C97</f>
        <v/>
      </c>
      <c r="AL1037" s="84">
        <f>C103</f>
        <v/>
      </c>
      <c r="AM1037" s="84">
        <f>MAX(0,AJ1037-AK1037)</f>
        <v/>
      </c>
      <c r="AN1037" s="84">
        <f>IF(AM1037=0,AH1037,IF(AM1037&gt;=AH1037,0,AH1037-AM1037))</f>
        <v/>
      </c>
      <c r="AO1037" s="84">
        <f>IF(AM1037&gt;=AH1037,AI1037,AI1037*AM1037/AH1037)</f>
        <v/>
      </c>
      <c r="AP1037">
        <f t="array" ref="AP1037">INDEX($AU$8:$BB$25,6*(R1037-1)+MATCH(AB1037,$AS$8:$AS$13,0),MATCH(O1037,$AU$7:$BB$7,0))</f>
        <v/>
      </c>
    </row>
    <row r="1038" ht="14.25" customHeight="1">
      <c r="O1038" s="43" t="inlineStr">
        <is>
          <t>Q4’27</t>
        </is>
      </c>
      <c r="P1038" s="43" t="n">
        <v>3</v>
      </c>
      <c r="Q1038" s="43" t="n">
        <v>17</v>
      </c>
      <c r="R1038" s="43" t="n">
        <v>2</v>
      </c>
      <c r="S1038" s="45" t="n">
        <v>3900.516271857022</v>
      </c>
      <c r="T1038">
        <f>(S1037+S1038+S1039)=U4</f>
        <v/>
      </c>
      <c r="X1038" s="84">
        <f>MAX(S1035-S1038,0)</f>
        <v/>
      </c>
      <c r="Y1038" s="83" t="n">
        <v>0</v>
      </c>
      <c r="AA1038" s="84" t="n">
        <v>1</v>
      </c>
      <c r="AB1038" s="84" t="inlineStr">
        <is>
          <t>F</t>
        </is>
      </c>
      <c r="AC1038" s="84" t="inlineStr">
        <is>
          <t>F+</t>
        </is>
      </c>
      <c r="AD1038" s="84" t="n">
        <v>14</v>
      </c>
      <c r="AE1038" s="84" t="n">
        <v>13</v>
      </c>
      <c r="AF1038" s="84" t="n">
        <v>0.8</v>
      </c>
      <c r="AG1038" s="84" t="n">
        <v>0.9</v>
      </c>
      <c r="AH1038" s="84" t="n">
        <v>0</v>
      </c>
      <c r="AI1038" s="84" t="n">
        <v>0</v>
      </c>
      <c r="AJ1038" s="84">
        <f>SUMIFS(AH$8:AH$1039,$O$8:$O$1039,O1038,$AB$8:$AB$1039,AB1038,$R$8:$R$1039,R1038,$AA$8:$AA$1039,"&lt;="&amp;AA1038)</f>
        <v/>
      </c>
      <c r="AK1038" s="84">
        <f>D97</f>
        <v/>
      </c>
      <c r="AL1038" s="84">
        <f>D103</f>
        <v/>
      </c>
      <c r="AM1038" s="84">
        <f>MAX(0,AJ1038-AK1038)</f>
        <v/>
      </c>
      <c r="AN1038" s="84">
        <f>IF(AM1038=0,AH1038,IF(AM1038&gt;=AH1038,0,AH1038-AM1038))</f>
        <v/>
      </c>
      <c r="AO1038" s="84">
        <f>IF(AM1038&gt;=AH1038,AI1038,AI1038*AM1038/AH1038)</f>
        <v/>
      </c>
      <c r="AP1038">
        <f t="array" ref="AP1038">INDEX($AU$8:$BB$25,6*(R1038-1)+MATCH(AB1038,$AS$8:$AS$13,0),MATCH(O1038,$AU$7:$BB$7,0))</f>
        <v/>
      </c>
    </row>
    <row r="1039" ht="14.25" customHeight="1">
      <c r="O1039" s="43" t="inlineStr">
        <is>
          <t>Q4’27</t>
        </is>
      </c>
      <c r="P1039" s="43" t="n">
        <v>3</v>
      </c>
      <c r="Q1039" s="43" t="n">
        <v>17</v>
      </c>
      <c r="R1039" s="43" t="n">
        <v>3</v>
      </c>
      <c r="S1039" s="45" t="n">
        <v>1311.487282566683</v>
      </c>
      <c r="T1039">
        <f>(S1037+S1038+S1039)=U4</f>
        <v/>
      </c>
      <c r="X1039" s="84">
        <f>MAX(S1036-S1039,0)</f>
        <v/>
      </c>
      <c r="Y1039" s="83" t="n">
        <v>0</v>
      </c>
      <c r="AA1039" s="84" t="n">
        <v>1</v>
      </c>
      <c r="AB1039" s="84" t="inlineStr">
        <is>
          <t>F</t>
        </is>
      </c>
      <c r="AC1039" s="84" t="inlineStr">
        <is>
          <t>F+</t>
        </is>
      </c>
      <c r="AD1039" s="84" t="n">
        <v>14</v>
      </c>
      <c r="AE1039" s="84" t="n">
        <v>13</v>
      </c>
      <c r="AF1039" s="84" t="n">
        <v>0.8</v>
      </c>
      <c r="AG1039" s="84" t="n">
        <v>0.9</v>
      </c>
      <c r="AH1039" s="84" t="n">
        <v>0</v>
      </c>
      <c r="AI1039" s="84" t="n">
        <v>0</v>
      </c>
      <c r="AJ1039" s="84">
        <f>SUMIFS(AH$8:AH$1039,$O$8:$O$1039,O1039,$AB$8:$AB$1039,AB1039,$R$8:$R$1039,R1039,$AA$8:$AA$1039,"&lt;="&amp;AA1039)</f>
        <v/>
      </c>
      <c r="AK1039" s="84">
        <f>E97</f>
        <v/>
      </c>
      <c r="AL1039" s="84">
        <f>E103</f>
        <v/>
      </c>
      <c r="AM1039" s="84">
        <f>MAX(0,AJ1039-AK1039)</f>
        <v/>
      </c>
      <c r="AN1039" s="84">
        <f>IF(AM1039=0,AH1039,IF(AM1039&gt;=AH1039,0,AH1039-AM1039))</f>
        <v/>
      </c>
      <c r="AO1039" s="84">
        <f>IF(AM1039&gt;=AH1039,AI1039,AI1039*AM1039/AH1039)</f>
        <v/>
      </c>
      <c r="AP1039">
        <f t="array" ref="AP1039">INDEX($AU$8:$BB$25,6*(R1039-1)+MATCH(AB1039,$AS$8:$AS$13,0),MATCH(O1039,$AU$7:$BB$7,0))</f>
        <v/>
      </c>
    </row>
  </sheetData>
  <autoFilter ref="AA7:AO1039"/>
  <mergeCells count="44">
    <mergeCell ref="F73:G73"/>
    <mergeCell ref="F25:G25"/>
    <mergeCell ref="F34:G34"/>
    <mergeCell ref="O6:S6"/>
    <mergeCell ref="F84:G84"/>
    <mergeCell ref="AU5:BB5"/>
    <mergeCell ref="A68:A79"/>
    <mergeCell ref="V6:V7"/>
    <mergeCell ref="A44:A55"/>
    <mergeCell ref="F83:G83"/>
    <mergeCell ref="F59:G59"/>
    <mergeCell ref="F24:G24"/>
    <mergeCell ref="F95:G95"/>
    <mergeCell ref="A92:A103"/>
    <mergeCell ref="F85:G85"/>
    <mergeCell ref="F36:G36"/>
    <mergeCell ref="F94:G94"/>
    <mergeCell ref="F70:G70"/>
    <mergeCell ref="F97:G97"/>
    <mergeCell ref="AP6:AP7"/>
    <mergeCell ref="F35:G35"/>
    <mergeCell ref="F47:G47"/>
    <mergeCell ref="F72:G72"/>
    <mergeCell ref="F1:H1"/>
    <mergeCell ref="A56:A67"/>
    <mergeCell ref="F23:G23"/>
    <mergeCell ref="F46:G46"/>
    <mergeCell ref="F22:G22"/>
    <mergeCell ref="F96:G96"/>
    <mergeCell ref="F71:G71"/>
    <mergeCell ref="F58:G58"/>
    <mergeCell ref="C6:E6"/>
    <mergeCell ref="F61:G61"/>
    <mergeCell ref="F37:G37"/>
    <mergeCell ref="F6:H6"/>
    <mergeCell ref="F48:G48"/>
    <mergeCell ref="F82:G82"/>
    <mergeCell ref="A1:C3"/>
    <mergeCell ref="F60:G60"/>
    <mergeCell ref="A80:A91"/>
    <mergeCell ref="A8:A19"/>
    <mergeCell ref="F49:G49"/>
    <mergeCell ref="A20:A31"/>
    <mergeCell ref="A32:A43"/>
  </mergeCells>
  <conditionalFormatting sqref="B4">
    <cfRule type="expression" priority="1" dxfId="3">
      <formula>B4</formula>
    </cfRule>
    <cfRule type="expression" priority="2" dxfId="2">
      <formula>NOT(B4)</formula>
    </cfRule>
  </conditionalFormatting>
  <conditionalFormatting sqref="F8:H8">
    <cfRule type="expression" priority="29" dxfId="3">
      <formula>F8&lt;=F$3</formula>
    </cfRule>
    <cfRule type="expression" priority="30" dxfId="2">
      <formula>F8&gt;F$3</formula>
    </cfRule>
  </conditionalFormatting>
  <conditionalFormatting sqref="F20:H20">
    <cfRule type="expression" priority="27" dxfId="3">
      <formula>F20&lt;=F$3</formula>
    </cfRule>
    <cfRule type="expression" priority="28" dxfId="2">
      <formula>F20&gt;F$3</formula>
    </cfRule>
  </conditionalFormatting>
  <conditionalFormatting sqref="F32:H32">
    <cfRule type="expression" priority="25" dxfId="3">
      <formula>F32&lt;=F$3</formula>
    </cfRule>
    <cfRule type="expression" priority="26" dxfId="2">
      <formula>F32&gt;F$3</formula>
    </cfRule>
  </conditionalFormatting>
  <conditionalFormatting sqref="F44:H44">
    <cfRule type="expression" priority="23" dxfId="3">
      <formula>F44&lt;=F$3</formula>
    </cfRule>
    <cfRule type="expression" priority="24" dxfId="2">
      <formula>F44&gt;F$3</formula>
    </cfRule>
  </conditionalFormatting>
  <conditionalFormatting sqref="F56:H56">
    <cfRule type="expression" priority="21" dxfId="3">
      <formula>F56&lt;=F$3</formula>
    </cfRule>
    <cfRule type="expression" priority="22" dxfId="2">
      <formula>F56&gt;F$3</formula>
    </cfRule>
  </conditionalFormatting>
  <conditionalFormatting sqref="F68:H68">
    <cfRule type="expression" priority="19" dxfId="3">
      <formula>F68&lt;=F$3</formula>
    </cfRule>
    <cfRule type="expression" priority="20" dxfId="2">
      <formula>F68&gt;F$3</formula>
    </cfRule>
  </conditionalFormatting>
  <conditionalFormatting sqref="F80:H80">
    <cfRule type="expression" priority="17" dxfId="3">
      <formula>F80&lt;=F$3</formula>
    </cfRule>
    <cfRule type="expression" priority="18" dxfId="2">
      <formula>F80&gt;F$3</formula>
    </cfRule>
  </conditionalFormatting>
  <conditionalFormatting sqref="F92:H92">
    <cfRule type="expression" priority="15" dxfId="3">
      <formula>F92&lt;=F$3</formula>
    </cfRule>
    <cfRule type="expression" priority="16" dxfId="2">
      <formula>F92&gt;F$3</formula>
    </cfRule>
  </conditionalFormatting>
  <conditionalFormatting sqref="K7">
    <cfRule type="expression" priority="3" dxfId="3">
      <formula>K7</formula>
    </cfRule>
    <cfRule type="expression" priority="4" dxfId="2">
      <formula>NOT(K7)</formula>
    </cfRule>
  </conditionalFormatting>
  <conditionalFormatting sqref="T8:T1039">
    <cfRule type="expression" priority="13" dxfId="3">
      <formula>T8</formula>
    </cfRule>
    <cfRule type="expression" priority="14" dxfId="2">
      <formula>NOT(T8)</formula>
    </cfRule>
  </conditionalFormatting>
  <conditionalFormatting sqref="V8">
    <cfRule type="expression" priority="11" dxfId="3">
      <formula>V8</formula>
    </cfRule>
    <cfRule type="expression" priority="12" dxfId="2">
      <formula>NOT(V8)</formula>
    </cfRule>
  </conditionalFormatting>
  <conditionalFormatting sqref="AP3">
    <cfRule type="expression" priority="5" dxfId="3">
      <formula>AP3</formula>
    </cfRule>
    <cfRule type="expression" priority="6" dxfId="2">
      <formula>NOT(AP3)</formula>
    </cfRule>
  </conditionalFormatting>
  <conditionalFormatting sqref="AP8:AP1039">
    <cfRule type="expression" priority="9" dxfId="3">
      <formula>AP8</formula>
    </cfRule>
    <cfRule type="expression" priority="10" dxfId="2">
      <formula>NOT(AP8)</formula>
    </cfRule>
  </conditionalFormatting>
  <conditionalFormatting sqref="AU8:BB25">
    <cfRule type="expression" priority="7" dxfId="3">
      <formula>AU8</formula>
    </cfRule>
    <cfRule type="expression" priority="8" dxfId="2">
      <formula>NOT(AU8)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N50" sqref="N50:N51"/>
    </sheetView>
  </sheetViews>
  <sheetFormatPr baseColWidth="8" defaultRowHeight="14.25"/>
  <cols>
    <col width="9.796875" bestFit="1" customWidth="1" min="3" max="3"/>
    <col width="10.19921875" bestFit="1" customWidth="1" min="10" max="10"/>
  </cols>
  <sheetData>
    <row r="1">
      <c r="A1" t="inlineStr">
        <is>
          <t>Space data</t>
        </is>
      </c>
      <c r="I1" t="inlineStr">
        <is>
          <t>Step Matrix</t>
        </is>
      </c>
    </row>
    <row r="2">
      <c r="A2" s="84" t="inlineStr">
        <is>
          <t>WS</t>
        </is>
      </c>
      <c r="B2" s="84" t="inlineStr">
        <is>
          <t>sqm</t>
        </is>
      </c>
      <c r="C2" s="84" t="inlineStr">
        <is>
          <t>cost</t>
        </is>
      </c>
      <c r="G2" t="inlineStr">
        <is>
          <t>Mintech preference rank</t>
        </is>
      </c>
      <c r="H2" t="inlineStr">
        <is>
          <t>N-S</t>
        </is>
      </c>
      <c r="I2" s="71" t="inlineStr">
        <is>
          <t>Node</t>
        </is>
      </c>
      <c r="J2" s="50" t="inlineStr">
        <is>
          <t>Step Name</t>
        </is>
      </c>
      <c r="K2" s="15" t="inlineStr">
        <is>
          <t>WS</t>
        </is>
      </c>
      <c r="L2" s="15" t="inlineStr">
        <is>
          <t>RPT (min)</t>
        </is>
      </c>
      <c r="M2" s="15" t="inlineStr">
        <is>
          <t>WS(TOR)</t>
        </is>
      </c>
      <c r="N2" s="15" t="inlineStr">
        <is>
          <t xml:space="preserve">RPT(TOR) </t>
        </is>
      </c>
      <c r="O2" s="15" t="inlineStr">
        <is>
          <t>Ratio</t>
        </is>
      </c>
    </row>
    <row r="3">
      <c r="A3" s="71" t="inlineStr">
        <is>
          <t>A</t>
        </is>
      </c>
      <c r="B3" s="71" t="n">
        <v>6.78</v>
      </c>
      <c r="C3" s="47" t="n">
        <v>4500000</v>
      </c>
      <c r="D3" s="35" t="n">
        <v>0.78</v>
      </c>
      <c r="G3" s="84" t="n">
        <v>1</v>
      </c>
      <c r="H3">
        <f>I3&amp;J3</f>
        <v/>
      </c>
      <c r="I3" s="57" t="n">
        <v>1</v>
      </c>
      <c r="J3" s="51" t="n">
        <v>8</v>
      </c>
      <c r="K3" s="19" t="inlineStr">
        <is>
          <t>A</t>
        </is>
      </c>
      <c r="L3" s="19" t="n">
        <v>18</v>
      </c>
      <c r="M3" s="19" t="inlineStr">
        <is>
          <t>A+</t>
        </is>
      </c>
      <c r="N3" s="19" t="n">
        <v>16</v>
      </c>
      <c r="O3" s="18">
        <f>L3/N3</f>
        <v/>
      </c>
    </row>
    <row r="4">
      <c r="A4" s="71" t="inlineStr">
        <is>
          <t>B</t>
        </is>
      </c>
      <c r="B4" s="71" t="n">
        <v>3.96</v>
      </c>
      <c r="C4" s="47" t="n">
        <v>6000000</v>
      </c>
      <c r="D4" s="35" t="n">
        <v>0.76</v>
      </c>
      <c r="G4" s="84" t="n">
        <v>2</v>
      </c>
      <c r="H4">
        <f>I4&amp;J4</f>
        <v/>
      </c>
      <c r="I4" s="57" t="n">
        <v>1</v>
      </c>
      <c r="J4" s="51" t="n">
        <v>9</v>
      </c>
      <c r="K4" s="19" t="inlineStr">
        <is>
          <t>A</t>
        </is>
      </c>
      <c r="L4" s="19" t="n">
        <v>16</v>
      </c>
      <c r="M4" s="19" t="inlineStr">
        <is>
          <t>A+</t>
        </is>
      </c>
      <c r="N4" s="19" t="n">
        <v>13</v>
      </c>
      <c r="O4" s="18">
        <f>L4/N4</f>
        <v/>
      </c>
    </row>
    <row r="5">
      <c r="A5" s="71" t="inlineStr">
        <is>
          <t>C</t>
        </is>
      </c>
      <c r="B5" s="71" t="n">
        <v>5.82</v>
      </c>
      <c r="C5" s="47" t="n">
        <v>2200000</v>
      </c>
      <c r="D5" s="35" t="n">
        <v>0.8</v>
      </c>
      <c r="G5" s="84" t="n">
        <v>3</v>
      </c>
      <c r="H5">
        <f>I5&amp;J5</f>
        <v/>
      </c>
      <c r="I5" s="57" t="n">
        <v>1</v>
      </c>
      <c r="J5" s="51" t="n">
        <v>4</v>
      </c>
      <c r="K5" s="19" t="inlineStr">
        <is>
          <t>A</t>
        </is>
      </c>
      <c r="L5" s="19" t="n">
        <v>20</v>
      </c>
      <c r="M5" s="19" t="inlineStr">
        <is>
          <t>A+</t>
        </is>
      </c>
      <c r="N5" s="19" t="n">
        <v>16</v>
      </c>
      <c r="O5" s="18">
        <f>L5/N5</f>
        <v/>
      </c>
    </row>
    <row r="6">
      <c r="A6" s="71" t="inlineStr">
        <is>
          <t>D</t>
        </is>
      </c>
      <c r="B6" s="71" t="n">
        <v>5.61</v>
      </c>
      <c r="C6" s="47" t="n">
        <v>4000000</v>
      </c>
      <c r="D6" s="35" t="n">
        <v>0.8</v>
      </c>
      <c r="G6" s="84" t="n">
        <v>1</v>
      </c>
      <c r="H6">
        <f>I6&amp;J6</f>
        <v/>
      </c>
      <c r="I6" s="58" t="n">
        <v>2</v>
      </c>
      <c r="J6" s="51" t="n">
        <v>2</v>
      </c>
      <c r="K6" s="19" t="inlineStr">
        <is>
          <t>B</t>
        </is>
      </c>
      <c r="L6" s="19" t="n">
        <v>20</v>
      </c>
      <c r="M6" s="19" t="inlineStr">
        <is>
          <t>B+</t>
        </is>
      </c>
      <c r="N6" s="19" t="n">
        <v>18</v>
      </c>
      <c r="O6" s="18">
        <f>L6/N6</f>
        <v/>
      </c>
    </row>
    <row r="7">
      <c r="A7" s="71" t="inlineStr">
        <is>
          <t>E</t>
        </is>
      </c>
      <c r="B7" s="71" t="n">
        <v>4.65</v>
      </c>
      <c r="C7" s="47" t="n">
        <v>3500000</v>
      </c>
      <c r="D7" s="35" t="n">
        <v>0.76</v>
      </c>
      <c r="G7" s="84" t="n">
        <v>2</v>
      </c>
      <c r="H7">
        <f>I7&amp;J7</f>
        <v/>
      </c>
      <c r="I7" s="58" t="n">
        <v>2</v>
      </c>
      <c r="J7" s="51" t="n">
        <v>4</v>
      </c>
      <c r="K7" s="19" t="inlineStr">
        <is>
          <t>B</t>
        </is>
      </c>
      <c r="L7" s="19" t="n">
        <v>25</v>
      </c>
      <c r="M7" s="19" t="inlineStr">
        <is>
          <t>B+</t>
        </is>
      </c>
      <c r="N7" s="19" t="n">
        <v>19</v>
      </c>
      <c r="O7" s="18">
        <f>L7/N7</f>
        <v/>
      </c>
    </row>
    <row r="8">
      <c r="A8" s="71" t="inlineStr">
        <is>
          <t>F</t>
        </is>
      </c>
      <c r="B8" s="71" t="n">
        <v>3.68</v>
      </c>
      <c r="C8" s="47" t="n">
        <v>6000000</v>
      </c>
      <c r="D8" s="35" t="n">
        <v>0.8</v>
      </c>
      <c r="G8" s="84" t="n">
        <v>3</v>
      </c>
      <c r="H8">
        <f>I8&amp;J8</f>
        <v/>
      </c>
      <c r="I8" s="58" t="n">
        <v>2</v>
      </c>
      <c r="J8" s="51" t="n">
        <v>5</v>
      </c>
      <c r="K8" s="19" t="inlineStr">
        <is>
          <t>B</t>
        </is>
      </c>
      <c r="L8" s="19" t="n">
        <v>15</v>
      </c>
      <c r="M8" s="19" t="inlineStr">
        <is>
          <t>B+</t>
        </is>
      </c>
      <c r="N8" s="19" t="n">
        <v>11</v>
      </c>
      <c r="O8" s="18">
        <f>L8/N8</f>
        <v/>
      </c>
    </row>
    <row r="9">
      <c r="A9" s="71" t="inlineStr">
        <is>
          <t>A+</t>
        </is>
      </c>
      <c r="B9" s="78" t="n">
        <v>6.93</v>
      </c>
      <c r="C9" s="47" t="n">
        <v>6000000</v>
      </c>
      <c r="D9" s="35" t="n">
        <v>0.84</v>
      </c>
      <c r="G9" s="84" t="n">
        <v>4</v>
      </c>
      <c r="H9">
        <f>I9&amp;J9</f>
        <v/>
      </c>
      <c r="I9" s="58" t="n">
        <v>2</v>
      </c>
      <c r="J9" s="51" t="n">
        <v>8</v>
      </c>
      <c r="K9" s="19" t="inlineStr">
        <is>
          <t>B</t>
        </is>
      </c>
      <c r="L9" s="19" t="n">
        <v>22</v>
      </c>
      <c r="M9" s="19" t="inlineStr">
        <is>
          <t>B+</t>
        </is>
      </c>
      <c r="N9" s="19" t="n">
        <v>16</v>
      </c>
      <c r="O9" s="18">
        <f>L9/N9</f>
        <v/>
      </c>
    </row>
    <row r="10">
      <c r="A10" s="71" t="inlineStr">
        <is>
          <t>B+</t>
        </is>
      </c>
      <c r="B10" s="78" t="n">
        <v>3.72</v>
      </c>
      <c r="C10" s="47" t="n">
        <v>8000000</v>
      </c>
      <c r="D10" s="35" t="n">
        <v>0.8100000000000001</v>
      </c>
      <c r="G10" s="84" t="n">
        <v>1</v>
      </c>
      <c r="H10">
        <f>I10&amp;J10</f>
        <v/>
      </c>
      <c r="I10" s="59" t="n">
        <v>3</v>
      </c>
      <c r="J10" s="52" t="n">
        <v>1</v>
      </c>
      <c r="K10" s="19" t="inlineStr">
        <is>
          <t>C</t>
        </is>
      </c>
      <c r="L10" s="19" t="n">
        <v>21</v>
      </c>
      <c r="M10" s="19" t="inlineStr">
        <is>
          <t>C+</t>
        </is>
      </c>
      <c r="N10" s="19" t="n">
        <v>20</v>
      </c>
      <c r="O10" s="29">
        <f>L10/N10</f>
        <v/>
      </c>
    </row>
    <row r="11">
      <c r="A11" s="71" t="inlineStr">
        <is>
          <t>C+</t>
        </is>
      </c>
      <c r="B11" s="78" t="n">
        <v>5.75</v>
      </c>
      <c r="C11" s="47" t="n">
        <v>3200000</v>
      </c>
      <c r="D11" s="35" t="n">
        <v>0.86</v>
      </c>
      <c r="G11" s="84" t="n">
        <v>2</v>
      </c>
      <c r="H11">
        <f>I11&amp;J11</f>
        <v/>
      </c>
      <c r="I11" s="59" t="n">
        <v>3</v>
      </c>
      <c r="J11" s="52" t="n">
        <v>14</v>
      </c>
      <c r="K11" s="19" t="inlineStr">
        <is>
          <t>C</t>
        </is>
      </c>
      <c r="L11" s="19" t="n">
        <v>12</v>
      </c>
      <c r="M11" s="19" t="inlineStr">
        <is>
          <t>C+</t>
        </is>
      </c>
      <c r="N11" s="19" t="n">
        <v>11</v>
      </c>
      <c r="O11" s="29">
        <f>L11/N11</f>
        <v/>
      </c>
    </row>
    <row r="12">
      <c r="A12" s="71" t="inlineStr">
        <is>
          <t>D+</t>
        </is>
      </c>
      <c r="B12" s="78" t="n">
        <v>5.74</v>
      </c>
      <c r="C12" s="47" t="n">
        <v>5500000</v>
      </c>
      <c r="D12" s="35" t="n">
        <v>0.88</v>
      </c>
      <c r="G12" s="84" t="n">
        <v>3</v>
      </c>
      <c r="H12">
        <f>I12&amp;J12</f>
        <v/>
      </c>
      <c r="I12" s="59" t="n">
        <v>3</v>
      </c>
      <c r="J12" s="52" t="n">
        <v>7</v>
      </c>
      <c r="K12" s="19" t="inlineStr">
        <is>
          <t>C</t>
        </is>
      </c>
      <c r="L12" s="19" t="n">
        <v>24</v>
      </c>
      <c r="M12" s="19" t="inlineStr">
        <is>
          <t>C+</t>
        </is>
      </c>
      <c r="N12" s="19" t="n">
        <v>21</v>
      </c>
      <c r="O12" s="29">
        <f>L12/N12</f>
        <v/>
      </c>
    </row>
    <row r="13">
      <c r="A13" s="71" t="inlineStr">
        <is>
          <t>E+</t>
        </is>
      </c>
      <c r="B13" s="78" t="n">
        <v>4.8</v>
      </c>
      <c r="C13" s="47" t="n">
        <v>5800000</v>
      </c>
      <c r="D13" s="35" t="n">
        <v>0.84</v>
      </c>
      <c r="G13" s="84" t="n">
        <v>4</v>
      </c>
      <c r="H13">
        <f>I13&amp;J13</f>
        <v/>
      </c>
      <c r="I13" s="59" t="n">
        <v>3</v>
      </c>
      <c r="J13" s="52" t="n">
        <v>16</v>
      </c>
      <c r="K13" s="19" t="inlineStr">
        <is>
          <t>C</t>
        </is>
      </c>
      <c r="L13" s="19" t="n">
        <v>25</v>
      </c>
      <c r="M13" s="19" t="inlineStr">
        <is>
          <t>C+</t>
        </is>
      </c>
      <c r="N13" s="19" t="n">
        <v>20</v>
      </c>
      <c r="O13" s="29">
        <f>L13/N13</f>
        <v/>
      </c>
    </row>
    <row r="14">
      <c r="A14" s="71" t="inlineStr">
        <is>
          <t>F+</t>
        </is>
      </c>
      <c r="B14" s="78" t="n">
        <v>3.57</v>
      </c>
      <c r="C14" s="47" t="n">
        <v>8000000</v>
      </c>
      <c r="D14" s="35" t="n">
        <v>0.9</v>
      </c>
      <c r="G14" s="84" t="n">
        <v>5</v>
      </c>
      <c r="H14">
        <f>I14&amp;J14</f>
        <v/>
      </c>
      <c r="I14" s="59" t="n">
        <v>3</v>
      </c>
      <c r="J14" s="53" t="n">
        <v>8</v>
      </c>
      <c r="K14" s="19" t="inlineStr">
        <is>
          <t>C</t>
        </is>
      </c>
      <c r="L14" s="19" t="n">
        <v>19</v>
      </c>
      <c r="M14" s="19" t="inlineStr">
        <is>
          <t>C+</t>
        </is>
      </c>
      <c r="N14" s="19" t="n">
        <v>13</v>
      </c>
      <c r="O14" s="49">
        <f>L14/N14</f>
        <v/>
      </c>
    </row>
    <row r="15">
      <c r="C15">
        <f>SUM(C2:C14)*3</f>
        <v/>
      </c>
      <c r="G15" s="84" t="n">
        <v>1</v>
      </c>
      <c r="H15">
        <f>I15&amp;J15</f>
        <v/>
      </c>
      <c r="I15" s="59" t="n">
        <v>3</v>
      </c>
      <c r="J15" s="53" t="n">
        <v>6</v>
      </c>
      <c r="K15" s="19" t="inlineStr">
        <is>
          <t>D</t>
        </is>
      </c>
      <c r="L15" s="19" t="n">
        <v>12</v>
      </c>
      <c r="M15" s="19" t="inlineStr">
        <is>
          <t>D+</t>
        </is>
      </c>
      <c r="N15" s="19" t="n">
        <v>11</v>
      </c>
      <c r="O15" s="49">
        <f>L15/N15</f>
        <v/>
      </c>
    </row>
    <row r="16">
      <c r="G16" s="84" t="n">
        <v>2</v>
      </c>
      <c r="H16">
        <f>I16&amp;J16</f>
        <v/>
      </c>
      <c r="I16" s="59" t="n">
        <v>3</v>
      </c>
      <c r="J16" s="53" t="n">
        <v>15</v>
      </c>
      <c r="K16" s="19" t="inlineStr">
        <is>
          <t>D</t>
        </is>
      </c>
      <c r="L16" s="19" t="n">
        <v>11</v>
      </c>
      <c r="M16" s="19" t="inlineStr">
        <is>
          <t>D+</t>
        </is>
      </c>
      <c r="N16" s="19" t="n">
        <v>10</v>
      </c>
      <c r="O16" s="49">
        <f>L16/N16</f>
        <v/>
      </c>
    </row>
    <row r="17">
      <c r="G17" s="84" t="n">
        <v>3</v>
      </c>
      <c r="H17">
        <f>I17&amp;J17</f>
        <v/>
      </c>
      <c r="I17" s="59" t="n">
        <v>3</v>
      </c>
      <c r="J17" s="53" t="n">
        <v>9</v>
      </c>
      <c r="K17" s="19" t="inlineStr">
        <is>
          <t>D</t>
        </is>
      </c>
      <c r="L17" s="19" t="n">
        <v>15</v>
      </c>
      <c r="M17" s="19" t="inlineStr">
        <is>
          <t>D+</t>
        </is>
      </c>
      <c r="N17" s="19" t="n">
        <v>13</v>
      </c>
      <c r="O17" s="49">
        <f>L17/N17</f>
        <v/>
      </c>
    </row>
    <row r="18">
      <c r="G18" s="84" t="n">
        <v>4</v>
      </c>
      <c r="H18">
        <f>I18&amp;J18</f>
        <v/>
      </c>
      <c r="I18" s="57" t="n">
        <v>1</v>
      </c>
      <c r="J18" s="54" t="n">
        <v>1</v>
      </c>
      <c r="K18" s="19" t="inlineStr">
        <is>
          <t>D</t>
        </is>
      </c>
      <c r="L18" s="19" t="n">
        <v>14</v>
      </c>
      <c r="M18" s="19" t="inlineStr">
        <is>
          <t>D+</t>
        </is>
      </c>
      <c r="N18" s="19" t="n">
        <v>12</v>
      </c>
      <c r="O18" s="23">
        <f>L18/N18</f>
        <v/>
      </c>
    </row>
    <row r="19">
      <c r="G19" s="84" t="n">
        <v>5</v>
      </c>
      <c r="H19">
        <f>I19&amp;J19</f>
        <v/>
      </c>
      <c r="I19" s="59" t="n">
        <v>3</v>
      </c>
      <c r="J19" s="53" t="n">
        <v>10</v>
      </c>
      <c r="K19" s="19" t="inlineStr">
        <is>
          <t>D</t>
        </is>
      </c>
      <c r="L19" s="19" t="n">
        <v>24</v>
      </c>
      <c r="M19" s="19" t="inlineStr">
        <is>
          <t>D+</t>
        </is>
      </c>
      <c r="N19" s="19" t="n">
        <v>20</v>
      </c>
      <c r="O19" s="49">
        <f>L19/N19</f>
        <v/>
      </c>
    </row>
    <row r="20">
      <c r="G20" s="84" t="n">
        <v>6</v>
      </c>
      <c r="H20">
        <f>I20&amp;J20</f>
        <v/>
      </c>
      <c r="I20" s="57" t="n">
        <v>1</v>
      </c>
      <c r="J20" s="54" t="n">
        <v>10</v>
      </c>
      <c r="K20" s="19" t="inlineStr">
        <is>
          <t>D</t>
        </is>
      </c>
      <c r="L20" s="19" t="n">
        <v>14</v>
      </c>
      <c r="M20" s="19" t="inlineStr">
        <is>
          <t>D+</t>
        </is>
      </c>
      <c r="N20" s="19" t="n">
        <v>11</v>
      </c>
      <c r="O20" s="23">
        <f>L20/N20</f>
        <v/>
      </c>
    </row>
    <row r="21">
      <c r="G21" s="84" t="n">
        <v>7</v>
      </c>
      <c r="H21">
        <f>I21&amp;J21</f>
        <v/>
      </c>
      <c r="I21" s="57" t="n">
        <v>1</v>
      </c>
      <c r="J21" s="54" t="n">
        <v>6</v>
      </c>
      <c r="K21" s="19" t="inlineStr">
        <is>
          <t>D</t>
        </is>
      </c>
      <c r="L21" s="19" t="n">
        <v>27</v>
      </c>
      <c r="M21" s="19" t="inlineStr">
        <is>
          <t>D+</t>
        </is>
      </c>
      <c r="N21" s="19" t="n">
        <v>21</v>
      </c>
      <c r="O21" s="23">
        <f>L21/N21</f>
        <v/>
      </c>
    </row>
    <row r="22">
      <c r="G22" s="84" t="n">
        <v>8</v>
      </c>
      <c r="H22">
        <f>I22&amp;J22</f>
        <v/>
      </c>
      <c r="I22" s="59" t="n">
        <v>3</v>
      </c>
      <c r="J22" s="53" t="n">
        <v>2</v>
      </c>
      <c r="K22" s="19" t="inlineStr">
        <is>
          <t>D</t>
        </is>
      </c>
      <c r="L22" s="19" t="n">
        <v>9</v>
      </c>
      <c r="M22" s="19" t="inlineStr">
        <is>
          <t>D+</t>
        </is>
      </c>
      <c r="N22" s="19" t="n">
        <v>7</v>
      </c>
      <c r="O22" s="49">
        <f>L22/N22</f>
        <v/>
      </c>
    </row>
    <row r="23">
      <c r="G23" s="84" t="n">
        <v>9</v>
      </c>
      <c r="H23">
        <f>I23&amp;J23</f>
        <v/>
      </c>
      <c r="I23" s="57" t="n">
        <v>1</v>
      </c>
      <c r="J23" s="54" t="n">
        <v>7</v>
      </c>
      <c r="K23" s="19" t="inlineStr">
        <is>
          <t>D</t>
        </is>
      </c>
      <c r="L23" s="19" t="n">
        <v>17</v>
      </c>
      <c r="M23" s="19" t="inlineStr">
        <is>
          <t>D+</t>
        </is>
      </c>
      <c r="N23" s="19" t="n">
        <v>13</v>
      </c>
      <c r="O23" s="23">
        <f>L23/N23</f>
        <v/>
      </c>
    </row>
    <row r="24">
      <c r="G24" s="84" t="n">
        <v>1</v>
      </c>
      <c r="H24">
        <f>I24&amp;J24</f>
        <v/>
      </c>
      <c r="I24" s="59" t="n">
        <v>3</v>
      </c>
      <c r="J24" s="53" t="n">
        <v>3</v>
      </c>
      <c r="K24" s="19" t="inlineStr">
        <is>
          <t>E</t>
        </is>
      </c>
      <c r="L24" s="19" t="n">
        <v>24</v>
      </c>
      <c r="M24" s="19" t="inlineStr">
        <is>
          <t>E+</t>
        </is>
      </c>
      <c r="N24" s="19" t="n">
        <v>23</v>
      </c>
      <c r="O24" s="49">
        <f>L24/N24</f>
        <v/>
      </c>
    </row>
    <row r="25">
      <c r="G25" s="84" t="n">
        <v>2</v>
      </c>
      <c r="H25">
        <f>I25&amp;J25</f>
        <v/>
      </c>
      <c r="I25" s="58" t="n">
        <v>2</v>
      </c>
      <c r="J25" s="54" t="n">
        <v>11</v>
      </c>
      <c r="K25" s="19" t="inlineStr">
        <is>
          <t>E</t>
        </is>
      </c>
      <c r="L25" s="19" t="n">
        <v>20</v>
      </c>
      <c r="M25" s="19" t="inlineStr">
        <is>
          <t>E+</t>
        </is>
      </c>
      <c r="N25" s="19" t="n">
        <v>19</v>
      </c>
      <c r="O25" s="23">
        <f>L25/N25</f>
        <v/>
      </c>
    </row>
    <row r="26">
      <c r="G26" s="84" t="n">
        <v>3</v>
      </c>
      <c r="H26">
        <f>I26&amp;J26</f>
        <v/>
      </c>
      <c r="I26" s="59" t="n">
        <v>3</v>
      </c>
      <c r="J26" s="53" t="n">
        <v>11</v>
      </c>
      <c r="K26" s="19" t="inlineStr">
        <is>
          <t>E</t>
        </is>
      </c>
      <c r="L26" s="19" t="n">
        <v>17</v>
      </c>
      <c r="M26" s="19" t="inlineStr">
        <is>
          <t>E+</t>
        </is>
      </c>
      <c r="N26" s="19" t="n">
        <v>15</v>
      </c>
      <c r="O26" s="49">
        <f>L26/N26</f>
        <v/>
      </c>
    </row>
    <row r="27">
      <c r="G27" s="84" t="n">
        <v>4</v>
      </c>
      <c r="H27">
        <f>I27&amp;J27</f>
        <v/>
      </c>
      <c r="I27" s="58" t="n">
        <v>2</v>
      </c>
      <c r="J27" s="55" t="n">
        <v>9</v>
      </c>
      <c r="K27" s="19" t="inlineStr">
        <is>
          <t>E</t>
        </is>
      </c>
      <c r="L27" s="19" t="n">
        <v>7</v>
      </c>
      <c r="M27" s="19" t="inlineStr">
        <is>
          <t>E+</t>
        </is>
      </c>
      <c r="N27" s="19" t="n">
        <v>6</v>
      </c>
      <c r="O27" s="24">
        <f>L27/N27</f>
        <v/>
      </c>
    </row>
    <row r="28">
      <c r="G28" s="84" t="n">
        <v>5</v>
      </c>
      <c r="H28">
        <f>I28&amp;J28</f>
        <v/>
      </c>
      <c r="I28" s="58" t="n">
        <v>2</v>
      </c>
      <c r="J28" s="56" t="n">
        <v>14</v>
      </c>
      <c r="K28" s="19" t="inlineStr">
        <is>
          <t>E</t>
        </is>
      </c>
      <c r="L28" s="19" t="n">
        <v>15</v>
      </c>
      <c r="M28" s="19" t="inlineStr">
        <is>
          <t>E+</t>
        </is>
      </c>
      <c r="N28" s="19" t="n">
        <v>12</v>
      </c>
      <c r="O28" s="25">
        <f>L28/N28</f>
        <v/>
      </c>
    </row>
    <row r="29">
      <c r="G29" s="84" t="n">
        <v>6</v>
      </c>
      <c r="H29">
        <f>I29&amp;J29</f>
        <v/>
      </c>
      <c r="I29" s="58" t="n">
        <v>2</v>
      </c>
      <c r="J29" s="51" t="n">
        <v>10</v>
      </c>
      <c r="K29" s="19" t="inlineStr">
        <is>
          <t>E</t>
        </is>
      </c>
      <c r="L29" s="19" t="n">
        <v>9</v>
      </c>
      <c r="M29" s="19" t="inlineStr">
        <is>
          <t>E+</t>
        </is>
      </c>
      <c r="N29" s="19" t="n">
        <v>7</v>
      </c>
      <c r="O29" s="18">
        <f>L29/N29</f>
        <v/>
      </c>
    </row>
    <row r="30">
      <c r="G30" s="84" t="n">
        <v>7</v>
      </c>
      <c r="H30">
        <f>I30&amp;J30</f>
        <v/>
      </c>
      <c r="I30" s="58" t="n">
        <v>2</v>
      </c>
      <c r="J30" s="51" t="n">
        <v>15</v>
      </c>
      <c r="K30" s="19" t="inlineStr">
        <is>
          <t>E</t>
        </is>
      </c>
      <c r="L30" s="19" t="n">
        <v>13</v>
      </c>
      <c r="M30" s="19" t="inlineStr">
        <is>
          <t>E+</t>
        </is>
      </c>
      <c r="N30" s="19" t="n">
        <v>10</v>
      </c>
      <c r="O30" s="18">
        <f>L30/N30</f>
        <v/>
      </c>
    </row>
    <row r="31">
      <c r="G31" s="84" t="n">
        <v>8</v>
      </c>
      <c r="H31">
        <f>I31&amp;J31</f>
        <v/>
      </c>
      <c r="I31" s="58" t="n">
        <v>2</v>
      </c>
      <c r="J31" s="51" t="n">
        <v>13</v>
      </c>
      <c r="K31" s="19" t="inlineStr">
        <is>
          <t>E</t>
        </is>
      </c>
      <c r="L31" s="19" t="n">
        <v>12</v>
      </c>
      <c r="M31" s="19" t="inlineStr">
        <is>
          <t>E+</t>
        </is>
      </c>
      <c r="N31" s="19" t="n">
        <v>9</v>
      </c>
      <c r="O31" s="18">
        <f>L31/N31</f>
        <v/>
      </c>
    </row>
    <row r="32">
      <c r="G32" s="84" t="n">
        <v>9</v>
      </c>
      <c r="H32">
        <f>I32&amp;J32</f>
        <v/>
      </c>
      <c r="I32" s="59" t="n">
        <v>3</v>
      </c>
      <c r="J32" s="52" t="n">
        <v>4</v>
      </c>
      <c r="K32" s="19" t="inlineStr">
        <is>
          <t>E</t>
        </is>
      </c>
      <c r="L32" s="19" t="n">
        <v>15</v>
      </c>
      <c r="M32" s="19" t="inlineStr">
        <is>
          <t>E+</t>
        </is>
      </c>
      <c r="N32" s="19" t="n">
        <v>11</v>
      </c>
      <c r="O32" s="29">
        <f>L32/N32</f>
        <v/>
      </c>
    </row>
    <row r="33">
      <c r="G33" s="84" t="n">
        <v>10</v>
      </c>
      <c r="H33">
        <f>I33&amp;J33</f>
        <v/>
      </c>
      <c r="I33" s="59" t="n">
        <v>3</v>
      </c>
      <c r="J33" s="52" t="n">
        <v>12</v>
      </c>
      <c r="K33" s="19" t="inlineStr">
        <is>
          <t>E</t>
        </is>
      </c>
      <c r="L33" s="19" t="n">
        <v>18</v>
      </c>
      <c r="M33" s="19" t="inlineStr">
        <is>
          <t>E+</t>
        </is>
      </c>
      <c r="N33" s="19" t="n">
        <v>13</v>
      </c>
      <c r="O33" s="29">
        <f>L33/N33</f>
        <v/>
      </c>
    </row>
    <row r="34">
      <c r="G34" s="84" t="n">
        <v>11</v>
      </c>
      <c r="H34">
        <f>I34&amp;J34</f>
        <v/>
      </c>
      <c r="I34" s="58" t="n">
        <v>2</v>
      </c>
      <c r="J34" s="51" t="n">
        <v>3</v>
      </c>
      <c r="K34" s="19" t="inlineStr">
        <is>
          <t>E</t>
        </is>
      </c>
      <c r="L34" s="19" t="n">
        <v>10</v>
      </c>
      <c r="M34" s="19" t="inlineStr">
        <is>
          <t>E+</t>
        </is>
      </c>
      <c r="N34" s="19" t="n">
        <v>7</v>
      </c>
      <c r="O34" s="18">
        <f>L34/N34</f>
        <v/>
      </c>
    </row>
    <row r="35">
      <c r="G35" s="84" t="n">
        <v>1</v>
      </c>
      <c r="H35">
        <f>I35&amp;J35</f>
        <v/>
      </c>
      <c r="I35" s="59" t="n">
        <v>3</v>
      </c>
      <c r="J35" s="52" t="n">
        <v>17</v>
      </c>
      <c r="K35" s="19" t="inlineStr">
        <is>
          <t>F</t>
        </is>
      </c>
      <c r="L35" s="19" t="n">
        <v>14</v>
      </c>
      <c r="M35" s="19" t="inlineStr">
        <is>
          <t>F+</t>
        </is>
      </c>
      <c r="N35" s="19" t="n">
        <v>13</v>
      </c>
      <c r="O35" s="29">
        <f>L35/N35</f>
        <v/>
      </c>
    </row>
    <row r="36">
      <c r="G36" s="84" t="n">
        <v>2</v>
      </c>
      <c r="H36">
        <f>I36&amp;J36</f>
        <v/>
      </c>
      <c r="I36" s="59" t="n">
        <v>3</v>
      </c>
      <c r="J36" s="52" t="n">
        <v>13</v>
      </c>
      <c r="K36" s="19" t="inlineStr">
        <is>
          <t>F</t>
        </is>
      </c>
      <c r="L36" s="19" t="n">
        <v>20</v>
      </c>
      <c r="M36" s="19" t="inlineStr">
        <is>
          <t>F+</t>
        </is>
      </c>
      <c r="N36" s="19" t="n">
        <v>18</v>
      </c>
      <c r="O36" s="29">
        <f>L36/N36</f>
        <v/>
      </c>
    </row>
    <row r="37">
      <c r="G37" s="84" t="n">
        <v>3</v>
      </c>
      <c r="H37">
        <f>I37&amp;J37</f>
        <v/>
      </c>
      <c r="I37" s="57" t="n">
        <v>1</v>
      </c>
      <c r="J37" s="51" t="n">
        <v>11</v>
      </c>
      <c r="K37" s="19" t="inlineStr">
        <is>
          <t>F</t>
        </is>
      </c>
      <c r="L37" s="19" t="n">
        <v>18</v>
      </c>
      <c r="M37" s="19" t="inlineStr">
        <is>
          <t>F+</t>
        </is>
      </c>
      <c r="N37" s="19" t="n">
        <v>16</v>
      </c>
      <c r="O37" s="18">
        <f>L37/N37</f>
        <v/>
      </c>
    </row>
    <row r="38">
      <c r="G38" s="84" t="n">
        <v>4</v>
      </c>
      <c r="H38">
        <f>I38&amp;J38</f>
        <v/>
      </c>
      <c r="I38" s="58" t="n">
        <v>2</v>
      </c>
      <c r="J38" s="51" t="n">
        <v>7</v>
      </c>
      <c r="K38" s="19" t="inlineStr">
        <is>
          <t>F</t>
        </is>
      </c>
      <c r="L38" s="19" t="n">
        <v>17</v>
      </c>
      <c r="M38" s="19" t="inlineStr">
        <is>
          <t>F+</t>
        </is>
      </c>
      <c r="N38" s="19" t="n">
        <v>15</v>
      </c>
      <c r="O38" s="18">
        <f>L38/N38</f>
        <v/>
      </c>
    </row>
    <row r="39">
      <c r="G39" s="84" t="n">
        <v>5</v>
      </c>
      <c r="H39">
        <f>I39&amp;J39</f>
        <v/>
      </c>
      <c r="I39" s="58" t="n">
        <v>2</v>
      </c>
      <c r="J39" s="51" t="n">
        <v>6</v>
      </c>
      <c r="K39" s="19" t="inlineStr">
        <is>
          <t>F</t>
        </is>
      </c>
      <c r="L39" s="19" t="n">
        <v>16</v>
      </c>
      <c r="M39" s="19" t="inlineStr">
        <is>
          <t>F+</t>
        </is>
      </c>
      <c r="N39" s="19" t="n">
        <v>14</v>
      </c>
      <c r="O39" s="18">
        <f>L39/N39</f>
        <v/>
      </c>
    </row>
    <row r="40">
      <c r="G40" s="84" t="n">
        <v>6</v>
      </c>
      <c r="H40">
        <f>I40&amp;J40</f>
        <v/>
      </c>
      <c r="I40" s="59" t="n">
        <v>3</v>
      </c>
      <c r="J40" s="52" t="n">
        <v>5</v>
      </c>
      <c r="K40" s="19" t="inlineStr">
        <is>
          <t>F</t>
        </is>
      </c>
      <c r="L40" s="19" t="n">
        <v>16</v>
      </c>
      <c r="M40" s="19" t="inlineStr">
        <is>
          <t>F+</t>
        </is>
      </c>
      <c r="N40" s="19" t="n">
        <v>14</v>
      </c>
      <c r="O40" s="29">
        <f>L40/N40</f>
        <v/>
      </c>
    </row>
    <row r="41">
      <c r="G41" s="84" t="n">
        <v>7</v>
      </c>
      <c r="H41">
        <f>I41&amp;J41</f>
        <v/>
      </c>
      <c r="I41" s="58" t="n">
        <v>2</v>
      </c>
      <c r="J41" s="51" t="n">
        <v>12</v>
      </c>
      <c r="K41" s="19" t="inlineStr">
        <is>
          <t>F</t>
        </is>
      </c>
      <c r="L41" s="19" t="n">
        <v>21</v>
      </c>
      <c r="M41" s="19" t="inlineStr">
        <is>
          <t>F+</t>
        </is>
      </c>
      <c r="N41" s="19" t="n">
        <v>18</v>
      </c>
      <c r="O41" s="18">
        <f>L41/N41</f>
        <v/>
      </c>
    </row>
    <row r="42">
      <c r="G42" s="84" t="n">
        <v>8</v>
      </c>
      <c r="H42">
        <f>I42&amp;J42</f>
        <v/>
      </c>
      <c r="I42" s="57" t="n">
        <v>1</v>
      </c>
      <c r="J42" s="51" t="n">
        <v>3</v>
      </c>
      <c r="K42" s="19" t="inlineStr">
        <is>
          <t>F</t>
        </is>
      </c>
      <c r="L42" s="19" t="n">
        <v>27</v>
      </c>
      <c r="M42" s="19" t="inlineStr">
        <is>
          <t>F+</t>
        </is>
      </c>
      <c r="N42" s="19" t="n">
        <v>23</v>
      </c>
      <c r="O42" s="18">
        <f>L42/N42</f>
        <v/>
      </c>
    </row>
    <row r="43">
      <c r="G43" s="84" t="n">
        <v>9</v>
      </c>
      <c r="H43">
        <f>I43&amp;J43</f>
        <v/>
      </c>
      <c r="I43" s="58" t="n">
        <v>2</v>
      </c>
      <c r="J43" s="51" t="n">
        <v>1</v>
      </c>
      <c r="K43" s="19" t="inlineStr">
        <is>
          <t>F</t>
        </is>
      </c>
      <c r="L43" s="19" t="n">
        <v>19</v>
      </c>
      <c r="M43" s="19" t="inlineStr">
        <is>
          <t>F+</t>
        </is>
      </c>
      <c r="N43" s="19" t="n">
        <v>16</v>
      </c>
      <c r="O43" s="18">
        <f>L43/N43</f>
        <v/>
      </c>
    </row>
    <row r="44">
      <c r="G44" s="84" t="n">
        <v>10</v>
      </c>
      <c r="H44">
        <f>I44&amp;J44</f>
        <v/>
      </c>
      <c r="I44" s="57" t="n">
        <v>1</v>
      </c>
      <c r="J44" s="51" t="n">
        <v>2</v>
      </c>
      <c r="K44" s="19" t="inlineStr">
        <is>
          <t>F</t>
        </is>
      </c>
      <c r="L44" s="19" t="n">
        <v>25</v>
      </c>
      <c r="M44" s="19" t="inlineStr">
        <is>
          <t>F+</t>
        </is>
      </c>
      <c r="N44" s="19" t="n">
        <v>21</v>
      </c>
      <c r="O44" s="18">
        <f>L44/N44</f>
        <v/>
      </c>
    </row>
    <row r="45">
      <c r="G45" s="84" t="n">
        <v>11</v>
      </c>
      <c r="H45">
        <f>I45&amp;J45</f>
        <v/>
      </c>
      <c r="I45" s="57" t="n">
        <v>1</v>
      </c>
      <c r="J45" s="51" t="n">
        <v>5</v>
      </c>
      <c r="K45" s="19" t="inlineStr">
        <is>
          <t>F</t>
        </is>
      </c>
      <c r="L45" s="19" t="n">
        <v>12</v>
      </c>
      <c r="M45" s="19" t="inlineStr">
        <is>
          <t>F+</t>
        </is>
      </c>
      <c r="N45" s="19" t="n">
        <v>9</v>
      </c>
      <c r="O45" s="18">
        <f>L45/N45</f>
        <v/>
      </c>
    </row>
  </sheetData>
  <autoFilter ref="G2:O4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039"/>
  <sheetViews>
    <sheetView zoomScaleNormal="100" workbookViewId="0">
      <selection activeCell="C6" sqref="C6:E6"/>
    </sheetView>
  </sheetViews>
  <sheetFormatPr baseColWidth="8" defaultRowHeight="15" customHeight="1"/>
  <cols>
    <col width="24.265625" bestFit="1" customWidth="1" min="1" max="1"/>
    <col width="10.46484375" bestFit="1" customWidth="1" min="2" max="2"/>
    <col width="16.46484375" bestFit="1" customWidth="1" min="3" max="5"/>
    <col width="11.46484375" customWidth="1" min="6" max="8"/>
    <col width="23.265625" customWidth="1" min="11" max="11"/>
    <col width="7.9296875" customWidth="1" min="12" max="12"/>
    <col width="11.53125" customWidth="1" style="8" min="15" max="17"/>
    <col width="11.53125" customWidth="1" style="30" min="18" max="18"/>
    <col width="13.53125" customWidth="1" min="19" max="19"/>
    <col width="16.796875" bestFit="1" customWidth="1" min="20" max="20"/>
    <col width="12.73046875" customWidth="1" min="22" max="22"/>
    <col width="21" bestFit="1" customWidth="1" min="23" max="23"/>
    <col width="21.53125" bestFit="1" customWidth="1" min="24" max="24"/>
    <col width="18.06640625" customWidth="1" min="25" max="25"/>
    <col outlineLevel="1" width="8.73046875" customWidth="1" min="27" max="41"/>
    <col width="27.265625" customWidth="1" min="42" max="42"/>
  </cols>
  <sheetData>
    <row r="1" ht="15" customHeight="1">
      <c r="A1" s="80" t="inlineStr">
        <is>
          <t>Do not modify anything in this sheet except for the answer area</t>
        </is>
      </c>
      <c r="F1" s="84" t="inlineStr">
        <is>
          <t>Space available</t>
        </is>
      </c>
      <c r="M1" t="inlineStr">
        <is>
          <t xml:space="preserve">Quarter  </t>
        </is>
      </c>
      <c r="N1" t="inlineStr">
        <is>
          <t>Q1’26</t>
        </is>
      </c>
      <c r="O1" t="inlineStr">
        <is>
          <t>Q2’26</t>
        </is>
      </c>
      <c r="P1" t="inlineStr">
        <is>
          <t>Q3’26</t>
        </is>
      </c>
      <c r="Q1" t="inlineStr">
        <is>
          <t>Q4’26</t>
        </is>
      </c>
      <c r="R1" t="inlineStr">
        <is>
          <t>Q1’27</t>
        </is>
      </c>
      <c r="S1" t="inlineStr">
        <is>
          <t>Q2’27</t>
        </is>
      </c>
      <c r="T1" t="inlineStr">
        <is>
          <t>Q3’27</t>
        </is>
      </c>
      <c r="U1" t="inlineStr">
        <is>
          <t>Q4’27</t>
        </is>
      </c>
    </row>
    <row r="2" ht="15" customHeight="1">
      <c r="F2" s="78" t="inlineStr">
        <is>
          <t>Fab 1</t>
        </is>
      </c>
      <c r="G2" s="78" t="inlineStr">
        <is>
          <t xml:space="preserve">Fab 2 </t>
        </is>
      </c>
      <c r="H2" s="78" t="inlineStr">
        <is>
          <t xml:space="preserve">Fab 3 </t>
        </is>
      </c>
      <c r="K2" s="62" t="inlineStr">
        <is>
          <t>Total costs over 8 quarters</t>
        </is>
      </c>
      <c r="L2" s="8" t="n"/>
      <c r="M2" s="2" t="inlineStr">
        <is>
          <t xml:space="preserve">Node 1 </t>
        </is>
      </c>
      <c r="N2" s="43" t="n">
        <v>12000</v>
      </c>
      <c r="O2" s="43" t="n">
        <v>10000</v>
      </c>
      <c r="P2" s="43" t="n">
        <v>8500</v>
      </c>
      <c r="Q2" s="43" t="n">
        <v>7500</v>
      </c>
      <c r="R2" s="43" t="n">
        <v>6000</v>
      </c>
      <c r="S2" s="43" t="n">
        <v>5000</v>
      </c>
      <c r="T2" s="43" t="n">
        <v>4000</v>
      </c>
      <c r="U2" s="43" t="n">
        <v>2000</v>
      </c>
      <c r="AP2" s="82" t="inlineStr">
        <is>
          <t>All capacity ok?</t>
        </is>
      </c>
    </row>
    <row r="3" ht="15" customHeight="1">
      <c r="F3" s="61" t="n">
        <v>1500</v>
      </c>
      <c r="G3" s="61" t="n">
        <v>1300</v>
      </c>
      <c r="H3" s="61" t="n">
        <v>700</v>
      </c>
      <c r="J3" s="65" t="inlineStr">
        <is>
          <t>minimize this -&gt;</t>
        </is>
      </c>
      <c r="K3" s="63">
        <f>F23+F35+F47+F59+F71+F83+F95+F25+F37+F49+F61+F73+F85+F97+Y6</f>
        <v/>
      </c>
      <c r="L3" s="60" t="n"/>
      <c r="M3" s="3" t="inlineStr">
        <is>
          <t xml:space="preserve">Node 2 </t>
        </is>
      </c>
      <c r="N3" s="43" t="n">
        <v>5000</v>
      </c>
      <c r="O3" s="43" t="n">
        <v>5200</v>
      </c>
      <c r="P3" s="43" t="n">
        <v>5400</v>
      </c>
      <c r="Q3" s="43" t="n">
        <v>5600</v>
      </c>
      <c r="R3" s="43" t="n">
        <v>6000</v>
      </c>
      <c r="S3" s="43" t="n">
        <v>6500</v>
      </c>
      <c r="T3" s="43" t="n">
        <v>7000</v>
      </c>
      <c r="U3" s="43" t="n">
        <v>7500</v>
      </c>
      <c r="AP3">
        <f>AND(AU8:BB25)</f>
        <v/>
      </c>
      <c r="AQ3" s="64" t="inlineStr">
        <is>
          <t>&lt;- make sure its green</t>
        </is>
      </c>
    </row>
    <row r="4" ht="15" customHeight="1">
      <c r="A4" t="inlineStr">
        <is>
          <t>All constraints fulfilled?</t>
        </is>
      </c>
      <c r="B4">
        <f>AND(K7,V8,AP3)</f>
        <v/>
      </c>
      <c r="C4" s="64" t="inlineStr">
        <is>
          <t>&lt;- make sure its green</t>
        </is>
      </c>
      <c r="M4" s="4" t="inlineStr">
        <is>
          <t xml:space="preserve">Node 3 </t>
        </is>
      </c>
      <c r="N4" s="43" t="n">
        <v>3000</v>
      </c>
      <c r="O4" s="43" t="n">
        <v>4500</v>
      </c>
      <c r="P4" s="43" t="n">
        <v>7000</v>
      </c>
      <c r="Q4" s="43" t="n">
        <v>8000</v>
      </c>
      <c r="R4" s="43" t="n">
        <v>9000</v>
      </c>
      <c r="S4" s="43" t="n">
        <v>11000</v>
      </c>
      <c r="T4" s="43" t="n">
        <v>13000</v>
      </c>
      <c r="U4" s="43" t="n">
        <v>16000</v>
      </c>
    </row>
    <row r="5" ht="15" customHeight="1">
      <c r="K5" s="60" t="n"/>
      <c r="O5" s="8">
        <f>ROUNDUP(45*O2/10080/0.84,0)</f>
        <v/>
      </c>
      <c r="P5" s="8">
        <f>ROUNDUP(45*P2/10080/0.84,0)</f>
        <v/>
      </c>
      <c r="Q5" s="8">
        <f>ROUNDUP(45*Q2/10080/0.84,0)</f>
        <v/>
      </c>
      <c r="R5" s="8">
        <f>ROUNDUP(45*R2/10080/0.84,0)</f>
        <v/>
      </c>
      <c r="S5" s="8">
        <f>ROUNDUP(45*S2/10080/0.84,0)</f>
        <v/>
      </c>
      <c r="T5" s="8">
        <f>ROUNDUP(45*T2/10080/0.84,0)</f>
        <v/>
      </c>
      <c r="AU5" s="82" t="inlineStr">
        <is>
          <t>Enough mintech + TOR tools to run the assigned loading?</t>
        </is>
      </c>
    </row>
    <row r="6" ht="14.55" customHeight="1">
      <c r="C6" s="87" t="inlineStr">
        <is>
          <t>Tooling plan (to fill)</t>
        </is>
      </c>
      <c r="D6" s="88" t="n"/>
      <c r="E6" s="88" t="n"/>
      <c r="F6" s="82" t="inlineStr">
        <is>
          <t>Solution Validation</t>
        </is>
      </c>
      <c r="K6" t="inlineStr">
        <is>
          <t>All space within limit?</t>
        </is>
      </c>
      <c r="O6" s="86" t="inlineStr">
        <is>
          <t>Node Wafer Stepflow Distribution for each fab for each quarter</t>
        </is>
      </c>
      <c r="T6" s="82" t="inlineStr">
        <is>
          <t>Solution Validation</t>
        </is>
      </c>
      <c r="V6" s="81" t="inlineStr">
        <is>
          <t>All loading fulfilled?</t>
        </is>
      </c>
      <c r="X6" t="inlineStr">
        <is>
          <t>Total transfer costs:</t>
        </is>
      </c>
      <c r="Y6" s="83">
        <f>SUM(_xlfn.ANCHORARRAY(Y8))</f>
        <v/>
      </c>
      <c r="AB6" s="84" t="inlineStr">
        <is>
          <t>mintech</t>
        </is>
      </c>
      <c r="AC6" s="84" t="inlineStr">
        <is>
          <t>TOR</t>
        </is>
      </c>
      <c r="AD6" s="84" t="inlineStr">
        <is>
          <t>mintech</t>
        </is>
      </c>
      <c r="AE6" s="84" t="inlineStr">
        <is>
          <t>TOR</t>
        </is>
      </c>
      <c r="AF6" s="84" t="inlineStr">
        <is>
          <t>mintech</t>
        </is>
      </c>
      <c r="AG6" s="84" t="inlineStr">
        <is>
          <t>TOR</t>
        </is>
      </c>
      <c r="AH6" s="84" t="inlineStr">
        <is>
          <t>mintech</t>
        </is>
      </c>
      <c r="AI6" s="84" t="inlineStr">
        <is>
          <t>TOR</t>
        </is>
      </c>
      <c r="AJ6" s="84" t="inlineStr">
        <is>
          <t>mintech</t>
        </is>
      </c>
      <c r="AK6" s="84" t="inlineStr">
        <is>
          <t>mintech</t>
        </is>
      </c>
      <c r="AL6" s="84" t="inlineStr">
        <is>
          <t>TOR</t>
        </is>
      </c>
      <c r="AM6" s="84" t="inlineStr">
        <is>
          <t>mintech</t>
        </is>
      </c>
      <c r="AN6" s="84" t="inlineStr">
        <is>
          <t>mintech</t>
        </is>
      </c>
      <c r="AO6" s="84" t="inlineStr">
        <is>
          <t>TOR</t>
        </is>
      </c>
      <c r="AP6" s="81" t="inlineStr">
        <is>
          <t>Enough mintech + TOR tools to run the assigned loading?</t>
        </is>
      </c>
    </row>
    <row r="7" ht="14.25" customHeight="1">
      <c r="B7" s="36" t="inlineStr">
        <is>
          <t xml:space="preserve"> WS Name</t>
        </is>
      </c>
      <c r="C7" s="36" t="inlineStr">
        <is>
          <t>Fab 1 - WS Count</t>
        </is>
      </c>
      <c r="D7" s="36" t="inlineStr">
        <is>
          <t>Fab 2 - WS Count</t>
        </is>
      </c>
      <c r="E7" s="36" t="inlineStr">
        <is>
          <t>Fab 3 - WS Count</t>
        </is>
      </c>
      <c r="F7" s="44" t="inlineStr">
        <is>
          <t>Fab 1 space</t>
        </is>
      </c>
      <c r="G7" s="44" t="inlineStr">
        <is>
          <t>Fab 2 space</t>
        </is>
      </c>
      <c r="H7" s="44" t="inlineStr">
        <is>
          <t>Fab 3 space</t>
        </is>
      </c>
      <c r="K7">
        <f t="array" ref="K7">AND(F8:H8&lt;$F$3:$H$3,F20:H20&lt;$F$3:$H$3,F32:H32&lt;$F$3:$H$3,F44:H44&lt;$F$3:$H$3,F56:H56&lt;$F$3:$H$3,F68:H68&lt;$F$3:$H$3,F80:H80&lt;$F$3:$H$3,F92:H92&lt;$F$3:$H$3)</f>
        <v/>
      </c>
      <c r="O7" s="39" t="inlineStr">
        <is>
          <t>Quarter</t>
        </is>
      </c>
      <c r="P7" s="37" t="inlineStr">
        <is>
          <t>Node</t>
        </is>
      </c>
      <c r="Q7" s="37" t="inlineStr">
        <is>
          <t>Step</t>
        </is>
      </c>
      <c r="R7" s="37" t="inlineStr">
        <is>
          <t>Fab</t>
        </is>
      </c>
      <c r="S7" s="38" t="inlineStr">
        <is>
          <t>Loading (to fill)</t>
        </is>
      </c>
      <c r="T7" s="82" t="inlineStr">
        <is>
          <t>Loading fulfilled?</t>
        </is>
      </c>
      <c r="X7" s="84" t="inlineStr">
        <is>
          <t>Cross-fab transfer count</t>
        </is>
      </c>
      <c r="Y7" t="inlineStr">
        <is>
          <t>Transfer costs</t>
        </is>
      </c>
      <c r="AA7" t="inlineStr">
        <is>
          <t>Mintech preference rank</t>
        </is>
      </c>
      <c r="AB7" t="inlineStr">
        <is>
          <t>WS (mintech)</t>
        </is>
      </c>
      <c r="AC7" t="inlineStr">
        <is>
          <t>WS (TOR)</t>
        </is>
      </c>
      <c r="AD7" t="inlineStr">
        <is>
          <t>RPT (mintech)</t>
        </is>
      </c>
      <c r="AE7" t="inlineStr">
        <is>
          <t>RPT (TOR)</t>
        </is>
      </c>
      <c r="AF7" t="inlineStr">
        <is>
          <t>Util (mintech)</t>
        </is>
      </c>
      <c r="AG7" t="inlineStr">
        <is>
          <t>Util (TOR)</t>
        </is>
      </c>
      <c r="AH7" t="inlineStr">
        <is>
          <t>Tool requirement if running on mintech</t>
        </is>
      </c>
      <c r="AI7" t="inlineStr">
        <is>
          <t>Tool requirement if running on TOR</t>
        </is>
      </c>
      <c r="AJ7" t="inlineStr">
        <is>
          <t>Cumulative mintech req</t>
        </is>
      </c>
      <c r="AK7" t="inlineStr">
        <is>
          <t>Available mintech tools</t>
        </is>
      </c>
      <c r="AL7" t="inlineStr">
        <is>
          <t>Available TOR tools</t>
        </is>
      </c>
      <c r="AM7" t="inlineStr">
        <is>
          <t>Overflow cumreq</t>
        </is>
      </c>
      <c r="AN7" t="inlineStr">
        <is>
          <t>Req on mintech</t>
        </is>
      </c>
      <c r="AO7" t="inlineStr">
        <is>
          <t>Req on TOR</t>
        </is>
      </c>
      <c r="AR7" s="84" t="inlineStr">
        <is>
          <t>Fab</t>
        </is>
      </c>
      <c r="AU7" t="inlineStr">
        <is>
          <t>Q1’26</t>
        </is>
      </c>
      <c r="AV7" t="inlineStr">
        <is>
          <t>Q2’26</t>
        </is>
      </c>
      <c r="AW7" t="inlineStr">
        <is>
          <t>Q3’26</t>
        </is>
      </c>
      <c r="AX7" t="inlineStr">
        <is>
          <t>Q4’26</t>
        </is>
      </c>
      <c r="AY7" t="inlineStr">
        <is>
          <t>Q1’27</t>
        </is>
      </c>
      <c r="AZ7" t="inlineStr">
        <is>
          <t>Q2’27</t>
        </is>
      </c>
      <c r="BA7" t="inlineStr">
        <is>
          <t>Q3’27</t>
        </is>
      </c>
      <c r="BB7" t="inlineStr">
        <is>
          <t>Q4’27</t>
        </is>
      </c>
    </row>
    <row r="8" ht="14.55" customHeight="1">
      <c r="A8" s="85" t="inlineStr">
        <is>
          <t>WS Component for Q1’26</t>
        </is>
      </c>
      <c r="B8" s="31" t="inlineStr">
        <is>
          <t>A</t>
        </is>
      </c>
      <c r="C8" s="43" t="n">
        <v>50</v>
      </c>
      <c r="D8" s="43" t="n">
        <v>35</v>
      </c>
      <c r="E8" s="43" t="n">
        <v>0</v>
      </c>
      <c r="F8">
        <f t="array" ref="F8">SUM(C8:C19*data!$B$3:$B$14)</f>
        <v/>
      </c>
      <c r="G8">
        <f t="array" ref="G8">SUM(D8:D19*data!$B$3:$B$14)</f>
        <v/>
      </c>
      <c r="H8">
        <f t="array" ref="H8">SUM(E8:E19*data!$B$3:$B$14)</f>
        <v/>
      </c>
      <c r="I8" s="64" t="inlineStr">
        <is>
          <t>&lt;- make sure its green</t>
        </is>
      </c>
      <c r="O8" s="43" t="inlineStr">
        <is>
          <t>Q1’26</t>
        </is>
      </c>
      <c r="P8" s="43" t="n">
        <v>1</v>
      </c>
      <c r="Q8" s="43" t="n">
        <v>1</v>
      </c>
      <c r="R8" s="43" t="n">
        <v>1</v>
      </c>
      <c r="S8" s="45" t="n">
        <v>6916.354027750873</v>
      </c>
      <c r="T8">
        <f>(S8+S9+S10)=N2</f>
        <v/>
      </c>
      <c r="V8">
        <f>AND(T8:T1039)</f>
        <v/>
      </c>
      <c r="W8" s="64" t="inlineStr">
        <is>
          <t>&lt;- make sure its green</t>
        </is>
      </c>
      <c r="X8" s="84" t="n">
        <v>0</v>
      </c>
      <c r="Y8" s="83">
        <f t="array" ref="Y8:Y1039">X8:X1039*50*13</f>
        <v/>
      </c>
      <c r="AA8" s="84" t="n">
        <v>4</v>
      </c>
      <c r="AB8" s="84" t="inlineStr">
        <is>
          <t>D</t>
        </is>
      </c>
      <c r="AC8" s="84" t="inlineStr">
        <is>
          <t>D+</t>
        </is>
      </c>
      <c r="AD8" s="84" t="n">
        <v>14</v>
      </c>
      <c r="AE8" s="84" t="n">
        <v>12</v>
      </c>
      <c r="AF8" s="84" t="n">
        <v>0.8</v>
      </c>
      <c r="AG8" s="84" t="n">
        <v>0.88</v>
      </c>
      <c r="AH8" s="84">
        <f t="array" ref="AH8:AH1039">$S8:$S1039*AD8:AD1039/10080/AF8:AF1039</f>
        <v/>
      </c>
      <c r="AI8" s="84">
        <f t="array" ref="AI8:AI1039">$S8:$S1039*AE8:AE1039/10080/AG8:AG1039</f>
        <v/>
      </c>
      <c r="AJ8" s="84">
        <f>SUMIFS(AH$8:AH$1039,$O$8:$O$1039,O8,$AB$8:$AB$1039,AB8,$R$8:$R$1039,R8,$AA$8:$AA$1039,"&lt;="&amp;AA8)</f>
        <v/>
      </c>
      <c r="AK8" s="84">
        <f>C11</f>
        <v/>
      </c>
      <c r="AL8" s="84">
        <f>C17</f>
        <v/>
      </c>
      <c r="AM8" s="84">
        <f>MAX(0,AJ8-AK8)</f>
        <v/>
      </c>
      <c r="AN8" s="84">
        <f>IF(AM8=0,AH8,IF(AM8&gt;=AH8,0,AH8-AM8))</f>
        <v/>
      </c>
      <c r="AO8" s="84">
        <f>IF(AM8&gt;=AH8,AI8,AI8*AM8/AH8)</f>
        <v/>
      </c>
      <c r="AP8">
        <f t="array" ref="AP8">INDEX($AU$8:$BB$25,6*(R8-1)+MATCH(AB8,$AS$8:$AS$13,0),MATCH(O8,$AU$7:$BB$7,0))</f>
        <v/>
      </c>
      <c r="AR8" s="84" t="n">
        <v>1</v>
      </c>
      <c r="AS8" s="84" t="inlineStr">
        <is>
          <t>A</t>
        </is>
      </c>
      <c r="AT8" s="84" t="inlineStr">
        <is>
          <t>A+</t>
        </is>
      </c>
      <c r="AU8">
        <f>AND(SUMIFS($AN$8:$AN$1039,$O$8:$O$1039,AU7,$AB$8:$AB$1039,AS8,$R$8:$R$1039,AR8)&lt;=C8,SUMIFS($AO$8:$AO$1039,$O$8:$O$1039,AU7,$AB$8:$AB$1039,AS8,$R$8:$R$1039,AR8)&lt;=C14)</f>
        <v/>
      </c>
      <c r="AV8">
        <f>AND(SUMIFS($AN$8:$AN$1039,$O$8:$O$1039,AV7,$AB$8:$AB$1039,AS8,$R$8:$R$1039,AR8)&lt;=C20,SUMIFS($AO$8:$AO$1039,$O$8:$O$1039,AV7,$AB$8:$AB$1039,AS8,$R$8:$R$1039,AR8)&lt;=C26)</f>
        <v/>
      </c>
      <c r="AW8">
        <f>AND(SUMIFS($AN$8:$AN$1039,$O$8:$O$1039,AW7,$AB$8:$AB$1039,AS8,$R$8:$R$1039,AR8)&lt;=C32,SUMIFS($AO$8:$AO$1039,$O$8:$O$1039,AW7,$AB$8:$AB$1039,AS8,$R$8:$R$1039,AR8)&lt;=C38)</f>
        <v/>
      </c>
      <c r="AX8">
        <f>AND(SUMIFS($AN$8:$AN$1039,$O$8:$O$1039,AX7,$AB$8:$AB$1039,AS8,$R$8:$R$1039,AR8)&lt;=C44,SUMIFS($AO$8:$AO$1039,$O$8:$O$1039,AX7,$AB$8:$AB$1039,AS8,$R$8:$R$1039,AR8)&lt;=C50)</f>
        <v/>
      </c>
      <c r="AY8">
        <f>AND(SUMIFS($AN$8:$AN$1039,$O$8:$O$1039,AY7,$AB$8:$AB$1039,AS8,$R$8:$R$1039,AR8)&lt;=C56,SUMIFS($AO$8:$AO$1039,$O$8:$O$1039,AY7,$AB$8:$AB$1039,AS8,$R$8:$R$1039,AR8)&lt;=C62)</f>
        <v/>
      </c>
      <c r="AZ8">
        <f>AND(SUMIFS($AN$8:$AN$1039,$O$8:$O$1039,AZ7,$AB$8:$AB$1039,AS8,$R$8:$R$1039,AR8)&lt;=C68,SUMIFS($AO$8:$AO$1039,$O$8:$O$1039,AZ7,$AB$8:$AB$1039,AS8,$R$8:$R$1039,AR8)&lt;=C74)</f>
        <v/>
      </c>
      <c r="BA8">
        <f>AND(SUMIFS($AN$8:$AN$1039,$O$8:$O$1039,BA7,$AB$8:$AB$1039,AS8,$R$8:$R$1039,AR8)&lt;=C80,SUMIFS($AO$8:$AO$1039,$O$8:$O$1039,BA7,$AB$8:$AB$1039,AS8,$R$8:$R$1039,AR8)&lt;=C86)</f>
        <v/>
      </c>
      <c r="BB8">
        <f>AND(SUMIFS($AN$8:$AN$1039,$O$8:$O$1039,BB7,$AB$8:$AB$1039,AS8,$R$8:$R$1039,AR8)&lt;=C92,SUMIFS($AO$8:$AO$1039,$O$8:$O$1039,BB7,$AB$8:$AB$1039,AS8,$R$8:$R$1039,AR8)&lt;=C98)</f>
        <v/>
      </c>
    </row>
    <row r="9" ht="14.55" customHeight="1">
      <c r="B9" s="31" t="inlineStr">
        <is>
          <t>B</t>
        </is>
      </c>
      <c r="C9" s="43" t="n">
        <v>25</v>
      </c>
      <c r="D9" s="43" t="n">
        <v>30</v>
      </c>
      <c r="E9" s="43" t="n">
        <v>0</v>
      </c>
      <c r="O9" s="43" t="inlineStr">
        <is>
          <t>Q1’26</t>
        </is>
      </c>
      <c r="P9" s="43" t="n">
        <v>1</v>
      </c>
      <c r="Q9" s="43" t="n">
        <v>1</v>
      </c>
      <c r="R9" s="43" t="n">
        <v>2</v>
      </c>
      <c r="S9" s="45" t="n">
        <v>3958.796308965436</v>
      </c>
      <c r="T9">
        <f>(S8+S9+S10)=N2</f>
        <v/>
      </c>
      <c r="X9" s="84" t="n">
        <v>0</v>
      </c>
      <c r="Y9" s="83" t="n">
        <v>0</v>
      </c>
      <c r="AA9" s="84" t="n">
        <v>4</v>
      </c>
      <c r="AB9" s="84" t="inlineStr">
        <is>
          <t>D</t>
        </is>
      </c>
      <c r="AC9" s="84" t="inlineStr">
        <is>
          <t>D+</t>
        </is>
      </c>
      <c r="AD9" s="84" t="n">
        <v>14</v>
      </c>
      <c r="AE9" s="84" t="n">
        <v>12</v>
      </c>
      <c r="AF9" s="84" t="n">
        <v>0.8</v>
      </c>
      <c r="AG9" s="84" t="n">
        <v>0.88</v>
      </c>
      <c r="AH9" s="84" t="n">
        <v>0</v>
      </c>
      <c r="AI9" s="84" t="n">
        <v>0</v>
      </c>
      <c r="AJ9" s="84">
        <f>SUMIFS(AH$8:AH$1039,$O$8:$O$1039,O9,$AB$8:$AB$1039,AB9,$R$8:$R$1039,R9,$AA$8:$AA$1039,"&lt;="&amp;AA9)</f>
        <v/>
      </c>
      <c r="AK9" s="84">
        <f>D11</f>
        <v/>
      </c>
      <c r="AL9" s="84">
        <f>D17</f>
        <v/>
      </c>
      <c r="AM9" s="84">
        <f>MAX(0,AJ9-AK9)</f>
        <v/>
      </c>
      <c r="AN9" s="84">
        <f>IF(AM9=0,AH9,IF(AM9&gt;=AH9,0,AH9-AM9))</f>
        <v/>
      </c>
      <c r="AO9" s="84">
        <f>IF(AM9&gt;=AH9,AI9,AI9*AM9/AH9)</f>
        <v/>
      </c>
      <c r="AP9">
        <f t="array" ref="AP9">INDEX($AU$8:$BB$25,6*(R9-1)+MATCH(AB9,$AS$8:$AS$13,0),MATCH(O9,$AU$7:$BB$7,0))</f>
        <v/>
      </c>
      <c r="AR9" s="84" t="n">
        <v>1</v>
      </c>
      <c r="AS9" s="84" t="inlineStr">
        <is>
          <t>B</t>
        </is>
      </c>
      <c r="AT9" s="84" t="inlineStr">
        <is>
          <t>B+</t>
        </is>
      </c>
      <c r="AU9">
        <f>AND(SUMIFS($AN$8:$AN$1039,$O$8:$O$1039,AU7,$AB$8:$AB$1039,AS9,$R$8:$R$1039,AR9)&lt;=C9,SUMIFS($AO$8:$AO$1039,$O$8:$O$1039,AU7,$AB$8:$AB$1039,AS9,$R$8:$R$1039,AR9)&lt;=C15)</f>
        <v/>
      </c>
      <c r="AV9">
        <f>AND(SUMIFS($AN$8:$AN$1039,$O$8:$O$1039,AV7,$AB$8:$AB$1039,AS9,$R$8:$R$1039,AR9)&lt;=C21,SUMIFS($AO$8:$AO$1039,$O$8:$O$1039,AV7,$AB$8:$AB$1039,AS9,$R$8:$R$1039,AR9)&lt;=C27)</f>
        <v/>
      </c>
      <c r="AW9">
        <f>AND(SUMIFS($AN$8:$AN$1039,$O$8:$O$1039,AW7,$AB$8:$AB$1039,AS9,$R$8:$R$1039,AR9)&lt;=C33,SUMIFS($AO$8:$AO$1039,$O$8:$O$1039,AW7,$AB$8:$AB$1039,AS9,$R$8:$R$1039,AR9)&lt;=C39)</f>
        <v/>
      </c>
      <c r="AX9">
        <f>AND(SUMIFS($AN$8:$AN$1039,$O$8:$O$1039,AX7,$AB$8:$AB$1039,AS9,$R$8:$R$1039,AR9)&lt;=C45,SUMIFS($AO$8:$AO$1039,$O$8:$O$1039,AX7,$AB$8:$AB$1039,AS9,$R$8:$R$1039,AR9)&lt;=C51)</f>
        <v/>
      </c>
      <c r="AY9">
        <f>AND(SUMIFS($AN$8:$AN$1039,$O$8:$O$1039,AY7,$AB$8:$AB$1039,AS9,$R$8:$R$1039,AR9)&lt;=C57,SUMIFS($AO$8:$AO$1039,$O$8:$O$1039,AY7,$AB$8:$AB$1039,AS9,$R$8:$R$1039,AR9)&lt;=C63)</f>
        <v/>
      </c>
      <c r="AZ9">
        <f>AND(SUMIFS($AN$8:$AN$1039,$O$8:$O$1039,AZ7,$AB$8:$AB$1039,AS9,$R$8:$R$1039,AR9)&lt;=C69,SUMIFS($AO$8:$AO$1039,$O$8:$O$1039,AZ7,$AB$8:$AB$1039,AS9,$R$8:$R$1039,AR9)&lt;=C75)</f>
        <v/>
      </c>
      <c r="BA9">
        <f>AND(SUMIFS($AN$8:$AN$1039,$O$8:$O$1039,BA7,$AB$8:$AB$1039,AS9,$R$8:$R$1039,AR9)&lt;=C81,SUMIFS($AO$8:$AO$1039,$O$8:$O$1039,BA7,$AB$8:$AB$1039,AS9,$R$8:$R$1039,AR9)&lt;=C87)</f>
        <v/>
      </c>
      <c r="BB9">
        <f>AND(SUMIFS($AN$8:$AN$1039,$O$8:$O$1039,BB7,$AB$8:$AB$1039,AS9,$R$8:$R$1039,AR9)&lt;=C93,SUMIFS($AO$8:$AO$1039,$O$8:$O$1039,BB7,$AB$8:$AB$1039,AS9,$R$8:$R$1039,AR9)&lt;=C99)</f>
        <v/>
      </c>
    </row>
    <row r="10" ht="14.55" customHeight="1">
      <c r="B10" s="31" t="inlineStr">
        <is>
          <t>C</t>
        </is>
      </c>
      <c r="C10" s="43" t="n">
        <v>0</v>
      </c>
      <c r="D10" s="43" t="n">
        <v>0</v>
      </c>
      <c r="E10" s="43" t="n">
        <v>40</v>
      </c>
      <c r="O10" s="43" t="inlineStr">
        <is>
          <t>Q1’26</t>
        </is>
      </c>
      <c r="P10" s="43" t="n">
        <v>1</v>
      </c>
      <c r="Q10" s="43" t="n">
        <v>1</v>
      </c>
      <c r="R10" s="43" t="n">
        <v>3</v>
      </c>
      <c r="S10" s="45" t="n">
        <v>1124.849663283691</v>
      </c>
      <c r="T10">
        <f>(S8+S9+S10)=N2</f>
        <v/>
      </c>
      <c r="X10" s="84" t="n">
        <v>0</v>
      </c>
      <c r="Y10" s="83" t="n">
        <v>0</v>
      </c>
      <c r="AA10" s="84" t="n">
        <v>4</v>
      </c>
      <c r="AB10" s="84" t="inlineStr">
        <is>
          <t>D</t>
        </is>
      </c>
      <c r="AC10" s="84" t="inlineStr">
        <is>
          <t>D+</t>
        </is>
      </c>
      <c r="AD10" s="84" t="n">
        <v>14</v>
      </c>
      <c r="AE10" s="84" t="n">
        <v>12</v>
      </c>
      <c r="AF10" s="84" t="n">
        <v>0.8</v>
      </c>
      <c r="AG10" s="84" t="n">
        <v>0.88</v>
      </c>
      <c r="AH10" s="84" t="n">
        <v>0</v>
      </c>
      <c r="AI10" s="84" t="n">
        <v>0</v>
      </c>
      <c r="AJ10" s="84">
        <f>SUMIFS(AH$8:AH$1039,$O$8:$O$1039,O10,$AB$8:$AB$1039,AB10,$R$8:$R$1039,R10,$AA$8:$AA$1039,"&lt;="&amp;AA10)</f>
        <v/>
      </c>
      <c r="AK10" s="84">
        <f>E11</f>
        <v/>
      </c>
      <c r="AL10" s="84">
        <f>E17</f>
        <v/>
      </c>
      <c r="AM10" s="84">
        <f>MAX(0,AJ10-AK10)</f>
        <v/>
      </c>
      <c r="AN10" s="84">
        <f>IF(AM10=0,AH10,IF(AM10&gt;=AH10,0,AH10-AM10))</f>
        <v/>
      </c>
      <c r="AO10" s="84">
        <f>IF(AM10&gt;=AH10,AI10,AI10*AM10/AH10)</f>
        <v/>
      </c>
      <c r="AP10">
        <f t="array" ref="AP10">INDEX($AU$8:$BB$25,6*(R10-1)+MATCH(AB10,$AS$8:$AS$13,0),MATCH(O10,$AU$7:$BB$7,0))</f>
        <v/>
      </c>
      <c r="AR10" s="84" t="n">
        <v>1</v>
      </c>
      <c r="AS10" s="84" t="inlineStr">
        <is>
          <t>C</t>
        </is>
      </c>
      <c r="AT10" s="84" t="inlineStr">
        <is>
          <t>C+</t>
        </is>
      </c>
      <c r="AU10">
        <f>AND(SUMIFS($AN$8:$AN$1039,$O$8:$O$1039,AU7,$AB$8:$AB$1039,AS10,$R$8:$R$1039,AR10)&lt;=C10,SUMIFS($AO$8:$AO$1039,$O$8:$O$1039,AU7,$AB$8:$AB$1039,AS10,$R$8:$R$1039,AR10)&lt;=C16)</f>
        <v/>
      </c>
      <c r="AV10">
        <f>AND(SUMIFS($AN$8:$AN$1039,$O$8:$O$1039,AV7,$AB$8:$AB$1039,AS10,$R$8:$R$1039,AR10)&lt;=C22,SUMIFS($AO$8:$AO$1039,$O$8:$O$1039,AV7,$AB$8:$AB$1039,AS10,$R$8:$R$1039,AR10)&lt;=C28)</f>
        <v/>
      </c>
      <c r="AW10">
        <f>AND(SUMIFS($AN$8:$AN$1039,$O$8:$O$1039,AW7,$AB$8:$AB$1039,AS10,$R$8:$R$1039,AR10)&lt;=C34,SUMIFS($AO$8:$AO$1039,$O$8:$O$1039,AW7,$AB$8:$AB$1039,AS10,$R$8:$R$1039,AR10)&lt;=C40)</f>
        <v/>
      </c>
      <c r="AX10">
        <f>AND(SUMIFS($AN$8:$AN$1039,$O$8:$O$1039,AX7,$AB$8:$AB$1039,AS10,$R$8:$R$1039,AR10)&lt;=C46,SUMIFS($AO$8:$AO$1039,$O$8:$O$1039,AX7,$AB$8:$AB$1039,AS10,$R$8:$R$1039,AR10)&lt;=C52)</f>
        <v/>
      </c>
      <c r="AY10">
        <f>AND(SUMIFS($AN$8:$AN$1039,$O$8:$O$1039,AY7,$AB$8:$AB$1039,AS10,$R$8:$R$1039,AR10)&lt;=C58,SUMIFS($AO$8:$AO$1039,$O$8:$O$1039,AY7,$AB$8:$AB$1039,AS10,$R$8:$R$1039,AR10)&lt;=C64)</f>
        <v/>
      </c>
      <c r="AZ10">
        <f>AND(SUMIFS($AN$8:$AN$1039,$O$8:$O$1039,AZ7,$AB$8:$AB$1039,AS10,$R$8:$R$1039,AR10)&lt;=C70,SUMIFS($AO$8:$AO$1039,$O$8:$O$1039,AZ7,$AB$8:$AB$1039,AS10,$R$8:$R$1039,AR10)&lt;=C76)</f>
        <v/>
      </c>
      <c r="BA10">
        <f>AND(SUMIFS($AN$8:$AN$1039,$O$8:$O$1039,BA7,$AB$8:$AB$1039,AS10,$R$8:$R$1039,AR10)&lt;=C82,SUMIFS($AO$8:$AO$1039,$O$8:$O$1039,BA7,$AB$8:$AB$1039,AS10,$R$8:$R$1039,AR10)&lt;=C88)</f>
        <v/>
      </c>
      <c r="BB10">
        <f>AND(SUMIFS($AN$8:$AN$1039,$O$8:$O$1039,BB7,$AB$8:$AB$1039,AS10,$R$8:$R$1039,AR10)&lt;=C94,SUMIFS($AO$8:$AO$1039,$O$8:$O$1039,BB7,$AB$8:$AB$1039,AS10,$R$8:$R$1039,AR10)&lt;=C100)</f>
        <v/>
      </c>
    </row>
    <row r="11" ht="14.55" customHeight="1">
      <c r="B11" s="31" t="inlineStr">
        <is>
          <t>D</t>
        </is>
      </c>
      <c r="C11" s="43" t="n">
        <v>50</v>
      </c>
      <c r="D11" s="43" t="n">
        <v>50</v>
      </c>
      <c r="E11" s="43" t="n">
        <v>35</v>
      </c>
      <c r="O11" s="43" t="inlineStr">
        <is>
          <t>Q1’26</t>
        </is>
      </c>
      <c r="P11" s="43" t="n">
        <v>1</v>
      </c>
      <c r="Q11" s="43" t="n">
        <v>2</v>
      </c>
      <c r="R11" s="43" t="n">
        <v>1</v>
      </c>
      <c r="S11" s="45" t="n">
        <v>6916.354027750873</v>
      </c>
      <c r="T11">
        <f>(S11+S12+S13)=N2</f>
        <v/>
      </c>
      <c r="X11" s="84">
        <f>MAX(S8-S11,0)</f>
        <v/>
      </c>
      <c r="Y11" s="83" t="n">
        <v>0</v>
      </c>
      <c r="AA11" s="84" t="n">
        <v>10</v>
      </c>
      <c r="AB11" s="84" t="inlineStr">
        <is>
          <t>F</t>
        </is>
      </c>
      <c r="AC11" s="84" t="inlineStr">
        <is>
          <t>F+</t>
        </is>
      </c>
      <c r="AD11" s="84" t="n">
        <v>25</v>
      </c>
      <c r="AE11" s="84" t="n">
        <v>21</v>
      </c>
      <c r="AF11" s="84" t="n">
        <v>0.8</v>
      </c>
      <c r="AG11" s="84" t="n">
        <v>0.9</v>
      </c>
      <c r="AH11" s="84" t="n">
        <v>0</v>
      </c>
      <c r="AI11" s="84" t="n">
        <v>0</v>
      </c>
      <c r="AJ11" s="84">
        <f>SUMIFS(AH$8:AH$1039,$O$8:$O$1039,O11,$AB$8:$AB$1039,AB11,$R$8:$R$1039,R11,$AA$8:$AA$1039,"&lt;="&amp;AA11)</f>
        <v/>
      </c>
      <c r="AK11" s="84">
        <f>C13</f>
        <v/>
      </c>
      <c r="AL11" s="84">
        <f>C19</f>
        <v/>
      </c>
      <c r="AM11" s="84">
        <f>MAX(0,AJ11-AK11)</f>
        <v/>
      </c>
      <c r="AN11" s="84">
        <f>IF(AM11=0,AH11,IF(AM11&gt;=AH11,0,AH11-AM11))</f>
        <v/>
      </c>
      <c r="AO11" s="84">
        <f>IF(AM11&gt;=AH11,AI11,AI11*AM11/AH11)</f>
        <v/>
      </c>
      <c r="AP11">
        <f t="array" ref="AP11">INDEX($AU$8:$BB$25,6*(R11-1)+MATCH(AB11,$AS$8:$AS$13,0),MATCH(O11,$AU$7:$BB$7,0))</f>
        <v/>
      </c>
      <c r="AR11" s="84" t="n">
        <v>1</v>
      </c>
      <c r="AS11" s="84" t="inlineStr">
        <is>
          <t>D</t>
        </is>
      </c>
      <c r="AT11" s="84" t="inlineStr">
        <is>
          <t>D+</t>
        </is>
      </c>
      <c r="AU11">
        <f>AND(SUMIFS($AN$8:$AN$1039,$O$8:$O$1039,AU7,$AB$8:$AB$1039,AS11,$R$8:$R$1039,AR11)&lt;=C11,SUMIFS($AO$8:$AO$1039,$O$8:$O$1039,AU7,$AB$8:$AB$1039,AS11,$R$8:$R$1039,AR11)&lt;=C17)</f>
        <v/>
      </c>
      <c r="AV11">
        <f>AND(SUMIFS($AN$8:$AN$1039,$O$8:$O$1039,AV7,$AB$8:$AB$1039,AS11,$R$8:$R$1039,AR11)&lt;=C23,SUMIFS($AO$8:$AO$1039,$O$8:$O$1039,AV7,$AB$8:$AB$1039,AS11,$R$8:$R$1039,AR11)&lt;=C29)</f>
        <v/>
      </c>
      <c r="AW11">
        <f>AND(SUMIFS($AN$8:$AN$1039,$O$8:$O$1039,AW7,$AB$8:$AB$1039,AS11,$R$8:$R$1039,AR11)&lt;=C35,SUMIFS($AO$8:$AO$1039,$O$8:$O$1039,AW7,$AB$8:$AB$1039,AS11,$R$8:$R$1039,AR11)&lt;=C41)</f>
        <v/>
      </c>
      <c r="AX11">
        <f>AND(SUMIFS($AN$8:$AN$1039,$O$8:$O$1039,AX7,$AB$8:$AB$1039,AS11,$R$8:$R$1039,AR11)&lt;=C47,SUMIFS($AO$8:$AO$1039,$O$8:$O$1039,AX7,$AB$8:$AB$1039,AS11,$R$8:$R$1039,AR11)&lt;=C53)</f>
        <v/>
      </c>
      <c r="AY11">
        <f>AND(SUMIFS($AN$8:$AN$1039,$O$8:$O$1039,AY7,$AB$8:$AB$1039,AS11,$R$8:$R$1039,AR11)&lt;=C59,SUMIFS($AO$8:$AO$1039,$O$8:$O$1039,AY7,$AB$8:$AB$1039,AS11,$R$8:$R$1039,AR11)&lt;=C65)</f>
        <v/>
      </c>
      <c r="AZ11">
        <f>AND(SUMIFS($AN$8:$AN$1039,$O$8:$O$1039,AZ7,$AB$8:$AB$1039,AS11,$R$8:$R$1039,AR11)&lt;=C71,SUMIFS($AO$8:$AO$1039,$O$8:$O$1039,AZ7,$AB$8:$AB$1039,AS11,$R$8:$R$1039,AR11)&lt;=C77)</f>
        <v/>
      </c>
      <c r="BA11">
        <f>AND(SUMIFS($AN$8:$AN$1039,$O$8:$O$1039,BA7,$AB$8:$AB$1039,AS11,$R$8:$R$1039,AR11)&lt;=C83,SUMIFS($AO$8:$AO$1039,$O$8:$O$1039,BA7,$AB$8:$AB$1039,AS11,$R$8:$R$1039,AR11)&lt;=C89)</f>
        <v/>
      </c>
      <c r="BB11">
        <f>AND(SUMIFS($AN$8:$AN$1039,$O$8:$O$1039,BB7,$AB$8:$AB$1039,AS11,$R$8:$R$1039,AR11)&lt;=C95,SUMIFS($AO$8:$AO$1039,$O$8:$O$1039,BB7,$AB$8:$AB$1039,AS11,$R$8:$R$1039,AR11)&lt;=C101)</f>
        <v/>
      </c>
    </row>
    <row r="12" ht="14.55" customHeight="1">
      <c r="B12" s="31" t="inlineStr">
        <is>
          <t>E</t>
        </is>
      </c>
      <c r="C12" s="43" t="n">
        <v>40</v>
      </c>
      <c r="D12" s="43" t="n">
        <v>30</v>
      </c>
      <c r="E12" s="43" t="n">
        <v>16</v>
      </c>
      <c r="O12" s="43" t="inlineStr">
        <is>
          <t>Q1’26</t>
        </is>
      </c>
      <c r="P12" s="43" t="n">
        <v>1</v>
      </c>
      <c r="Q12" s="43" t="n">
        <v>2</v>
      </c>
      <c r="R12" s="43" t="n">
        <v>2</v>
      </c>
      <c r="S12" s="45" t="n">
        <v>3958.796308965436</v>
      </c>
      <c r="T12">
        <f>(S11+S12+S13)=N2</f>
        <v/>
      </c>
      <c r="X12" s="84">
        <f>MAX(S9-S12,0)</f>
        <v/>
      </c>
      <c r="Y12" s="83" t="n">
        <v>0</v>
      </c>
      <c r="AA12" s="84" t="n">
        <v>10</v>
      </c>
      <c r="AB12" s="84" t="inlineStr">
        <is>
          <t>F</t>
        </is>
      </c>
      <c r="AC12" s="84" t="inlineStr">
        <is>
          <t>F+</t>
        </is>
      </c>
      <c r="AD12" s="84" t="n">
        <v>25</v>
      </c>
      <c r="AE12" s="84" t="n">
        <v>21</v>
      </c>
      <c r="AF12" s="84" t="n">
        <v>0.8</v>
      </c>
      <c r="AG12" s="84" t="n">
        <v>0.9</v>
      </c>
      <c r="AH12" s="84" t="n">
        <v>0</v>
      </c>
      <c r="AI12" s="84" t="n">
        <v>0</v>
      </c>
      <c r="AJ12" s="84">
        <f>SUMIFS(AH$8:AH$1039,$O$8:$O$1039,O12,$AB$8:$AB$1039,AB12,$R$8:$R$1039,R12,$AA$8:$AA$1039,"&lt;="&amp;AA12)</f>
        <v/>
      </c>
      <c r="AK12" s="84">
        <f>D13</f>
        <v/>
      </c>
      <c r="AL12" s="84">
        <f>D19</f>
        <v/>
      </c>
      <c r="AM12" s="84">
        <f>MAX(0,AJ12-AK12)</f>
        <v/>
      </c>
      <c r="AN12" s="84">
        <f>IF(AM12=0,AH12,IF(AM12&gt;=AH12,0,AH12-AM12))</f>
        <v/>
      </c>
      <c r="AO12" s="84">
        <f>IF(AM12&gt;=AH12,AI12,AI12*AM12/AH12)</f>
        <v/>
      </c>
      <c r="AP12">
        <f t="array" ref="AP12">INDEX($AU$8:$BB$25,6*(R12-1)+MATCH(AB12,$AS$8:$AS$13,0),MATCH(O12,$AU$7:$BB$7,0))</f>
        <v/>
      </c>
      <c r="AR12" s="84" t="n">
        <v>1</v>
      </c>
      <c r="AS12" s="84" t="inlineStr">
        <is>
          <t>E</t>
        </is>
      </c>
      <c r="AT12" s="84" t="inlineStr">
        <is>
          <t>E+</t>
        </is>
      </c>
      <c r="AU12">
        <f>AND(SUMIFS($AN$8:$AN$1039,$O$8:$O$1039,AU7,$AB$8:$AB$1039,AS12,$R$8:$R$1039,AR12)&lt;=C12,SUMIFS($AO$8:$AO$1039,$O$8:$O$1039,AU7,$AB$8:$AB$1039,AS12,$R$8:$R$1039,AR12)&lt;=C18)</f>
        <v/>
      </c>
      <c r="AV12">
        <f>AND(SUMIFS($AN$8:$AN$1039,$O$8:$O$1039,AV7,$AB$8:$AB$1039,AS12,$R$8:$R$1039,AR12)&lt;=C24,SUMIFS($AO$8:$AO$1039,$O$8:$O$1039,AV7,$AB$8:$AB$1039,AS12,$R$8:$R$1039,AR12)&lt;=C30)</f>
        <v/>
      </c>
      <c r="AW12">
        <f>AND(SUMIFS($AN$8:$AN$1039,$O$8:$O$1039,AW7,$AB$8:$AB$1039,AS12,$R$8:$R$1039,AR12)&lt;=C36,SUMIFS($AO$8:$AO$1039,$O$8:$O$1039,AW7,$AB$8:$AB$1039,AS12,$R$8:$R$1039,AR12)&lt;=C42)</f>
        <v/>
      </c>
      <c r="AX12">
        <f>AND(SUMIFS($AN$8:$AN$1039,$O$8:$O$1039,AX7,$AB$8:$AB$1039,AS12,$R$8:$R$1039,AR12)&lt;=C48,SUMIFS($AO$8:$AO$1039,$O$8:$O$1039,AX7,$AB$8:$AB$1039,AS12,$R$8:$R$1039,AR12)&lt;=C54)</f>
        <v/>
      </c>
      <c r="AY12">
        <f>AND(SUMIFS($AN$8:$AN$1039,$O$8:$O$1039,AY7,$AB$8:$AB$1039,AS12,$R$8:$R$1039,AR12)&lt;=C60,SUMIFS($AO$8:$AO$1039,$O$8:$O$1039,AY7,$AB$8:$AB$1039,AS12,$R$8:$R$1039,AR12)&lt;=C66)</f>
        <v/>
      </c>
      <c r="AZ12">
        <f>AND(SUMIFS($AN$8:$AN$1039,$O$8:$O$1039,AZ7,$AB$8:$AB$1039,AS12,$R$8:$R$1039,AR12)&lt;=C72,SUMIFS($AO$8:$AO$1039,$O$8:$O$1039,AZ7,$AB$8:$AB$1039,AS12,$R$8:$R$1039,AR12)&lt;=C78)</f>
        <v/>
      </c>
      <c r="BA12">
        <f>AND(SUMIFS($AN$8:$AN$1039,$O$8:$O$1039,BA7,$AB$8:$AB$1039,AS12,$R$8:$R$1039,AR12)&lt;=C84,SUMIFS($AO$8:$AO$1039,$O$8:$O$1039,BA7,$AB$8:$AB$1039,AS12,$R$8:$R$1039,AR12)&lt;=C90)</f>
        <v/>
      </c>
      <c r="BB12">
        <f>AND(SUMIFS($AN$8:$AN$1039,$O$8:$O$1039,BB7,$AB$8:$AB$1039,AS12,$R$8:$R$1039,AR12)&lt;=C96,SUMIFS($AO$8:$AO$1039,$O$8:$O$1039,BB7,$AB$8:$AB$1039,AS12,$R$8:$R$1039,AR12)&lt;=C102)</f>
        <v/>
      </c>
    </row>
    <row r="13" ht="14.55" customHeight="1">
      <c r="B13" s="31" t="inlineStr">
        <is>
          <t>F</t>
        </is>
      </c>
      <c r="C13" s="43" t="n">
        <v>90</v>
      </c>
      <c r="D13" s="43" t="n">
        <v>60</v>
      </c>
      <c r="E13" s="43" t="n">
        <v>36</v>
      </c>
      <c r="O13" s="43" t="inlineStr">
        <is>
          <t>Q1’26</t>
        </is>
      </c>
      <c r="P13" s="43" t="n">
        <v>1</v>
      </c>
      <c r="Q13" s="43" t="n">
        <v>2</v>
      </c>
      <c r="R13" s="43" t="n">
        <v>3</v>
      </c>
      <c r="S13" s="45" t="n">
        <v>1124.849663283691</v>
      </c>
      <c r="T13">
        <f>(S11+S12+S13)=N2</f>
        <v/>
      </c>
      <c r="X13" s="84">
        <f>MAX(S10-S13,0)</f>
        <v/>
      </c>
      <c r="Y13" s="83" t="n">
        <v>0</v>
      </c>
      <c r="AA13" s="84" t="n">
        <v>10</v>
      </c>
      <c r="AB13" s="84" t="inlineStr">
        <is>
          <t>F</t>
        </is>
      </c>
      <c r="AC13" s="84" t="inlineStr">
        <is>
          <t>F+</t>
        </is>
      </c>
      <c r="AD13" s="84" t="n">
        <v>25</v>
      </c>
      <c r="AE13" s="84" t="n">
        <v>21</v>
      </c>
      <c r="AF13" s="84" t="n">
        <v>0.8</v>
      </c>
      <c r="AG13" s="84" t="n">
        <v>0.9</v>
      </c>
      <c r="AH13" s="84" t="n">
        <v>0</v>
      </c>
      <c r="AI13" s="84" t="n">
        <v>0</v>
      </c>
      <c r="AJ13" s="84">
        <f>SUMIFS(AH$8:AH$1039,$O$8:$O$1039,O13,$AB$8:$AB$1039,AB13,$R$8:$R$1039,R13,$AA$8:$AA$1039,"&lt;="&amp;AA13)</f>
        <v/>
      </c>
      <c r="AK13" s="84">
        <f>E13</f>
        <v/>
      </c>
      <c r="AL13" s="84">
        <f>E19</f>
        <v/>
      </c>
      <c r="AM13" s="84">
        <f>MAX(0,AJ13-AK13)</f>
        <v/>
      </c>
      <c r="AN13" s="84">
        <f>IF(AM13=0,AH13,IF(AM13&gt;=AH13,0,AH13-AM13))</f>
        <v/>
      </c>
      <c r="AO13" s="84">
        <f>IF(AM13&gt;=AH13,AI13,AI13*AM13/AH13)</f>
        <v/>
      </c>
      <c r="AP13">
        <f t="array" ref="AP13">INDEX($AU$8:$BB$25,6*(R13-1)+MATCH(AB13,$AS$8:$AS$13,0),MATCH(O13,$AU$7:$BB$7,0))</f>
        <v/>
      </c>
      <c r="AR13" s="84" t="n">
        <v>1</v>
      </c>
      <c r="AS13" s="84" t="inlineStr">
        <is>
          <t>F</t>
        </is>
      </c>
      <c r="AT13" s="84" t="inlineStr">
        <is>
          <t>F+</t>
        </is>
      </c>
      <c r="AU13">
        <f>AND(SUMIFS($AN$8:$AN$1039,$O$8:$O$1039,AU7,$AB$8:$AB$1039,AS13,$R$8:$R$1039,AR13)&lt;=C13,SUMIFS($AO$8:$AO$1039,$O$8:$O$1039,AU7,$AB$8:$AB$1039,AS13,$R$8:$R$1039,AR13)&lt;=C19)</f>
        <v/>
      </c>
      <c r="AV13">
        <f>AND(SUMIFS($AN$8:$AN$1039,$O$8:$O$1039,AV7,$AB$8:$AB$1039,AS13,$R$8:$R$1039,AR13)&lt;=C25,SUMIFS($AO$8:$AO$1039,$O$8:$O$1039,AV7,$AB$8:$AB$1039,AS13,$R$8:$R$1039,AR13)&lt;=C31)</f>
        <v/>
      </c>
      <c r="AW13">
        <f>AND(SUMIFS($AN$8:$AN$1039,$O$8:$O$1039,AW7,$AB$8:$AB$1039,AS13,$R$8:$R$1039,AR13)&lt;=C37,SUMIFS($AO$8:$AO$1039,$O$8:$O$1039,AW7,$AB$8:$AB$1039,AS13,$R$8:$R$1039,AR13)&lt;=C43)</f>
        <v/>
      </c>
      <c r="AX13">
        <f>AND(SUMIFS($AN$8:$AN$1039,$O$8:$O$1039,AX7,$AB$8:$AB$1039,AS13,$R$8:$R$1039,AR13)&lt;=C49,SUMIFS($AO$8:$AO$1039,$O$8:$O$1039,AX7,$AB$8:$AB$1039,AS13,$R$8:$R$1039,AR13)&lt;=C55)</f>
        <v/>
      </c>
      <c r="AY13">
        <f>AND(SUMIFS($AN$8:$AN$1039,$O$8:$O$1039,AY7,$AB$8:$AB$1039,AS13,$R$8:$R$1039,AR13)&lt;=C61,SUMIFS($AO$8:$AO$1039,$O$8:$O$1039,AY7,$AB$8:$AB$1039,AS13,$R$8:$R$1039,AR13)&lt;=C67)</f>
        <v/>
      </c>
      <c r="AZ13">
        <f>AND(SUMIFS($AN$8:$AN$1039,$O$8:$O$1039,AZ7,$AB$8:$AB$1039,AS13,$R$8:$R$1039,AR13)&lt;=C73,SUMIFS($AO$8:$AO$1039,$O$8:$O$1039,AZ7,$AB$8:$AB$1039,AS13,$R$8:$R$1039,AR13)&lt;=C79)</f>
        <v/>
      </c>
      <c r="BA13">
        <f>AND(SUMIFS($AN$8:$AN$1039,$O$8:$O$1039,BA7,$AB$8:$AB$1039,AS13,$R$8:$R$1039,AR13)&lt;=C85,SUMIFS($AO$8:$AO$1039,$O$8:$O$1039,BA7,$AB$8:$AB$1039,AS13,$R$8:$R$1039,AR13)&lt;=C91)</f>
        <v/>
      </c>
      <c r="BB13">
        <f>AND(SUMIFS($AN$8:$AN$1039,$O$8:$O$1039,BB7,$AB$8:$AB$1039,AS13,$R$8:$R$1039,AR13)&lt;=C97,SUMIFS($AO$8:$AO$1039,$O$8:$O$1039,BB7,$AB$8:$AB$1039,AS13,$R$8:$R$1039,AR13)&lt;=C103)</f>
        <v/>
      </c>
    </row>
    <row r="14" ht="14.55" customHeight="1">
      <c r="B14" s="31" t="inlineStr">
        <is>
          <t>A+</t>
        </is>
      </c>
      <c r="C14" s="43" t="n">
        <v>0</v>
      </c>
      <c r="D14" s="43" t="n">
        <v>0</v>
      </c>
      <c r="E14" s="43" t="n">
        <v>5</v>
      </c>
      <c r="O14" s="43" t="inlineStr">
        <is>
          <t>Q1’26</t>
        </is>
      </c>
      <c r="P14" s="43" t="n">
        <v>1</v>
      </c>
      <c r="Q14" s="43" t="n">
        <v>3</v>
      </c>
      <c r="R14" s="43" t="n">
        <v>1</v>
      </c>
      <c r="S14" s="45" t="n">
        <v>6916.354027750873</v>
      </c>
      <c r="T14">
        <f>(S14+S15+S16)=N2</f>
        <v/>
      </c>
      <c r="X14" s="84">
        <f>MAX(S11-S14,0)</f>
        <v/>
      </c>
      <c r="Y14" s="83" t="n">
        <v>0</v>
      </c>
      <c r="AA14" s="84" t="n">
        <v>8</v>
      </c>
      <c r="AB14" s="84" t="inlineStr">
        <is>
          <t>F</t>
        </is>
      </c>
      <c r="AC14" s="84" t="inlineStr">
        <is>
          <t>F+</t>
        </is>
      </c>
      <c r="AD14" s="84" t="n">
        <v>27</v>
      </c>
      <c r="AE14" s="84" t="n">
        <v>23</v>
      </c>
      <c r="AF14" s="84" t="n">
        <v>0.8</v>
      </c>
      <c r="AG14" s="84" t="n">
        <v>0.9</v>
      </c>
      <c r="AH14" s="84" t="n">
        <v>0</v>
      </c>
      <c r="AI14" s="84" t="n">
        <v>0</v>
      </c>
      <c r="AJ14" s="84">
        <f>SUMIFS(AH$8:AH$1039,$O$8:$O$1039,O14,$AB$8:$AB$1039,AB14,$R$8:$R$1039,R14,$AA$8:$AA$1039,"&lt;="&amp;AA14)</f>
        <v/>
      </c>
      <c r="AK14" s="84">
        <f>C13</f>
        <v/>
      </c>
      <c r="AL14" s="84">
        <f>C19</f>
        <v/>
      </c>
      <c r="AM14" s="84">
        <f>MAX(0,AJ14-AK14)</f>
        <v/>
      </c>
      <c r="AN14" s="84">
        <f>IF(AM14=0,AH14,IF(AM14&gt;=AH14,0,AH14-AM14))</f>
        <v/>
      </c>
      <c r="AO14" s="84">
        <f>IF(AM14&gt;=AH14,AI14,AI14*AM14/AH14)</f>
        <v/>
      </c>
      <c r="AP14">
        <f t="array" ref="AP14">INDEX($AU$8:$BB$25,6*(R14-1)+MATCH(AB14,$AS$8:$AS$13,0),MATCH(O14,$AU$7:$BB$7,0))</f>
        <v/>
      </c>
      <c r="AR14" s="84" t="n">
        <v>2</v>
      </c>
      <c r="AS14" s="84" t="inlineStr">
        <is>
          <t>A</t>
        </is>
      </c>
      <c r="AT14" s="84" t="inlineStr">
        <is>
          <t>A+</t>
        </is>
      </c>
      <c r="AU14">
        <f>AND(SUMIFS($AN$8:$AN$1039,$O$8:$O$1039,AU7,$AB$8:$AB$1039,AS14,$R$8:$R$1039,AR14)&lt;=D8,SUMIFS($AO$8:$AO$1039,$O$8:$O$1039,AU7,$AB$8:$AB$1039,AS14,$R$8:$R$1039,AR14)&lt;=D14)</f>
        <v/>
      </c>
      <c r="AV14">
        <f>AND(SUMIFS($AN$8:$AN$1039,$O$8:$O$1039,AV7,$AB$8:$AB$1039,AS14,$R$8:$R$1039,AR14)&lt;=D20,SUMIFS($AO$8:$AO$1039,$O$8:$O$1039,AV7,$AB$8:$AB$1039,AS14,$R$8:$R$1039,AR14)&lt;=D26)</f>
        <v/>
      </c>
      <c r="AW14">
        <f>AND(SUMIFS($AN$8:$AN$1039,$O$8:$O$1039,AW7,$AB$8:$AB$1039,AS14,$R$8:$R$1039,AR14)&lt;=D32,SUMIFS($AO$8:$AO$1039,$O$8:$O$1039,AW7,$AB$8:$AB$1039,AS14,$R$8:$R$1039,AR14)&lt;=D38)</f>
        <v/>
      </c>
      <c r="AX14">
        <f>AND(SUMIFS($AN$8:$AN$1039,$O$8:$O$1039,AX7,$AB$8:$AB$1039,AS14,$R$8:$R$1039,AR14)&lt;=D44,SUMIFS($AO$8:$AO$1039,$O$8:$O$1039,AX7,$AB$8:$AB$1039,AS14,$R$8:$R$1039,AR14)&lt;=D50)</f>
        <v/>
      </c>
      <c r="AY14">
        <f>AND(SUMIFS($AN$8:$AN$1039,$O$8:$O$1039,AY7,$AB$8:$AB$1039,AS14,$R$8:$R$1039,AR14)&lt;=D56,SUMIFS($AO$8:$AO$1039,$O$8:$O$1039,AY7,$AB$8:$AB$1039,AS14,$R$8:$R$1039,AR14)&lt;=D62)</f>
        <v/>
      </c>
      <c r="AZ14">
        <f>AND(SUMIFS($AN$8:$AN$1039,$O$8:$O$1039,AZ7,$AB$8:$AB$1039,AS14,$R$8:$R$1039,AR14)&lt;=D68,SUMIFS($AO$8:$AO$1039,$O$8:$O$1039,AZ7,$AB$8:$AB$1039,AS14,$R$8:$R$1039,AR14)&lt;=D74)</f>
        <v/>
      </c>
      <c r="BA14">
        <f>AND(SUMIFS($AN$8:$AN$1039,$O$8:$O$1039,BA7,$AB$8:$AB$1039,AS14,$R$8:$R$1039,AR14)&lt;=D80,SUMIFS($AO$8:$AO$1039,$O$8:$O$1039,BA7,$AB$8:$AB$1039,AS14,$R$8:$R$1039,AR14)&lt;=D86)</f>
        <v/>
      </c>
      <c r="BB14">
        <f>AND(SUMIFS($AN$8:$AN$1039,$O$8:$O$1039,BB7,$AB$8:$AB$1039,AS14,$R$8:$R$1039,AR14)&lt;=D92,SUMIFS($AO$8:$AO$1039,$O$8:$O$1039,BB7,$AB$8:$AB$1039,AS14,$R$8:$R$1039,AR14)&lt;=D98)</f>
        <v/>
      </c>
    </row>
    <row r="15" ht="14.55" customHeight="1">
      <c r="B15" s="31" t="inlineStr">
        <is>
          <t>B+</t>
        </is>
      </c>
      <c r="C15" s="43" t="n">
        <v>9</v>
      </c>
      <c r="D15" s="43" t="n">
        <v>0</v>
      </c>
      <c r="E15" s="43" t="n">
        <v>0</v>
      </c>
      <c r="O15" s="43" t="inlineStr">
        <is>
          <t>Q1’26</t>
        </is>
      </c>
      <c r="P15" s="43" t="n">
        <v>1</v>
      </c>
      <c r="Q15" s="43" t="n">
        <v>3</v>
      </c>
      <c r="R15" s="43" t="n">
        <v>2</v>
      </c>
      <c r="S15" s="45" t="n">
        <v>3958.796308965436</v>
      </c>
      <c r="T15">
        <f>(S14+S15+S16)=N2</f>
        <v/>
      </c>
      <c r="X15" s="84">
        <f>MAX(S12-S15,0)</f>
        <v/>
      </c>
      <c r="Y15" s="83" t="n">
        <v>0</v>
      </c>
      <c r="AA15" s="84" t="n">
        <v>8</v>
      </c>
      <c r="AB15" s="84" t="inlineStr">
        <is>
          <t>F</t>
        </is>
      </c>
      <c r="AC15" s="84" t="inlineStr">
        <is>
          <t>F+</t>
        </is>
      </c>
      <c r="AD15" s="84" t="n">
        <v>27</v>
      </c>
      <c r="AE15" s="84" t="n">
        <v>23</v>
      </c>
      <c r="AF15" s="84" t="n">
        <v>0.8</v>
      </c>
      <c r="AG15" s="84" t="n">
        <v>0.9</v>
      </c>
      <c r="AH15" s="84" t="n">
        <v>0</v>
      </c>
      <c r="AI15" s="84" t="n">
        <v>0</v>
      </c>
      <c r="AJ15" s="84">
        <f>SUMIFS(AH$8:AH$1039,$O$8:$O$1039,O15,$AB$8:$AB$1039,AB15,$R$8:$R$1039,R15,$AA$8:$AA$1039,"&lt;="&amp;AA15)</f>
        <v/>
      </c>
      <c r="AK15" s="84">
        <f>D13</f>
        <v/>
      </c>
      <c r="AL15" s="84">
        <f>D19</f>
        <v/>
      </c>
      <c r="AM15" s="84">
        <f>MAX(0,AJ15-AK15)</f>
        <v/>
      </c>
      <c r="AN15" s="84">
        <f>IF(AM15=0,AH15,IF(AM15&gt;=AH15,0,AH15-AM15))</f>
        <v/>
      </c>
      <c r="AO15" s="84">
        <f>IF(AM15&gt;=AH15,AI15,AI15*AM15/AH15)</f>
        <v/>
      </c>
      <c r="AP15">
        <f t="array" ref="AP15">INDEX($AU$8:$BB$25,6*(R15-1)+MATCH(AB15,$AS$8:$AS$13,0),MATCH(O15,$AU$7:$BB$7,0))</f>
        <v/>
      </c>
      <c r="AR15" s="84" t="n">
        <v>2</v>
      </c>
      <c r="AS15" s="84" t="inlineStr">
        <is>
          <t>B</t>
        </is>
      </c>
      <c r="AT15" s="84" t="inlineStr">
        <is>
          <t>B+</t>
        </is>
      </c>
      <c r="AU15">
        <f>AND(SUMIFS($AN$8:$AN$1039,$O$8:$O$1039,AU7,$AB$8:$AB$1039,AS15,$R$8:$R$1039,AR15)&lt;=D9,SUMIFS($AO$8:$AO$1039,$O$8:$O$1039,AU7,$AB$8:$AB$1039,AS15,$R$8:$R$1039,AR15)&lt;=D15)</f>
        <v/>
      </c>
      <c r="AV15">
        <f>AND(SUMIFS($AN$8:$AN$1039,$O$8:$O$1039,AV7,$AB$8:$AB$1039,AS15,$R$8:$R$1039,AR15)&lt;=D21,SUMIFS($AO$8:$AO$1039,$O$8:$O$1039,AV7,$AB$8:$AB$1039,AS15,$R$8:$R$1039,AR15)&lt;=D27)</f>
        <v/>
      </c>
      <c r="AW15">
        <f>AND(SUMIFS($AN$8:$AN$1039,$O$8:$O$1039,AW7,$AB$8:$AB$1039,AS15,$R$8:$R$1039,AR15)&lt;=D33,SUMIFS($AO$8:$AO$1039,$O$8:$O$1039,AW7,$AB$8:$AB$1039,AS15,$R$8:$R$1039,AR15)&lt;=D39)</f>
        <v/>
      </c>
      <c r="AX15">
        <f>AND(SUMIFS($AN$8:$AN$1039,$O$8:$O$1039,AX7,$AB$8:$AB$1039,AS15,$R$8:$R$1039,AR15)&lt;=D45,SUMIFS($AO$8:$AO$1039,$O$8:$O$1039,AX7,$AB$8:$AB$1039,AS15,$R$8:$R$1039,AR15)&lt;=D51)</f>
        <v/>
      </c>
      <c r="AY15">
        <f>AND(SUMIFS($AN$8:$AN$1039,$O$8:$O$1039,AY7,$AB$8:$AB$1039,AS15,$R$8:$R$1039,AR15)&lt;=D57,SUMIFS($AO$8:$AO$1039,$O$8:$O$1039,AY7,$AB$8:$AB$1039,AS15,$R$8:$R$1039,AR15)&lt;=D63)</f>
        <v/>
      </c>
      <c r="AZ15">
        <f>AND(SUMIFS($AN$8:$AN$1039,$O$8:$O$1039,AZ7,$AB$8:$AB$1039,AS15,$R$8:$R$1039,AR15)&lt;=D69,SUMIFS($AO$8:$AO$1039,$O$8:$O$1039,AZ7,$AB$8:$AB$1039,AS15,$R$8:$R$1039,AR15)&lt;=D75)</f>
        <v/>
      </c>
      <c r="BA15">
        <f>AND(SUMIFS($AN$8:$AN$1039,$O$8:$O$1039,BA7,$AB$8:$AB$1039,AS15,$R$8:$R$1039,AR15)&lt;=D81,SUMIFS($AO$8:$AO$1039,$O$8:$O$1039,BA7,$AB$8:$AB$1039,AS15,$R$8:$R$1039,AR15)&lt;=D87)</f>
        <v/>
      </c>
      <c r="BB15">
        <f>AND(SUMIFS($AN$8:$AN$1039,$O$8:$O$1039,BB7,$AB$8:$AB$1039,AS15,$R$8:$R$1039,AR15)&lt;=D93,SUMIFS($AO$8:$AO$1039,$O$8:$O$1039,BB7,$AB$8:$AB$1039,AS15,$R$8:$R$1039,AR15)&lt;=D99)</f>
        <v/>
      </c>
    </row>
    <row r="16" ht="14.55" customHeight="1">
      <c r="B16" s="31" t="inlineStr">
        <is>
          <t>C+</t>
        </is>
      </c>
      <c r="C16" s="43" t="n">
        <v>0</v>
      </c>
      <c r="D16" s="43" t="n">
        <v>30</v>
      </c>
      <c r="E16" s="43" t="n">
        <v>0</v>
      </c>
      <c r="O16" s="43" t="inlineStr">
        <is>
          <t>Q1’26</t>
        </is>
      </c>
      <c r="P16" s="43" t="n">
        <v>1</v>
      </c>
      <c r="Q16" s="43" t="n">
        <v>3</v>
      </c>
      <c r="R16" s="43" t="n">
        <v>3</v>
      </c>
      <c r="S16" s="45" t="n">
        <v>1124.849663283691</v>
      </c>
      <c r="T16">
        <f>(S14+S15+S16)=N2</f>
        <v/>
      </c>
      <c r="X16" s="84">
        <f>MAX(S13-S16,0)</f>
        <v/>
      </c>
      <c r="Y16" s="83" t="n">
        <v>0</v>
      </c>
      <c r="AA16" s="84" t="n">
        <v>8</v>
      </c>
      <c r="AB16" s="84" t="inlineStr">
        <is>
          <t>F</t>
        </is>
      </c>
      <c r="AC16" s="84" t="inlineStr">
        <is>
          <t>F+</t>
        </is>
      </c>
      <c r="AD16" s="84" t="n">
        <v>27</v>
      </c>
      <c r="AE16" s="84" t="n">
        <v>23</v>
      </c>
      <c r="AF16" s="84" t="n">
        <v>0.8</v>
      </c>
      <c r="AG16" s="84" t="n">
        <v>0.9</v>
      </c>
      <c r="AH16" s="84" t="n">
        <v>0</v>
      </c>
      <c r="AI16" s="84" t="n">
        <v>0</v>
      </c>
      <c r="AJ16" s="84">
        <f>SUMIFS(AH$8:AH$1039,$O$8:$O$1039,O16,$AB$8:$AB$1039,AB16,$R$8:$R$1039,R16,$AA$8:$AA$1039,"&lt;="&amp;AA16)</f>
        <v/>
      </c>
      <c r="AK16" s="84">
        <f>E13</f>
        <v/>
      </c>
      <c r="AL16" s="84">
        <f>E19</f>
        <v/>
      </c>
      <c r="AM16" s="84">
        <f>MAX(0,AJ16-AK16)</f>
        <v/>
      </c>
      <c r="AN16" s="84">
        <f>IF(AM16=0,AH16,IF(AM16&gt;=AH16,0,AH16-AM16))</f>
        <v/>
      </c>
      <c r="AO16" s="84">
        <f>IF(AM16&gt;=AH16,AI16,AI16*AM16/AH16)</f>
        <v/>
      </c>
      <c r="AP16">
        <f t="array" ref="AP16">INDEX($AU$8:$BB$25,6*(R16-1)+MATCH(AB16,$AS$8:$AS$13,0),MATCH(O16,$AU$7:$BB$7,0))</f>
        <v/>
      </c>
      <c r="AR16" s="84" t="n">
        <v>2</v>
      </c>
      <c r="AS16" s="84" t="inlineStr">
        <is>
          <t>C</t>
        </is>
      </c>
      <c r="AT16" s="84" t="inlineStr">
        <is>
          <t>C+</t>
        </is>
      </c>
      <c r="AU16">
        <f>AND(SUMIFS($AN$8:$AN$1039,$O$8:$O$1039,AU7,$AB$8:$AB$1039,AS16,$R$8:$R$1039,AR16)&lt;=D10,SUMIFS($AO$8:$AO$1039,$O$8:$O$1039,AU7,$AB$8:$AB$1039,AS16,$R$8:$R$1039,AR16)&lt;=D16)</f>
        <v/>
      </c>
      <c r="AV16">
        <f>AND(SUMIFS($AN$8:$AN$1039,$O$8:$O$1039,AV7,$AB$8:$AB$1039,AS16,$R$8:$R$1039,AR16)&lt;=D22,SUMIFS($AO$8:$AO$1039,$O$8:$O$1039,AV7,$AB$8:$AB$1039,AS16,$R$8:$R$1039,AR16)&lt;=D28)</f>
        <v/>
      </c>
      <c r="AW16">
        <f>AND(SUMIFS($AN$8:$AN$1039,$O$8:$O$1039,AW7,$AB$8:$AB$1039,AS16,$R$8:$R$1039,AR16)&lt;=D34,SUMIFS($AO$8:$AO$1039,$O$8:$O$1039,AW7,$AB$8:$AB$1039,AS16,$R$8:$R$1039,AR16)&lt;=D40)</f>
        <v/>
      </c>
      <c r="AX16">
        <f>AND(SUMIFS($AN$8:$AN$1039,$O$8:$O$1039,AX7,$AB$8:$AB$1039,AS16,$R$8:$R$1039,AR16)&lt;=D46,SUMIFS($AO$8:$AO$1039,$O$8:$O$1039,AX7,$AB$8:$AB$1039,AS16,$R$8:$R$1039,AR16)&lt;=D52)</f>
        <v/>
      </c>
      <c r="AY16">
        <f>AND(SUMIFS($AN$8:$AN$1039,$O$8:$O$1039,AY7,$AB$8:$AB$1039,AS16,$R$8:$R$1039,AR16)&lt;=D58,SUMIFS($AO$8:$AO$1039,$O$8:$O$1039,AY7,$AB$8:$AB$1039,AS16,$R$8:$R$1039,AR16)&lt;=D64)</f>
        <v/>
      </c>
      <c r="AZ16">
        <f>AND(SUMIFS($AN$8:$AN$1039,$O$8:$O$1039,AZ7,$AB$8:$AB$1039,AS16,$R$8:$R$1039,AR16)&lt;=D70,SUMIFS($AO$8:$AO$1039,$O$8:$O$1039,AZ7,$AB$8:$AB$1039,AS16,$R$8:$R$1039,AR16)&lt;=D76)</f>
        <v/>
      </c>
      <c r="BA16">
        <f>AND(SUMIFS($AN$8:$AN$1039,$O$8:$O$1039,BA7,$AB$8:$AB$1039,AS16,$R$8:$R$1039,AR16)&lt;=D82,SUMIFS($AO$8:$AO$1039,$O$8:$O$1039,BA7,$AB$8:$AB$1039,AS16,$R$8:$R$1039,AR16)&lt;=D88)</f>
        <v/>
      </c>
      <c r="BB16">
        <f>AND(SUMIFS($AN$8:$AN$1039,$O$8:$O$1039,BB7,$AB$8:$AB$1039,AS16,$R$8:$R$1039,AR16)&lt;=D94,SUMIFS($AO$8:$AO$1039,$O$8:$O$1039,BB7,$AB$8:$AB$1039,AS16,$R$8:$R$1039,AR16)&lt;=D100)</f>
        <v/>
      </c>
    </row>
    <row r="17" ht="14.55" customHeight="1">
      <c r="B17" s="31" t="inlineStr">
        <is>
          <t>D+</t>
        </is>
      </c>
      <c r="C17" s="43" t="n">
        <v>16</v>
      </c>
      <c r="D17" s="43" t="n">
        <v>0</v>
      </c>
      <c r="E17" s="43" t="n">
        <v>0</v>
      </c>
      <c r="O17" s="43" t="inlineStr">
        <is>
          <t>Q1’26</t>
        </is>
      </c>
      <c r="P17" s="43" t="n">
        <v>1</v>
      </c>
      <c r="Q17" s="43" t="n">
        <v>4</v>
      </c>
      <c r="R17" s="43" t="n">
        <v>1</v>
      </c>
      <c r="S17" s="45" t="n">
        <v>6916.354027750873</v>
      </c>
      <c r="T17">
        <f>(S17+S18+S19)=N2</f>
        <v/>
      </c>
      <c r="X17" s="84">
        <f>MAX(S14-S17,0)</f>
        <v/>
      </c>
      <c r="Y17" s="83" t="n">
        <v>0</v>
      </c>
      <c r="AA17" s="84" t="n">
        <v>3</v>
      </c>
      <c r="AB17" s="84" t="inlineStr">
        <is>
          <t>A</t>
        </is>
      </c>
      <c r="AC17" s="84" t="inlineStr">
        <is>
          <t>A+</t>
        </is>
      </c>
      <c r="AD17" s="84" t="n">
        <v>20</v>
      </c>
      <c r="AE17" s="84" t="n">
        <v>16</v>
      </c>
      <c r="AF17" s="84" t="n">
        <v>0.78</v>
      </c>
      <c r="AG17" s="84" t="n">
        <v>0.84</v>
      </c>
      <c r="AH17" s="84" t="n">
        <v>0</v>
      </c>
      <c r="AI17" s="84" t="n">
        <v>0</v>
      </c>
      <c r="AJ17" s="84">
        <f>SUMIFS(AH$8:AH$1039,$O$8:$O$1039,O17,$AB$8:$AB$1039,AB17,$R$8:$R$1039,R17,$AA$8:$AA$1039,"&lt;="&amp;AA17)</f>
        <v/>
      </c>
      <c r="AK17" s="84">
        <f>C8</f>
        <v/>
      </c>
      <c r="AL17" s="84">
        <f>C14</f>
        <v/>
      </c>
      <c r="AM17" s="84">
        <f>MAX(0,AJ17-AK17)</f>
        <v/>
      </c>
      <c r="AN17" s="84">
        <f>IF(AM17=0,AH17,IF(AM17&gt;=AH17,0,AH17-AM17))</f>
        <v/>
      </c>
      <c r="AO17" s="84">
        <f>IF(AM17&gt;=AH17,AI17,AI17*AM17/AH17)</f>
        <v/>
      </c>
      <c r="AP17">
        <f t="array" ref="AP17">INDEX($AU$8:$BB$25,6*(R17-1)+MATCH(AB17,$AS$8:$AS$13,0),MATCH(O17,$AU$7:$BB$7,0))</f>
        <v/>
      </c>
      <c r="AR17" s="84" t="n">
        <v>2</v>
      </c>
      <c r="AS17" s="84" t="inlineStr">
        <is>
          <t>D</t>
        </is>
      </c>
      <c r="AT17" s="84" t="inlineStr">
        <is>
          <t>D+</t>
        </is>
      </c>
      <c r="AU17">
        <f>AND(SUMIFS($AN$8:$AN$1039,$O$8:$O$1039,AU7,$AB$8:$AB$1039,AS17,$R$8:$R$1039,AR17)&lt;=D11,SUMIFS($AO$8:$AO$1039,$O$8:$O$1039,AU7,$AB$8:$AB$1039,AS17,$R$8:$R$1039,AR17)&lt;=D17)</f>
        <v/>
      </c>
      <c r="AV17">
        <f>AND(SUMIFS($AN$8:$AN$1039,$O$8:$O$1039,AV7,$AB$8:$AB$1039,AS17,$R$8:$R$1039,AR17)&lt;=D23,SUMIFS($AO$8:$AO$1039,$O$8:$O$1039,AV7,$AB$8:$AB$1039,AS17,$R$8:$R$1039,AR17)&lt;=D29)</f>
        <v/>
      </c>
      <c r="AW17">
        <f>AND(SUMIFS($AN$8:$AN$1039,$O$8:$O$1039,AW7,$AB$8:$AB$1039,AS17,$R$8:$R$1039,AR17)&lt;=D35,SUMIFS($AO$8:$AO$1039,$O$8:$O$1039,AW7,$AB$8:$AB$1039,AS17,$R$8:$R$1039,AR17)&lt;=D41)</f>
        <v/>
      </c>
      <c r="AX17">
        <f>AND(SUMIFS($AN$8:$AN$1039,$O$8:$O$1039,AX7,$AB$8:$AB$1039,AS17,$R$8:$R$1039,AR17)&lt;=D47,SUMIFS($AO$8:$AO$1039,$O$8:$O$1039,AX7,$AB$8:$AB$1039,AS17,$R$8:$R$1039,AR17)&lt;=D53)</f>
        <v/>
      </c>
      <c r="AY17">
        <f>AND(SUMIFS($AN$8:$AN$1039,$O$8:$O$1039,AY7,$AB$8:$AB$1039,AS17,$R$8:$R$1039,AR17)&lt;=D59,SUMIFS($AO$8:$AO$1039,$O$8:$O$1039,AY7,$AB$8:$AB$1039,AS17,$R$8:$R$1039,AR17)&lt;=D65)</f>
        <v/>
      </c>
      <c r="AZ17">
        <f>AND(SUMIFS($AN$8:$AN$1039,$O$8:$O$1039,AZ7,$AB$8:$AB$1039,AS17,$R$8:$R$1039,AR17)&lt;=D71,SUMIFS($AO$8:$AO$1039,$O$8:$O$1039,AZ7,$AB$8:$AB$1039,AS17,$R$8:$R$1039,AR17)&lt;=D77)</f>
        <v/>
      </c>
      <c r="BA17">
        <f>AND(SUMIFS($AN$8:$AN$1039,$O$8:$O$1039,BA7,$AB$8:$AB$1039,AS17,$R$8:$R$1039,AR17)&lt;=D83,SUMIFS($AO$8:$AO$1039,$O$8:$O$1039,BA7,$AB$8:$AB$1039,AS17,$R$8:$R$1039,AR17)&lt;=D89)</f>
        <v/>
      </c>
      <c r="BB17">
        <f>AND(SUMIFS($AN$8:$AN$1039,$O$8:$O$1039,BB7,$AB$8:$AB$1039,AS17,$R$8:$R$1039,AR17)&lt;=D95,SUMIFS($AO$8:$AO$1039,$O$8:$O$1039,BB7,$AB$8:$AB$1039,AS17,$R$8:$R$1039,AR17)&lt;=D101)</f>
        <v/>
      </c>
    </row>
    <row r="18" ht="14.55" customHeight="1">
      <c r="B18" s="31" t="inlineStr">
        <is>
          <t>E+</t>
        </is>
      </c>
      <c r="C18" s="43" t="n">
        <v>0</v>
      </c>
      <c r="D18" s="43" t="n">
        <v>0</v>
      </c>
      <c r="E18" s="43" t="n">
        <v>6</v>
      </c>
      <c r="O18" s="43" t="inlineStr">
        <is>
          <t>Q1’26</t>
        </is>
      </c>
      <c r="P18" s="43" t="n">
        <v>1</v>
      </c>
      <c r="Q18" s="43" t="n">
        <v>4</v>
      </c>
      <c r="R18" s="43" t="n">
        <v>2</v>
      </c>
      <c r="S18" s="45" t="n">
        <v>4142.845972249126</v>
      </c>
      <c r="T18">
        <f>(S17+S18+S19)=N2</f>
        <v/>
      </c>
      <c r="X18" s="84">
        <f>MAX(S15-S18,0)</f>
        <v/>
      </c>
      <c r="Y18" s="83" t="n">
        <v>0</v>
      </c>
      <c r="AA18" s="84" t="n">
        <v>3</v>
      </c>
      <c r="AB18" s="84" t="inlineStr">
        <is>
          <t>A</t>
        </is>
      </c>
      <c r="AC18" s="84" t="inlineStr">
        <is>
          <t>A+</t>
        </is>
      </c>
      <c r="AD18" s="84" t="n">
        <v>20</v>
      </c>
      <c r="AE18" s="84" t="n">
        <v>16</v>
      </c>
      <c r="AF18" s="84" t="n">
        <v>0.78</v>
      </c>
      <c r="AG18" s="84" t="n">
        <v>0.84</v>
      </c>
      <c r="AH18" s="84" t="n">
        <v>0</v>
      </c>
      <c r="AI18" s="84" t="n">
        <v>0</v>
      </c>
      <c r="AJ18" s="84">
        <f>SUMIFS(AH$8:AH$1039,$O$8:$O$1039,O18,$AB$8:$AB$1039,AB18,$R$8:$R$1039,R18,$AA$8:$AA$1039,"&lt;="&amp;AA18)</f>
        <v/>
      </c>
      <c r="AK18" s="84">
        <f>D8</f>
        <v/>
      </c>
      <c r="AL18" s="84">
        <f>D14</f>
        <v/>
      </c>
      <c r="AM18" s="84">
        <f>MAX(0,AJ18-AK18)</f>
        <v/>
      </c>
      <c r="AN18" s="84">
        <f>IF(AM18=0,AH18,IF(AM18&gt;=AH18,0,AH18-AM18))</f>
        <v/>
      </c>
      <c r="AO18" s="84">
        <f>IF(AM18&gt;=AH18,AI18,AI18*AM18/AH18)</f>
        <v/>
      </c>
      <c r="AP18">
        <f t="array" ref="AP18">INDEX($AU$8:$BB$25,6*(R18-1)+MATCH(AB18,$AS$8:$AS$13,0),MATCH(O18,$AU$7:$BB$7,0))</f>
        <v/>
      </c>
      <c r="AR18" s="84" t="n">
        <v>2</v>
      </c>
      <c r="AS18" s="84" t="inlineStr">
        <is>
          <t>E</t>
        </is>
      </c>
      <c r="AT18" s="84" t="inlineStr">
        <is>
          <t>E+</t>
        </is>
      </c>
      <c r="AU18">
        <f>AND(SUMIFS($AN$8:$AN$1039,$O$8:$O$1039,AU7,$AB$8:$AB$1039,AS18,$R$8:$R$1039,AR18)&lt;=D12,SUMIFS($AO$8:$AO$1039,$O$8:$O$1039,AU7,$AB$8:$AB$1039,AS18,$R$8:$R$1039,AR18)&lt;=D18)</f>
        <v/>
      </c>
      <c r="AV18">
        <f>AND(SUMIFS($AN$8:$AN$1039,$O$8:$O$1039,AV7,$AB$8:$AB$1039,AS18,$R$8:$R$1039,AR18)&lt;=D24,SUMIFS($AO$8:$AO$1039,$O$8:$O$1039,AV7,$AB$8:$AB$1039,AS18,$R$8:$R$1039,AR18)&lt;=D30)</f>
        <v/>
      </c>
      <c r="AW18">
        <f>AND(SUMIFS($AN$8:$AN$1039,$O$8:$O$1039,AW7,$AB$8:$AB$1039,AS18,$R$8:$R$1039,AR18)&lt;=D36,SUMIFS($AO$8:$AO$1039,$O$8:$O$1039,AW7,$AB$8:$AB$1039,AS18,$R$8:$R$1039,AR18)&lt;=D42)</f>
        <v/>
      </c>
      <c r="AX18">
        <f>AND(SUMIFS($AN$8:$AN$1039,$O$8:$O$1039,AX7,$AB$8:$AB$1039,AS18,$R$8:$R$1039,AR18)&lt;=D48,SUMIFS($AO$8:$AO$1039,$O$8:$O$1039,AX7,$AB$8:$AB$1039,AS18,$R$8:$R$1039,AR18)&lt;=D54)</f>
        <v/>
      </c>
      <c r="AY18">
        <f>AND(SUMIFS($AN$8:$AN$1039,$O$8:$O$1039,AY7,$AB$8:$AB$1039,AS18,$R$8:$R$1039,AR18)&lt;=D60,SUMIFS($AO$8:$AO$1039,$O$8:$O$1039,AY7,$AB$8:$AB$1039,AS18,$R$8:$R$1039,AR18)&lt;=D66)</f>
        <v/>
      </c>
      <c r="AZ18">
        <f>AND(SUMIFS($AN$8:$AN$1039,$O$8:$O$1039,AZ7,$AB$8:$AB$1039,AS18,$R$8:$R$1039,AR18)&lt;=D72,SUMIFS($AO$8:$AO$1039,$O$8:$O$1039,AZ7,$AB$8:$AB$1039,AS18,$R$8:$R$1039,AR18)&lt;=D78)</f>
        <v/>
      </c>
      <c r="BA18">
        <f>AND(SUMIFS($AN$8:$AN$1039,$O$8:$O$1039,BA7,$AB$8:$AB$1039,AS18,$R$8:$R$1039,AR18)&lt;=D84,SUMIFS($AO$8:$AO$1039,$O$8:$O$1039,BA7,$AB$8:$AB$1039,AS18,$R$8:$R$1039,AR18)&lt;=D90)</f>
        <v/>
      </c>
      <c r="BB18">
        <f>AND(SUMIFS($AN$8:$AN$1039,$O$8:$O$1039,BB7,$AB$8:$AB$1039,AS18,$R$8:$R$1039,AR18)&lt;=D96,SUMIFS($AO$8:$AO$1039,$O$8:$O$1039,BB7,$AB$8:$AB$1039,AS18,$R$8:$R$1039,AR18)&lt;=D102)</f>
        <v/>
      </c>
    </row>
    <row r="19" ht="14.55" customHeight="1">
      <c r="B19" s="31" t="inlineStr">
        <is>
          <t>F+</t>
        </is>
      </c>
      <c r="C19" s="43" t="n">
        <v>3</v>
      </c>
      <c r="D19" s="43" t="n">
        <v>3</v>
      </c>
      <c r="E19" s="43" t="n">
        <v>0</v>
      </c>
      <c r="F19" s="44" t="inlineStr">
        <is>
          <t>Fab 1 space</t>
        </is>
      </c>
      <c r="G19" s="44" t="inlineStr">
        <is>
          <t>Fab 2 space</t>
        </is>
      </c>
      <c r="H19" s="44" t="inlineStr">
        <is>
          <t>Fab 3 space</t>
        </is>
      </c>
      <c r="O19" s="43" t="inlineStr">
        <is>
          <t>Q1’26</t>
        </is>
      </c>
      <c r="P19" s="43" t="n">
        <v>1</v>
      </c>
      <c r="Q19" s="43" t="n">
        <v>4</v>
      </c>
      <c r="R19" s="43" t="n">
        <v>3</v>
      </c>
      <c r="S19" s="45" t="n">
        <v>940.800000000001</v>
      </c>
      <c r="T19">
        <f>(S17+S18+S19)=N2</f>
        <v/>
      </c>
      <c r="X19" s="84">
        <f>MAX(S16-S19,0)</f>
        <v/>
      </c>
      <c r="Y19" s="83" t="n">
        <v>0</v>
      </c>
      <c r="AA19" s="84" t="n">
        <v>3</v>
      </c>
      <c r="AB19" s="84" t="inlineStr">
        <is>
          <t>A</t>
        </is>
      </c>
      <c r="AC19" s="84" t="inlineStr">
        <is>
          <t>A+</t>
        </is>
      </c>
      <c r="AD19" s="84" t="n">
        <v>20</v>
      </c>
      <c r="AE19" s="84" t="n">
        <v>16</v>
      </c>
      <c r="AF19" s="84" t="n">
        <v>0.78</v>
      </c>
      <c r="AG19" s="84" t="n">
        <v>0.84</v>
      </c>
      <c r="AH19" s="84" t="n">
        <v>0</v>
      </c>
      <c r="AI19" s="84" t="n">
        <v>0</v>
      </c>
      <c r="AJ19" s="84">
        <f>SUMIFS(AH$8:AH$1039,$O$8:$O$1039,O19,$AB$8:$AB$1039,AB19,$R$8:$R$1039,R19,$AA$8:$AA$1039,"&lt;="&amp;AA19)</f>
        <v/>
      </c>
      <c r="AK19" s="84">
        <f>E8</f>
        <v/>
      </c>
      <c r="AL19" s="84">
        <f>E14</f>
        <v/>
      </c>
      <c r="AM19" s="84">
        <f>MAX(0,AJ19-AK19)</f>
        <v/>
      </c>
      <c r="AN19" s="84">
        <f>IF(AM19=0,AH19,IF(AM19&gt;=AH19,0,AH19-AM19))</f>
        <v/>
      </c>
      <c r="AO19" s="84">
        <f>IF(AM19&gt;=AH19,AI19,AI19*AM19/AH19)</f>
        <v/>
      </c>
      <c r="AP19">
        <f t="array" ref="AP19">INDEX($AU$8:$BB$25,6*(R19-1)+MATCH(AB19,$AS$8:$AS$13,0),MATCH(O19,$AU$7:$BB$7,0))</f>
        <v/>
      </c>
      <c r="AR19" s="84" t="n">
        <v>2</v>
      </c>
      <c r="AS19" s="84" t="inlineStr">
        <is>
          <t>F</t>
        </is>
      </c>
      <c r="AT19" s="84" t="inlineStr">
        <is>
          <t>F+</t>
        </is>
      </c>
      <c r="AU19">
        <f>AND(SUMIFS($AN$8:$AN$1039,$O$8:$O$1039,AU7,$AB$8:$AB$1039,AS19,$R$8:$R$1039,AR19)&lt;=D13,SUMIFS($AO$8:$AO$1039,$O$8:$O$1039,AU7,$AB$8:$AB$1039,AS19,$R$8:$R$1039,AR19)&lt;=D19)</f>
        <v/>
      </c>
      <c r="AV19">
        <f>AND(SUMIFS($AN$8:$AN$1039,$O$8:$O$1039,AV7,$AB$8:$AB$1039,AS19,$R$8:$R$1039,AR19)&lt;=D25,SUMIFS($AO$8:$AO$1039,$O$8:$O$1039,AV7,$AB$8:$AB$1039,AS19,$R$8:$R$1039,AR19)&lt;=D31)</f>
        <v/>
      </c>
      <c r="AW19">
        <f>AND(SUMIFS($AN$8:$AN$1039,$O$8:$O$1039,AW7,$AB$8:$AB$1039,AS19,$R$8:$R$1039,AR19)&lt;=D37,SUMIFS($AO$8:$AO$1039,$O$8:$O$1039,AW7,$AB$8:$AB$1039,AS19,$R$8:$R$1039,AR19)&lt;=D43)</f>
        <v/>
      </c>
      <c r="AX19">
        <f>AND(SUMIFS($AN$8:$AN$1039,$O$8:$O$1039,AX7,$AB$8:$AB$1039,AS19,$R$8:$R$1039,AR19)&lt;=D49,SUMIFS($AO$8:$AO$1039,$O$8:$O$1039,AX7,$AB$8:$AB$1039,AS19,$R$8:$R$1039,AR19)&lt;=D55)</f>
        <v/>
      </c>
      <c r="AY19">
        <f>AND(SUMIFS($AN$8:$AN$1039,$O$8:$O$1039,AY7,$AB$8:$AB$1039,AS19,$R$8:$R$1039,AR19)&lt;=D61,SUMIFS($AO$8:$AO$1039,$O$8:$O$1039,AY7,$AB$8:$AB$1039,AS19,$R$8:$R$1039,AR19)&lt;=D67)</f>
        <v/>
      </c>
      <c r="AZ19">
        <f>AND(SUMIFS($AN$8:$AN$1039,$O$8:$O$1039,AZ7,$AB$8:$AB$1039,AS19,$R$8:$R$1039,AR19)&lt;=D73,SUMIFS($AO$8:$AO$1039,$O$8:$O$1039,AZ7,$AB$8:$AB$1039,AS19,$R$8:$R$1039,AR19)&lt;=D79)</f>
        <v/>
      </c>
      <c r="BA19">
        <f>AND(SUMIFS($AN$8:$AN$1039,$O$8:$O$1039,BA7,$AB$8:$AB$1039,AS19,$R$8:$R$1039,AR19)&lt;=D85,SUMIFS($AO$8:$AO$1039,$O$8:$O$1039,BA7,$AB$8:$AB$1039,AS19,$R$8:$R$1039,AR19)&lt;=D91)</f>
        <v/>
      </c>
      <c r="BB19">
        <f>AND(SUMIFS($AN$8:$AN$1039,$O$8:$O$1039,BB7,$AB$8:$AB$1039,AS19,$R$8:$R$1039,AR19)&lt;=D97,SUMIFS($AO$8:$AO$1039,$O$8:$O$1039,BB7,$AB$8:$AB$1039,AS19,$R$8:$R$1039,AR19)&lt;=D103)</f>
        <v/>
      </c>
    </row>
    <row r="20" ht="14.25" customHeight="1">
      <c r="A20" s="85" t="inlineStr">
        <is>
          <t>WS Component for Q2’26</t>
        </is>
      </c>
      <c r="B20" s="31" t="inlineStr">
        <is>
          <t>A</t>
        </is>
      </c>
      <c r="C20" s="45" t="n">
        <v>50</v>
      </c>
      <c r="D20" s="45" t="n">
        <v>35</v>
      </c>
      <c r="E20" s="45" t="n">
        <v>0</v>
      </c>
      <c r="F20">
        <f t="array" ref="F20">SUM(C20:C31*data!$B$3:$B$14)</f>
        <v/>
      </c>
      <c r="G20">
        <f t="array" ref="G20">SUM(D20:D31*data!$B$3:$B$14)</f>
        <v/>
      </c>
      <c r="H20">
        <f t="array" ref="H20">SUM(E20:E31*data!$B$3:$B$14)</f>
        <v/>
      </c>
      <c r="I20" s="64" t="inlineStr">
        <is>
          <t>&lt;- make sure its green</t>
        </is>
      </c>
      <c r="O20" s="43" t="inlineStr">
        <is>
          <t>Q1’26</t>
        </is>
      </c>
      <c r="P20" s="43" t="n">
        <v>1</v>
      </c>
      <c r="Q20" s="43" t="n">
        <v>5</v>
      </c>
      <c r="R20" s="43" t="n">
        <v>1</v>
      </c>
      <c r="S20" s="45" t="n">
        <v>6916.354027750852</v>
      </c>
      <c r="T20">
        <f>(S20+S21+S22)=N2</f>
        <v/>
      </c>
      <c r="X20" s="84">
        <f>MAX(S17-S20,0)</f>
        <v/>
      </c>
      <c r="Y20" s="83" t="n">
        <v>0</v>
      </c>
      <c r="AA20" s="84" t="n">
        <v>11</v>
      </c>
      <c r="AB20" s="84" t="inlineStr">
        <is>
          <t>F</t>
        </is>
      </c>
      <c r="AC20" s="84" t="inlineStr">
        <is>
          <t>F+</t>
        </is>
      </c>
      <c r="AD20" s="84" t="n">
        <v>12</v>
      </c>
      <c r="AE20" s="84" t="n">
        <v>9</v>
      </c>
      <c r="AF20" s="84" t="n">
        <v>0.8</v>
      </c>
      <c r="AG20" s="84" t="n">
        <v>0.9</v>
      </c>
      <c r="AH20" s="84" t="n">
        <v>0</v>
      </c>
      <c r="AI20" s="84" t="n">
        <v>0</v>
      </c>
      <c r="AJ20" s="84">
        <f>SUMIFS(AH$8:AH$1039,$O$8:$O$1039,O20,$AB$8:$AB$1039,AB20,$R$8:$R$1039,R20,$AA$8:$AA$1039,"&lt;="&amp;AA20)</f>
        <v/>
      </c>
      <c r="AK20" s="84">
        <f>C13</f>
        <v/>
      </c>
      <c r="AL20" s="84">
        <f>C19</f>
        <v/>
      </c>
      <c r="AM20" s="84">
        <f>MAX(0,AJ20-AK20)</f>
        <v/>
      </c>
      <c r="AN20" s="84">
        <f>IF(AM20=0,AH20,IF(AM20&gt;=AH20,0,AH20-AM20))</f>
        <v/>
      </c>
      <c r="AO20" s="84">
        <f>IF(AM20&gt;=AH20,AI20,AI20*AM20/AH20)</f>
        <v/>
      </c>
      <c r="AP20">
        <f t="array" ref="AP20">INDEX($AU$8:$BB$25,6*(R20-1)+MATCH(AB20,$AS$8:$AS$13,0),MATCH(O20,$AU$7:$BB$7,0))</f>
        <v/>
      </c>
      <c r="AR20" s="84" t="n">
        <v>3</v>
      </c>
      <c r="AS20" s="84" t="inlineStr">
        <is>
          <t>A</t>
        </is>
      </c>
      <c r="AT20" s="84" t="inlineStr">
        <is>
          <t>A+</t>
        </is>
      </c>
      <c r="AU20">
        <f>AND(SUMIFS($AN$8:$AN$1039,$O$8:$O$1039,AU7,$AB$8:$AB$1039,AS20,$R$8:$R$1039,AR20)&lt;=E8,SUMIFS($AO$8:$AO$1039,$O$8:$O$1039,AU7,$AB$8:$AB$1039,AS20,$R$8:$R$1039,AR20)&lt;=E14)</f>
        <v/>
      </c>
      <c r="AV20">
        <f>AND(SUMIFS($AN$8:$AN$1039,$O$8:$O$1039,AV7,$AB$8:$AB$1039,AS20,$R$8:$R$1039,AR20)&lt;=E20,SUMIFS($AO$8:$AO$1039,$O$8:$O$1039,AV7,$AB$8:$AB$1039,AS20,$R$8:$R$1039,AR20)&lt;=E26)</f>
        <v/>
      </c>
      <c r="AW20">
        <f>AND(SUMIFS($AN$8:$AN$1039,$O$8:$O$1039,AW7,$AB$8:$AB$1039,AS20,$R$8:$R$1039,AR20)&lt;=E32,SUMIFS($AO$8:$AO$1039,$O$8:$O$1039,AW7,$AB$8:$AB$1039,AS20,$R$8:$R$1039,AR20)&lt;=E38)</f>
        <v/>
      </c>
      <c r="AX20">
        <f>AND(SUMIFS($AN$8:$AN$1039,$O$8:$O$1039,AX7,$AB$8:$AB$1039,AS20,$R$8:$R$1039,AR20)&lt;=E44,SUMIFS($AO$8:$AO$1039,$O$8:$O$1039,AX7,$AB$8:$AB$1039,AS20,$R$8:$R$1039,AR20)&lt;=E50)</f>
        <v/>
      </c>
      <c r="AY20">
        <f>AND(SUMIFS($AN$8:$AN$1039,$O$8:$O$1039,AY7,$AB$8:$AB$1039,AS20,$R$8:$R$1039,AR20)&lt;=E56,SUMIFS($AO$8:$AO$1039,$O$8:$O$1039,AY7,$AB$8:$AB$1039,AS20,$R$8:$R$1039,AR20)&lt;=E62)</f>
        <v/>
      </c>
      <c r="AZ20">
        <f>AND(SUMIFS($AN$8:$AN$1039,$O$8:$O$1039,AZ7,$AB$8:$AB$1039,AS20,$R$8:$R$1039,AR20)&lt;=E68,SUMIFS($AO$8:$AO$1039,$O$8:$O$1039,AZ7,$AB$8:$AB$1039,AS20,$R$8:$R$1039,AR20)&lt;=E74)</f>
        <v/>
      </c>
      <c r="BA20">
        <f>AND(SUMIFS($AN$8:$AN$1039,$O$8:$O$1039,BA7,$AB$8:$AB$1039,AS20,$R$8:$R$1039,AR20)&lt;=E80,SUMIFS($AO$8:$AO$1039,$O$8:$O$1039,BA7,$AB$8:$AB$1039,AS20,$R$8:$R$1039,AR20)&lt;=E86)</f>
        <v/>
      </c>
      <c r="BB20">
        <f>AND(SUMIFS($AN$8:$AN$1039,$O$8:$O$1039,BB7,$AB$8:$AB$1039,AS20,$R$8:$R$1039,AR20)&lt;=E92,SUMIFS($AO$8:$AO$1039,$O$8:$O$1039,BB7,$AB$8:$AB$1039,AS20,$R$8:$R$1039,AR20)&lt;=E98)</f>
        <v/>
      </c>
    </row>
    <row r="21" ht="14.55" customHeight="1">
      <c r="B21" s="31" t="inlineStr">
        <is>
          <t>B</t>
        </is>
      </c>
      <c r="C21" s="45" t="n">
        <v>25</v>
      </c>
      <c r="D21" s="45" t="n">
        <v>30</v>
      </c>
      <c r="E21" s="45" t="n">
        <v>0</v>
      </c>
      <c r="I21" s="64" t="n"/>
      <c r="O21" s="43" t="inlineStr">
        <is>
          <t>Q1’26</t>
        </is>
      </c>
      <c r="P21" s="43" t="n">
        <v>1</v>
      </c>
      <c r="Q21" s="43" t="n">
        <v>5</v>
      </c>
      <c r="R21" s="43" t="n">
        <v>2</v>
      </c>
      <c r="S21" s="45" t="n">
        <v>4142.845972249124</v>
      </c>
      <c r="T21">
        <f>(S20+S21+S22)=N2</f>
        <v/>
      </c>
      <c r="X21" s="84">
        <f>MAX(S18-S21,0)</f>
        <v/>
      </c>
      <c r="Y21" s="83" t="n">
        <v>0</v>
      </c>
      <c r="AA21" s="84" t="n">
        <v>11</v>
      </c>
      <c r="AB21" s="84" t="inlineStr">
        <is>
          <t>F</t>
        </is>
      </c>
      <c r="AC21" s="84" t="inlineStr">
        <is>
          <t>F+</t>
        </is>
      </c>
      <c r="AD21" s="84" t="n">
        <v>12</v>
      </c>
      <c r="AE21" s="84" t="n">
        <v>9</v>
      </c>
      <c r="AF21" s="84" t="n">
        <v>0.8</v>
      </c>
      <c r="AG21" s="84" t="n">
        <v>0.9</v>
      </c>
      <c r="AH21" s="84" t="n">
        <v>0</v>
      </c>
      <c r="AI21" s="84" t="n">
        <v>0</v>
      </c>
      <c r="AJ21" s="84">
        <f>SUMIFS(AH$8:AH$1039,$O$8:$O$1039,O21,$AB$8:$AB$1039,AB21,$R$8:$R$1039,R21,$AA$8:$AA$1039,"&lt;="&amp;AA21)</f>
        <v/>
      </c>
      <c r="AK21" s="84">
        <f>D13</f>
        <v/>
      </c>
      <c r="AL21" s="84">
        <f>D19</f>
        <v/>
      </c>
      <c r="AM21" s="84">
        <f>MAX(0,AJ21-AK21)</f>
        <v/>
      </c>
      <c r="AN21" s="84">
        <f>IF(AM21=0,AH21,IF(AM21&gt;=AH21,0,AH21-AM21))</f>
        <v/>
      </c>
      <c r="AO21" s="84">
        <f>IF(AM21&gt;=AH21,AI21,AI21*AM21/AH21)</f>
        <v/>
      </c>
      <c r="AP21">
        <f t="array" ref="AP21">INDEX($AU$8:$BB$25,6*(R21-1)+MATCH(AB21,$AS$8:$AS$13,0),MATCH(O21,$AU$7:$BB$7,0))</f>
        <v/>
      </c>
      <c r="AR21" s="84" t="n">
        <v>3</v>
      </c>
      <c r="AS21" s="84" t="inlineStr">
        <is>
          <t>B</t>
        </is>
      </c>
      <c r="AT21" s="84" t="inlineStr">
        <is>
          <t>B+</t>
        </is>
      </c>
      <c r="AU21">
        <f>AND(SUMIFS($AN$8:$AN$1039,$O$8:$O$1039,AU7,$AB$8:$AB$1039,AS21,$R$8:$R$1039,AR21)&lt;=E9,SUMIFS($AO$8:$AO$1039,$O$8:$O$1039,AU7,$AB$8:$AB$1039,AS21,$R$8:$R$1039,AR21)&lt;=E15)</f>
        <v/>
      </c>
      <c r="AV21">
        <f>AND(SUMIFS($AN$8:$AN$1039,$O$8:$O$1039,AV7,$AB$8:$AB$1039,AS21,$R$8:$R$1039,AR21)&lt;=E21,SUMIFS($AO$8:$AO$1039,$O$8:$O$1039,AV7,$AB$8:$AB$1039,AS21,$R$8:$R$1039,AR21)&lt;=E27)</f>
        <v/>
      </c>
      <c r="AW21">
        <f>AND(SUMIFS($AN$8:$AN$1039,$O$8:$O$1039,AW7,$AB$8:$AB$1039,AS21,$R$8:$R$1039,AR21)&lt;=E33,SUMIFS($AO$8:$AO$1039,$O$8:$O$1039,AW7,$AB$8:$AB$1039,AS21,$R$8:$R$1039,AR21)&lt;=E39)</f>
        <v/>
      </c>
      <c r="AX21">
        <f>AND(SUMIFS($AN$8:$AN$1039,$O$8:$O$1039,AX7,$AB$8:$AB$1039,AS21,$R$8:$R$1039,AR21)&lt;=E45,SUMIFS($AO$8:$AO$1039,$O$8:$O$1039,AX7,$AB$8:$AB$1039,AS21,$R$8:$R$1039,AR21)&lt;=E51)</f>
        <v/>
      </c>
      <c r="AY21">
        <f>AND(SUMIFS($AN$8:$AN$1039,$O$8:$O$1039,AY7,$AB$8:$AB$1039,AS21,$R$8:$R$1039,AR21)&lt;=E57,SUMIFS($AO$8:$AO$1039,$O$8:$O$1039,AY7,$AB$8:$AB$1039,AS21,$R$8:$R$1039,AR21)&lt;=E63)</f>
        <v/>
      </c>
      <c r="AZ21">
        <f>AND(SUMIFS($AN$8:$AN$1039,$O$8:$O$1039,AZ7,$AB$8:$AB$1039,AS21,$R$8:$R$1039,AR21)&lt;=E69,SUMIFS($AO$8:$AO$1039,$O$8:$O$1039,AZ7,$AB$8:$AB$1039,AS21,$R$8:$R$1039,AR21)&lt;=E75)</f>
        <v/>
      </c>
      <c r="BA21">
        <f>AND(SUMIFS($AN$8:$AN$1039,$O$8:$O$1039,BA7,$AB$8:$AB$1039,AS21,$R$8:$R$1039,AR21)&lt;=E81,SUMIFS($AO$8:$AO$1039,$O$8:$O$1039,BA7,$AB$8:$AB$1039,AS21,$R$8:$R$1039,AR21)&lt;=E87)</f>
        <v/>
      </c>
      <c r="BB21">
        <f>AND(SUMIFS($AN$8:$AN$1039,$O$8:$O$1039,BB7,$AB$8:$AB$1039,AS21,$R$8:$R$1039,AR21)&lt;=E93,SUMIFS($AO$8:$AO$1039,$O$8:$O$1039,BB7,$AB$8:$AB$1039,AS21,$R$8:$R$1039,AR21)&lt;=E99)</f>
        <v/>
      </c>
    </row>
    <row r="22" ht="14.55" customHeight="1">
      <c r="B22" s="31" t="inlineStr">
        <is>
          <t>C</t>
        </is>
      </c>
      <c r="C22" s="45" t="n">
        <v>0</v>
      </c>
      <c r="D22" s="45" t="n">
        <v>0</v>
      </c>
      <c r="E22" s="45" t="n">
        <v>40</v>
      </c>
      <c r="F22" s="84" t="inlineStr">
        <is>
          <t>New tool purchase cost</t>
        </is>
      </c>
      <c r="I22" s="64" t="n"/>
      <c r="O22" s="43" t="inlineStr">
        <is>
          <t>Q1’26</t>
        </is>
      </c>
      <c r="P22" s="43" t="n">
        <v>1</v>
      </c>
      <c r="Q22" s="43" t="n">
        <v>5</v>
      </c>
      <c r="R22" s="43" t="n">
        <v>3</v>
      </c>
      <c r="S22" s="45" t="n">
        <v>940.8000000000247</v>
      </c>
      <c r="T22">
        <f>(S20+S21+S22)=N2</f>
        <v/>
      </c>
      <c r="X22" s="84">
        <f>MAX(S19-S22,0)</f>
        <v/>
      </c>
      <c r="Y22" s="83" t="n">
        <v>0</v>
      </c>
      <c r="AA22" s="84" t="n">
        <v>11</v>
      </c>
      <c r="AB22" s="84" t="inlineStr">
        <is>
          <t>F</t>
        </is>
      </c>
      <c r="AC22" s="84" t="inlineStr">
        <is>
          <t>F+</t>
        </is>
      </c>
      <c r="AD22" s="84" t="n">
        <v>12</v>
      </c>
      <c r="AE22" s="84" t="n">
        <v>9</v>
      </c>
      <c r="AF22" s="84" t="n">
        <v>0.8</v>
      </c>
      <c r="AG22" s="84" t="n">
        <v>0.9</v>
      </c>
      <c r="AH22" s="84" t="n">
        <v>0</v>
      </c>
      <c r="AI22" s="84" t="n">
        <v>0</v>
      </c>
      <c r="AJ22" s="84">
        <f>SUMIFS(AH$8:AH$1039,$O$8:$O$1039,O22,$AB$8:$AB$1039,AB22,$R$8:$R$1039,R22,$AA$8:$AA$1039,"&lt;="&amp;AA22)</f>
        <v/>
      </c>
      <c r="AK22" s="84">
        <f>E13</f>
        <v/>
      </c>
      <c r="AL22" s="84">
        <f>E19</f>
        <v/>
      </c>
      <c r="AM22" s="84">
        <f>MAX(0,AJ22-AK22)</f>
        <v/>
      </c>
      <c r="AN22" s="84">
        <f>IF(AM22=0,AH22,IF(AM22&gt;=AH22,0,AH22-AM22))</f>
        <v/>
      </c>
      <c r="AO22" s="84">
        <f>IF(AM22&gt;=AH22,AI22,AI22*AM22/AH22)</f>
        <v/>
      </c>
      <c r="AP22">
        <f t="array" ref="AP22">INDEX($AU$8:$BB$25,6*(R22-1)+MATCH(AB22,$AS$8:$AS$13,0),MATCH(O22,$AU$7:$BB$7,0))</f>
        <v/>
      </c>
      <c r="AR22" s="84" t="n">
        <v>3</v>
      </c>
      <c r="AS22" s="84" t="inlineStr">
        <is>
          <t>C</t>
        </is>
      </c>
      <c r="AT22" s="84" t="inlineStr">
        <is>
          <t>C+</t>
        </is>
      </c>
      <c r="AU22">
        <f>AND(SUMIFS($AN$8:$AN$1039,$O$8:$O$1039,AU7,$AB$8:$AB$1039,AS22,$R$8:$R$1039,AR22)&lt;=E10,SUMIFS($AO$8:$AO$1039,$O$8:$O$1039,AU7,$AB$8:$AB$1039,AS22,$R$8:$R$1039,AR22)&lt;=E16)</f>
        <v/>
      </c>
      <c r="AV22">
        <f>AND(SUMIFS($AN$8:$AN$1039,$O$8:$O$1039,AV7,$AB$8:$AB$1039,AS22,$R$8:$R$1039,AR22)&lt;=E22,SUMIFS($AO$8:$AO$1039,$O$8:$O$1039,AV7,$AB$8:$AB$1039,AS22,$R$8:$R$1039,AR22)&lt;=E28)</f>
        <v/>
      </c>
      <c r="AW22">
        <f>AND(SUMIFS($AN$8:$AN$1039,$O$8:$O$1039,AW7,$AB$8:$AB$1039,AS22,$R$8:$R$1039,AR22)&lt;=E34,SUMIFS($AO$8:$AO$1039,$O$8:$O$1039,AW7,$AB$8:$AB$1039,AS22,$R$8:$R$1039,AR22)&lt;=E40)</f>
        <v/>
      </c>
      <c r="AX22">
        <f>AND(SUMIFS($AN$8:$AN$1039,$O$8:$O$1039,AX7,$AB$8:$AB$1039,AS22,$R$8:$R$1039,AR22)&lt;=E46,SUMIFS($AO$8:$AO$1039,$O$8:$O$1039,AX7,$AB$8:$AB$1039,AS22,$R$8:$R$1039,AR22)&lt;=E52)</f>
        <v/>
      </c>
      <c r="AY22">
        <f>AND(SUMIFS($AN$8:$AN$1039,$O$8:$O$1039,AY7,$AB$8:$AB$1039,AS22,$R$8:$R$1039,AR22)&lt;=E58,SUMIFS($AO$8:$AO$1039,$O$8:$O$1039,AY7,$AB$8:$AB$1039,AS22,$R$8:$R$1039,AR22)&lt;=E64)</f>
        <v/>
      </c>
      <c r="AZ22">
        <f>AND(SUMIFS($AN$8:$AN$1039,$O$8:$O$1039,AZ7,$AB$8:$AB$1039,AS22,$R$8:$R$1039,AR22)&lt;=E70,SUMIFS($AO$8:$AO$1039,$O$8:$O$1039,AZ7,$AB$8:$AB$1039,AS22,$R$8:$R$1039,AR22)&lt;=E76)</f>
        <v/>
      </c>
      <c r="BA22">
        <f>AND(SUMIFS($AN$8:$AN$1039,$O$8:$O$1039,BA7,$AB$8:$AB$1039,AS22,$R$8:$R$1039,AR22)&lt;=E82,SUMIFS($AO$8:$AO$1039,$O$8:$O$1039,BA7,$AB$8:$AB$1039,AS22,$R$8:$R$1039,AR22)&lt;=E88)</f>
        <v/>
      </c>
      <c r="BB22">
        <f>AND(SUMIFS($AN$8:$AN$1039,$O$8:$O$1039,BB7,$AB$8:$AB$1039,AS22,$R$8:$R$1039,AR22)&lt;=E94,SUMIFS($AO$8:$AO$1039,$O$8:$O$1039,BB7,$AB$8:$AB$1039,AS22,$R$8:$R$1039,AR22)&lt;=E100)</f>
        <v/>
      </c>
    </row>
    <row r="23" ht="14.55" customHeight="1">
      <c r="B23" s="31" t="inlineStr">
        <is>
          <t>D</t>
        </is>
      </c>
      <c r="C23" s="45" t="n">
        <v>50</v>
      </c>
      <c r="D23" s="45" t="n">
        <v>50</v>
      </c>
      <c r="E23" s="45" t="n">
        <v>5</v>
      </c>
      <c r="F23" s="83">
        <f t="array" ref="F23">SUM(
     _xlfn.BYROW(
           IF(C20:E31-C8:E19&gt;0, C20:E31-C8:E19, 0),
           _xleta.SUM)
     *data!$C$3:$C$14
)</f>
        <v/>
      </c>
      <c r="I23" s="64" t="n"/>
      <c r="O23" s="43" t="inlineStr">
        <is>
          <t>Q1’26</t>
        </is>
      </c>
      <c r="P23" s="43" t="n">
        <v>1</v>
      </c>
      <c r="Q23" s="43" t="n">
        <v>6</v>
      </c>
      <c r="R23" s="43" t="n">
        <v>1</v>
      </c>
      <c r="S23" s="45" t="n">
        <v>6916.354027750873</v>
      </c>
      <c r="T23">
        <f>(S23+S24+S25)=N2</f>
        <v/>
      </c>
      <c r="X23" s="84">
        <f>MAX(S20-S23,0)</f>
        <v/>
      </c>
      <c r="Y23" s="83" t="n">
        <v>0</v>
      </c>
      <c r="AA23" s="84" t="n">
        <v>7</v>
      </c>
      <c r="AB23" s="84" t="inlineStr">
        <is>
          <t>D</t>
        </is>
      </c>
      <c r="AC23" s="84" t="inlineStr">
        <is>
          <t>D+</t>
        </is>
      </c>
      <c r="AD23" s="84" t="n">
        <v>27</v>
      </c>
      <c r="AE23" s="84" t="n">
        <v>21</v>
      </c>
      <c r="AF23" s="84" t="n">
        <v>0.8</v>
      </c>
      <c r="AG23" s="84" t="n">
        <v>0.88</v>
      </c>
      <c r="AH23" s="84" t="n">
        <v>0</v>
      </c>
      <c r="AI23" s="84" t="n">
        <v>0</v>
      </c>
      <c r="AJ23" s="84">
        <f>SUMIFS(AH$8:AH$1039,$O$8:$O$1039,O23,$AB$8:$AB$1039,AB23,$R$8:$R$1039,R23,$AA$8:$AA$1039,"&lt;="&amp;AA23)</f>
        <v/>
      </c>
      <c r="AK23" s="84">
        <f>C11</f>
        <v/>
      </c>
      <c r="AL23" s="84">
        <f>C17</f>
        <v/>
      </c>
      <c r="AM23" s="84">
        <f>MAX(0,AJ23-AK23)</f>
        <v/>
      </c>
      <c r="AN23" s="84">
        <f>IF(AM23=0,AH23,IF(AM23&gt;=AH23,0,AH23-AM23))</f>
        <v/>
      </c>
      <c r="AO23" s="84">
        <f>IF(AM23&gt;=AH23,AI23,AI23*AM23/AH23)</f>
        <v/>
      </c>
      <c r="AP23">
        <f t="array" ref="AP23">INDEX($AU$8:$BB$25,6*(R23-1)+MATCH(AB23,$AS$8:$AS$13,0),MATCH(O23,$AU$7:$BB$7,0))</f>
        <v/>
      </c>
      <c r="AR23" s="84" t="n">
        <v>3</v>
      </c>
      <c r="AS23" s="84" t="inlineStr">
        <is>
          <t>D</t>
        </is>
      </c>
      <c r="AT23" s="84" t="inlineStr">
        <is>
          <t>D+</t>
        </is>
      </c>
      <c r="AU23">
        <f>AND(SUMIFS($AN$8:$AN$1039,$O$8:$O$1039,AU7,$AB$8:$AB$1039,AS23,$R$8:$R$1039,AR23)&lt;=E11,SUMIFS($AO$8:$AO$1039,$O$8:$O$1039,AU7,$AB$8:$AB$1039,AS23,$R$8:$R$1039,AR23)&lt;=E17)</f>
        <v/>
      </c>
      <c r="AV23">
        <f>AND(SUMIFS($AN$8:$AN$1039,$O$8:$O$1039,AV7,$AB$8:$AB$1039,AS23,$R$8:$R$1039,AR23)&lt;=E23,SUMIFS($AO$8:$AO$1039,$O$8:$O$1039,AV7,$AB$8:$AB$1039,AS23,$R$8:$R$1039,AR23)&lt;=E29)</f>
        <v/>
      </c>
      <c r="AW23">
        <f>AND(SUMIFS($AN$8:$AN$1039,$O$8:$O$1039,AW7,$AB$8:$AB$1039,AS23,$R$8:$R$1039,AR23)&lt;=E35,SUMIFS($AO$8:$AO$1039,$O$8:$O$1039,AW7,$AB$8:$AB$1039,AS23,$R$8:$R$1039,AR23)&lt;=E41)</f>
        <v/>
      </c>
      <c r="AX23">
        <f>AND(SUMIFS($AN$8:$AN$1039,$O$8:$O$1039,AX7,$AB$8:$AB$1039,AS23,$R$8:$R$1039,AR23)&lt;=E47,SUMIFS($AO$8:$AO$1039,$O$8:$O$1039,AX7,$AB$8:$AB$1039,AS23,$R$8:$R$1039,AR23)&lt;=E53)</f>
        <v/>
      </c>
      <c r="AY23">
        <f>AND(SUMIFS($AN$8:$AN$1039,$O$8:$O$1039,AY7,$AB$8:$AB$1039,AS23,$R$8:$R$1039,AR23)&lt;=E59,SUMIFS($AO$8:$AO$1039,$O$8:$O$1039,AY7,$AB$8:$AB$1039,AS23,$R$8:$R$1039,AR23)&lt;=E65)</f>
        <v/>
      </c>
      <c r="AZ23">
        <f>AND(SUMIFS($AN$8:$AN$1039,$O$8:$O$1039,AZ7,$AB$8:$AB$1039,AS23,$R$8:$R$1039,AR23)&lt;=E71,SUMIFS($AO$8:$AO$1039,$O$8:$O$1039,AZ7,$AB$8:$AB$1039,AS23,$R$8:$R$1039,AR23)&lt;=E77)</f>
        <v/>
      </c>
      <c r="BA23">
        <f>AND(SUMIFS($AN$8:$AN$1039,$O$8:$O$1039,BA7,$AB$8:$AB$1039,AS23,$R$8:$R$1039,AR23)&lt;=E83,SUMIFS($AO$8:$AO$1039,$O$8:$O$1039,BA7,$AB$8:$AB$1039,AS23,$R$8:$R$1039,AR23)&lt;=E89)</f>
        <v/>
      </c>
      <c r="BB23">
        <f>AND(SUMIFS($AN$8:$AN$1039,$O$8:$O$1039,BB7,$AB$8:$AB$1039,AS23,$R$8:$R$1039,AR23)&lt;=E95,SUMIFS($AO$8:$AO$1039,$O$8:$O$1039,BB7,$AB$8:$AB$1039,AS23,$R$8:$R$1039,AR23)&lt;=E101)</f>
        <v/>
      </c>
    </row>
    <row r="24" ht="14.55" customHeight="1">
      <c r="B24" s="31" t="inlineStr">
        <is>
          <t>E</t>
        </is>
      </c>
      <c r="C24" s="45" t="n">
        <v>40</v>
      </c>
      <c r="D24" s="45" t="n">
        <v>30</v>
      </c>
      <c r="E24" s="45" t="n">
        <v>16</v>
      </c>
      <c r="F24" s="84" t="inlineStr">
        <is>
          <t>Moveout cost</t>
        </is>
      </c>
      <c r="I24" s="64" t="n"/>
      <c r="O24" s="43" t="inlineStr">
        <is>
          <t>Q1’26</t>
        </is>
      </c>
      <c r="P24" s="43" t="n">
        <v>1</v>
      </c>
      <c r="Q24" s="43" t="n">
        <v>6</v>
      </c>
      <c r="R24" s="43" t="n">
        <v>2</v>
      </c>
      <c r="S24" s="45" t="n">
        <v>4142.845972249127</v>
      </c>
      <c r="T24">
        <f>(S23+S24+S25)=N2</f>
        <v/>
      </c>
      <c r="X24" s="84">
        <f>MAX(S21-S24,0)</f>
        <v/>
      </c>
      <c r="Y24" s="83" t="n">
        <v>0</v>
      </c>
      <c r="AA24" s="84" t="n">
        <v>7</v>
      </c>
      <c r="AB24" s="84" t="inlineStr">
        <is>
          <t>D</t>
        </is>
      </c>
      <c r="AC24" s="84" t="inlineStr">
        <is>
          <t>D+</t>
        </is>
      </c>
      <c r="AD24" s="84" t="n">
        <v>27</v>
      </c>
      <c r="AE24" s="84" t="n">
        <v>21</v>
      </c>
      <c r="AF24" s="84" t="n">
        <v>0.8</v>
      </c>
      <c r="AG24" s="84" t="n">
        <v>0.88</v>
      </c>
      <c r="AH24" s="84" t="n">
        <v>0</v>
      </c>
      <c r="AI24" s="84" t="n">
        <v>0</v>
      </c>
      <c r="AJ24" s="84">
        <f>SUMIFS(AH$8:AH$1039,$O$8:$O$1039,O24,$AB$8:$AB$1039,AB24,$R$8:$R$1039,R24,$AA$8:$AA$1039,"&lt;="&amp;AA24)</f>
        <v/>
      </c>
      <c r="AK24" s="84">
        <f>D11</f>
        <v/>
      </c>
      <c r="AL24" s="84">
        <f>D17</f>
        <v/>
      </c>
      <c r="AM24" s="84">
        <f>MAX(0,AJ24-AK24)</f>
        <v/>
      </c>
      <c r="AN24" s="84">
        <f>IF(AM24=0,AH24,IF(AM24&gt;=AH24,0,AH24-AM24))</f>
        <v/>
      </c>
      <c r="AO24" s="84">
        <f>IF(AM24&gt;=AH24,AI24,AI24*AM24/AH24)</f>
        <v/>
      </c>
      <c r="AP24">
        <f t="array" ref="AP24">INDEX($AU$8:$BB$25,6*(R24-1)+MATCH(AB24,$AS$8:$AS$13,0),MATCH(O24,$AU$7:$BB$7,0))</f>
        <v/>
      </c>
      <c r="AR24" s="84" t="n">
        <v>3</v>
      </c>
      <c r="AS24" s="84" t="inlineStr">
        <is>
          <t>E</t>
        </is>
      </c>
      <c r="AT24" s="84" t="inlineStr">
        <is>
          <t>E+</t>
        </is>
      </c>
      <c r="AU24">
        <f>AND(SUMIFS($AN$8:$AN$1039,$O$8:$O$1039,AU7,$AB$8:$AB$1039,AS24,$R$8:$R$1039,AR24)&lt;=E12,SUMIFS($AO$8:$AO$1039,$O$8:$O$1039,AU7,$AB$8:$AB$1039,AS24,$R$8:$R$1039,AR24)&lt;=E18)</f>
        <v/>
      </c>
      <c r="AV24">
        <f>AND(SUMIFS($AN$8:$AN$1039,$O$8:$O$1039,AV7,$AB$8:$AB$1039,AS24,$R$8:$R$1039,AR24)&lt;=E24,SUMIFS($AO$8:$AO$1039,$O$8:$O$1039,AV7,$AB$8:$AB$1039,AS24,$R$8:$R$1039,AR24)&lt;=E30)</f>
        <v/>
      </c>
      <c r="AW24">
        <f>AND(SUMIFS($AN$8:$AN$1039,$O$8:$O$1039,AW7,$AB$8:$AB$1039,AS24,$R$8:$R$1039,AR24)&lt;=E36,SUMIFS($AO$8:$AO$1039,$O$8:$O$1039,AW7,$AB$8:$AB$1039,AS24,$R$8:$R$1039,AR24)&lt;=E42)</f>
        <v/>
      </c>
      <c r="AX24">
        <f>AND(SUMIFS($AN$8:$AN$1039,$O$8:$O$1039,AX7,$AB$8:$AB$1039,AS24,$R$8:$R$1039,AR24)&lt;=E48,SUMIFS($AO$8:$AO$1039,$O$8:$O$1039,AX7,$AB$8:$AB$1039,AS24,$R$8:$R$1039,AR24)&lt;=E54)</f>
        <v/>
      </c>
      <c r="AY24">
        <f>AND(SUMIFS($AN$8:$AN$1039,$O$8:$O$1039,AY7,$AB$8:$AB$1039,AS24,$R$8:$R$1039,AR24)&lt;=E60,SUMIFS($AO$8:$AO$1039,$O$8:$O$1039,AY7,$AB$8:$AB$1039,AS24,$R$8:$R$1039,AR24)&lt;=E66)</f>
        <v/>
      </c>
      <c r="AZ24">
        <f>AND(SUMIFS($AN$8:$AN$1039,$O$8:$O$1039,AZ7,$AB$8:$AB$1039,AS24,$R$8:$R$1039,AR24)&lt;=E72,SUMIFS($AO$8:$AO$1039,$O$8:$O$1039,AZ7,$AB$8:$AB$1039,AS24,$R$8:$R$1039,AR24)&lt;=E78)</f>
        <v/>
      </c>
      <c r="BA24">
        <f>AND(SUMIFS($AN$8:$AN$1039,$O$8:$O$1039,BA7,$AB$8:$AB$1039,AS24,$R$8:$R$1039,AR24)&lt;=E84,SUMIFS($AO$8:$AO$1039,$O$8:$O$1039,BA7,$AB$8:$AB$1039,AS24,$R$8:$R$1039,AR24)&lt;=E90)</f>
        <v/>
      </c>
      <c r="BB24">
        <f>AND(SUMIFS($AN$8:$AN$1039,$O$8:$O$1039,BB7,$AB$8:$AB$1039,AS24,$R$8:$R$1039,AR24)&lt;=E96,SUMIFS($AO$8:$AO$1039,$O$8:$O$1039,BB7,$AB$8:$AB$1039,AS24,$R$8:$R$1039,AR24)&lt;=E102)</f>
        <v/>
      </c>
    </row>
    <row r="25" ht="14.55" customHeight="1">
      <c r="B25" s="31" t="inlineStr">
        <is>
          <t>F</t>
        </is>
      </c>
      <c r="C25" s="45" t="n">
        <v>90</v>
      </c>
      <c r="D25" s="45" t="n">
        <v>60</v>
      </c>
      <c r="E25" s="45" t="n">
        <v>36</v>
      </c>
      <c r="F25" s="83">
        <f t="array" ref="F25">SUM(
     _xlfn.BYROW(
           IF(C20:E31-C8:E19&lt;0, C20:E31-C8:E19, 0),
           _xleta.SUM)
     * -1000000
)</f>
        <v/>
      </c>
      <c r="I25" s="64" t="n"/>
      <c r="O25" s="43" t="inlineStr">
        <is>
          <t>Q1’26</t>
        </is>
      </c>
      <c r="P25" s="43" t="n">
        <v>1</v>
      </c>
      <c r="Q25" s="43" t="n">
        <v>6</v>
      </c>
      <c r="R25" s="43" t="n">
        <v>3</v>
      </c>
      <c r="S25" s="45" t="n">
        <v>940.7999999999993</v>
      </c>
      <c r="T25">
        <f>(S23+S24+S25)=N2</f>
        <v/>
      </c>
      <c r="X25" s="84">
        <f>MAX(S22-S25,0)</f>
        <v/>
      </c>
      <c r="Y25" s="83" t="n">
        <v>0</v>
      </c>
      <c r="AA25" s="84" t="n">
        <v>7</v>
      </c>
      <c r="AB25" s="84" t="inlineStr">
        <is>
          <t>D</t>
        </is>
      </c>
      <c r="AC25" s="84" t="inlineStr">
        <is>
          <t>D+</t>
        </is>
      </c>
      <c r="AD25" s="84" t="n">
        <v>27</v>
      </c>
      <c r="AE25" s="84" t="n">
        <v>21</v>
      </c>
      <c r="AF25" s="84" t="n">
        <v>0.8</v>
      </c>
      <c r="AG25" s="84" t="n">
        <v>0.88</v>
      </c>
      <c r="AH25" s="84" t="n">
        <v>0</v>
      </c>
      <c r="AI25" s="84" t="n">
        <v>0</v>
      </c>
      <c r="AJ25" s="84">
        <f>SUMIFS(AH$8:AH$1039,$O$8:$O$1039,O25,$AB$8:$AB$1039,AB25,$R$8:$R$1039,R25,$AA$8:$AA$1039,"&lt;="&amp;AA25)</f>
        <v/>
      </c>
      <c r="AK25" s="84">
        <f>E11</f>
        <v/>
      </c>
      <c r="AL25" s="84">
        <f>E17</f>
        <v/>
      </c>
      <c r="AM25" s="84">
        <f>MAX(0,AJ25-AK25)</f>
        <v/>
      </c>
      <c r="AN25" s="84">
        <f>IF(AM25=0,AH25,IF(AM25&gt;=AH25,0,AH25-AM25))</f>
        <v/>
      </c>
      <c r="AO25" s="84">
        <f>IF(AM25&gt;=AH25,AI25,AI25*AM25/AH25)</f>
        <v/>
      </c>
      <c r="AP25">
        <f t="array" ref="AP25">INDEX($AU$8:$BB$25,6*(R25-1)+MATCH(AB25,$AS$8:$AS$13,0),MATCH(O25,$AU$7:$BB$7,0))</f>
        <v/>
      </c>
      <c r="AR25" s="84" t="n">
        <v>3</v>
      </c>
      <c r="AS25" s="84" t="inlineStr">
        <is>
          <t>F</t>
        </is>
      </c>
      <c r="AT25" s="84" t="inlineStr">
        <is>
          <t>F+</t>
        </is>
      </c>
      <c r="AU25">
        <f>AND(SUMIFS($AN$8:$AN$1039,$O$8:$O$1039,AU7,$AB$8:$AB$1039,AS25,$R$8:$R$1039,AR25)&lt;=E13,SUMIFS($AO$8:$AO$1039,$O$8:$O$1039,AU7,$AB$8:$AB$1039,AS25,$R$8:$R$1039,AR25)&lt;=E19)</f>
        <v/>
      </c>
      <c r="AV25">
        <f>AND(SUMIFS($AN$8:$AN$1039,$O$8:$O$1039,AV7,$AB$8:$AB$1039,AS25,$R$8:$R$1039,AR25)&lt;=E25,SUMIFS($AO$8:$AO$1039,$O$8:$O$1039,AV7,$AB$8:$AB$1039,AS25,$R$8:$R$1039,AR25)&lt;=E31)</f>
        <v/>
      </c>
      <c r="AW25">
        <f>AND(SUMIFS($AN$8:$AN$1039,$O$8:$O$1039,AW7,$AB$8:$AB$1039,AS25,$R$8:$R$1039,AR25)&lt;=E37,SUMIFS($AO$8:$AO$1039,$O$8:$O$1039,AW7,$AB$8:$AB$1039,AS25,$R$8:$R$1039,AR25)&lt;=E43)</f>
        <v/>
      </c>
      <c r="AX25">
        <f>AND(SUMIFS($AN$8:$AN$1039,$O$8:$O$1039,AX7,$AB$8:$AB$1039,AS25,$R$8:$R$1039,AR25)&lt;=E49,SUMIFS($AO$8:$AO$1039,$O$8:$O$1039,AX7,$AB$8:$AB$1039,AS25,$R$8:$R$1039,AR25)&lt;=E55)</f>
        <v/>
      </c>
      <c r="AY25">
        <f>AND(SUMIFS($AN$8:$AN$1039,$O$8:$O$1039,AY7,$AB$8:$AB$1039,AS25,$R$8:$R$1039,AR25)&lt;=E61,SUMIFS($AO$8:$AO$1039,$O$8:$O$1039,AY7,$AB$8:$AB$1039,AS25,$R$8:$R$1039,AR25)&lt;=E67)</f>
        <v/>
      </c>
      <c r="AZ25">
        <f>AND(SUMIFS($AN$8:$AN$1039,$O$8:$O$1039,AZ7,$AB$8:$AB$1039,AS25,$R$8:$R$1039,AR25)&lt;=E73,SUMIFS($AO$8:$AO$1039,$O$8:$O$1039,AZ7,$AB$8:$AB$1039,AS25,$R$8:$R$1039,AR25)&lt;=E79)</f>
        <v/>
      </c>
      <c r="BA25">
        <f>AND(SUMIFS($AN$8:$AN$1039,$O$8:$O$1039,BA7,$AB$8:$AB$1039,AS25,$R$8:$R$1039,AR25)&lt;=E85,SUMIFS($AO$8:$AO$1039,$O$8:$O$1039,BA7,$AB$8:$AB$1039,AS25,$R$8:$R$1039,AR25)&lt;=E91)</f>
        <v/>
      </c>
      <c r="BB25">
        <f>AND(SUMIFS($AN$8:$AN$1039,$O$8:$O$1039,BB7,$AB$8:$AB$1039,AS25,$R$8:$R$1039,AR25)&lt;=E97,SUMIFS($AO$8:$AO$1039,$O$8:$O$1039,BB7,$AB$8:$AB$1039,AS25,$R$8:$R$1039,AR25)&lt;=E103)</f>
        <v/>
      </c>
    </row>
    <row r="26" ht="14.55" customHeight="1">
      <c r="B26" s="31" t="inlineStr">
        <is>
          <t>A+</t>
        </is>
      </c>
      <c r="C26" s="45" t="n">
        <v>0</v>
      </c>
      <c r="D26" s="45" t="n">
        <v>3</v>
      </c>
      <c r="E26" s="45" t="n">
        <v>5</v>
      </c>
      <c r="I26" s="64" t="n"/>
      <c r="O26" s="43" t="inlineStr">
        <is>
          <t>Q1’26</t>
        </is>
      </c>
      <c r="P26" s="43" t="n">
        <v>1</v>
      </c>
      <c r="Q26" s="43" t="n">
        <v>7</v>
      </c>
      <c r="R26" s="43" t="n">
        <v>1</v>
      </c>
      <c r="S26" s="45" t="n">
        <v>6916.354027750872</v>
      </c>
      <c r="T26">
        <f>(S26+S27+S28)=N2</f>
        <v/>
      </c>
      <c r="X26" s="84">
        <f>MAX(S23-S26,0)</f>
        <v/>
      </c>
      <c r="Y26" s="83" t="n">
        <v>0</v>
      </c>
      <c r="AA26" s="84" t="n">
        <v>9</v>
      </c>
      <c r="AB26" s="84" t="inlineStr">
        <is>
          <t>D</t>
        </is>
      </c>
      <c r="AC26" s="84" t="inlineStr">
        <is>
          <t>D+</t>
        </is>
      </c>
      <c r="AD26" s="84" t="n">
        <v>17</v>
      </c>
      <c r="AE26" s="84" t="n">
        <v>13</v>
      </c>
      <c r="AF26" s="84" t="n">
        <v>0.8</v>
      </c>
      <c r="AG26" s="84" t="n">
        <v>0.88</v>
      </c>
      <c r="AH26" s="84" t="n">
        <v>0</v>
      </c>
      <c r="AI26" s="84" t="n">
        <v>0</v>
      </c>
      <c r="AJ26" s="84">
        <f>SUMIFS(AH$8:AH$1039,$O$8:$O$1039,O26,$AB$8:$AB$1039,AB26,$R$8:$R$1039,R26,$AA$8:$AA$1039,"&lt;="&amp;AA26)</f>
        <v/>
      </c>
      <c r="AK26" s="84">
        <f>C11</f>
        <v/>
      </c>
      <c r="AL26" s="84">
        <f>C17</f>
        <v/>
      </c>
      <c r="AM26" s="84">
        <f>MAX(0,AJ26-AK26)</f>
        <v/>
      </c>
      <c r="AN26" s="84">
        <f>IF(AM26=0,AH26,IF(AM26&gt;=AH26,0,AH26-AM26))</f>
        <v/>
      </c>
      <c r="AO26" s="84">
        <f>IF(AM26&gt;=AH26,AI26,AI26*AM26/AH26)</f>
        <v/>
      </c>
      <c r="AP26">
        <f t="array" ref="AP26">INDEX($AU$8:$BB$25,6*(R26-1)+MATCH(AB26,$AS$8:$AS$13,0),MATCH(O26,$AU$7:$BB$7,0))</f>
        <v/>
      </c>
    </row>
    <row r="27" ht="14.55" customHeight="1">
      <c r="B27" s="31" t="inlineStr">
        <is>
          <t>B+</t>
        </is>
      </c>
      <c r="C27" s="45" t="n">
        <v>9</v>
      </c>
      <c r="D27" s="45" t="n">
        <v>0</v>
      </c>
      <c r="E27" s="45" t="n">
        <v>0</v>
      </c>
      <c r="I27" s="64" t="n"/>
      <c r="O27" s="43" t="inlineStr">
        <is>
          <t>Q1’26</t>
        </is>
      </c>
      <c r="P27" s="43" t="n">
        <v>1</v>
      </c>
      <c r="Q27" s="43" t="n">
        <v>7</v>
      </c>
      <c r="R27" s="43" t="n">
        <v>2</v>
      </c>
      <c r="S27" s="45" t="n">
        <v>4142.845972249128</v>
      </c>
      <c r="T27">
        <f>(S26+S27+S28)=N2</f>
        <v/>
      </c>
      <c r="X27" s="84">
        <f>MAX(S24-S27,0)</f>
        <v/>
      </c>
      <c r="Y27" s="83" t="n">
        <v>0</v>
      </c>
      <c r="AA27" s="84" t="n">
        <v>9</v>
      </c>
      <c r="AB27" s="84" t="inlineStr">
        <is>
          <t>D</t>
        </is>
      </c>
      <c r="AC27" s="84" t="inlineStr">
        <is>
          <t>D+</t>
        </is>
      </c>
      <c r="AD27" s="84" t="n">
        <v>17</v>
      </c>
      <c r="AE27" s="84" t="n">
        <v>13</v>
      </c>
      <c r="AF27" s="84" t="n">
        <v>0.8</v>
      </c>
      <c r="AG27" s="84" t="n">
        <v>0.88</v>
      </c>
      <c r="AH27" s="84" t="n">
        <v>0</v>
      </c>
      <c r="AI27" s="84" t="n">
        <v>0</v>
      </c>
      <c r="AJ27" s="84">
        <f>SUMIFS(AH$8:AH$1039,$O$8:$O$1039,O27,$AB$8:$AB$1039,AB27,$R$8:$R$1039,R27,$AA$8:$AA$1039,"&lt;="&amp;AA27)</f>
        <v/>
      </c>
      <c r="AK27" s="84">
        <f>D11</f>
        <v/>
      </c>
      <c r="AL27" s="84">
        <f>D17</f>
        <v/>
      </c>
      <c r="AM27" s="84">
        <f>MAX(0,AJ27-AK27)</f>
        <v/>
      </c>
      <c r="AN27" s="84">
        <f>IF(AM27=0,AH27,IF(AM27&gt;=AH27,0,AH27-AM27))</f>
        <v/>
      </c>
      <c r="AO27" s="84">
        <f>IF(AM27&gt;=AH27,AI27,AI27*AM27/AH27)</f>
        <v/>
      </c>
      <c r="AP27">
        <f t="array" ref="AP27">INDEX($AU$8:$BB$25,6*(R27-1)+MATCH(AB27,$AS$8:$AS$13,0),MATCH(O27,$AU$7:$BB$7,0))</f>
        <v/>
      </c>
    </row>
    <row r="28" ht="14.55" customHeight="1">
      <c r="B28" s="31" t="inlineStr">
        <is>
          <t>C+</t>
        </is>
      </c>
      <c r="C28" s="45" t="n">
        <v>0</v>
      </c>
      <c r="D28" s="45" t="n">
        <v>30</v>
      </c>
      <c r="E28" s="45" t="n">
        <v>1</v>
      </c>
      <c r="I28" s="64" t="n"/>
      <c r="J28">
        <f>4/16</f>
        <v/>
      </c>
      <c r="O28" s="43" t="inlineStr">
        <is>
          <t>Q1’26</t>
        </is>
      </c>
      <c r="P28" s="43" t="n">
        <v>1</v>
      </c>
      <c r="Q28" s="43" t="n">
        <v>7</v>
      </c>
      <c r="R28" s="43" t="n">
        <v>3</v>
      </c>
      <c r="S28" s="45" t="n">
        <v>940.7999999999993</v>
      </c>
      <c r="T28">
        <f>(S26+S27+S28)=N2</f>
        <v/>
      </c>
      <c r="X28" s="84">
        <f>MAX(S25-S28,0)</f>
        <v/>
      </c>
      <c r="Y28" s="83" t="n">
        <v>0</v>
      </c>
      <c r="AA28" s="84" t="n">
        <v>9</v>
      </c>
      <c r="AB28" s="84" t="inlineStr">
        <is>
          <t>D</t>
        </is>
      </c>
      <c r="AC28" s="84" t="inlineStr">
        <is>
          <t>D+</t>
        </is>
      </c>
      <c r="AD28" s="84" t="n">
        <v>17</v>
      </c>
      <c r="AE28" s="84" t="n">
        <v>13</v>
      </c>
      <c r="AF28" s="84" t="n">
        <v>0.8</v>
      </c>
      <c r="AG28" s="84" t="n">
        <v>0.88</v>
      </c>
      <c r="AH28" s="84" t="n">
        <v>0</v>
      </c>
      <c r="AI28" s="84" t="n">
        <v>0</v>
      </c>
      <c r="AJ28" s="84">
        <f>SUMIFS(AH$8:AH$1039,$O$8:$O$1039,O28,$AB$8:$AB$1039,AB28,$R$8:$R$1039,R28,$AA$8:$AA$1039,"&lt;="&amp;AA28)</f>
        <v/>
      </c>
      <c r="AK28" s="84">
        <f>E11</f>
        <v/>
      </c>
      <c r="AL28" s="84">
        <f>E17</f>
        <v/>
      </c>
      <c r="AM28" s="84">
        <f>MAX(0,AJ28-AK28)</f>
        <v/>
      </c>
      <c r="AN28" s="84">
        <f>IF(AM28=0,AH28,IF(AM28&gt;=AH28,0,AH28-AM28))</f>
        <v/>
      </c>
      <c r="AO28" s="84">
        <f>IF(AM28&gt;=AH28,AI28,AI28*AM28/AH28)</f>
        <v/>
      </c>
      <c r="AP28">
        <f t="array" ref="AP28">INDEX($AU$8:$BB$25,6*(R28-1)+MATCH(AB28,$AS$8:$AS$13,0),MATCH(O28,$AU$7:$BB$7,0))</f>
        <v/>
      </c>
    </row>
    <row r="29" ht="14.55" customHeight="1">
      <c r="B29" s="31" t="inlineStr">
        <is>
          <t>D+</t>
        </is>
      </c>
      <c r="C29" s="45" t="n">
        <v>17</v>
      </c>
      <c r="D29" s="45" t="n">
        <v>2</v>
      </c>
      <c r="E29" s="45" t="n">
        <v>28</v>
      </c>
      <c r="I29" s="64" t="n"/>
      <c r="O29" s="43" t="inlineStr">
        <is>
          <t>Q1’26</t>
        </is>
      </c>
      <c r="P29" s="43" t="n">
        <v>1</v>
      </c>
      <c r="Q29" s="43" t="n">
        <v>8</v>
      </c>
      <c r="R29" s="43" t="n">
        <v>1</v>
      </c>
      <c r="S29" s="45" t="n">
        <v>6916.354027750872</v>
      </c>
      <c r="T29">
        <f>(S29+S30+S31)=N2</f>
        <v/>
      </c>
      <c r="X29" s="84">
        <f>MAX(S26-S29,0)</f>
        <v/>
      </c>
      <c r="Y29" s="83" t="n">
        <v>0</v>
      </c>
      <c r="AA29" s="84" t="n">
        <v>1</v>
      </c>
      <c r="AB29" s="84" t="inlineStr">
        <is>
          <t>A</t>
        </is>
      </c>
      <c r="AC29" s="84" t="inlineStr">
        <is>
          <t>A+</t>
        </is>
      </c>
      <c r="AD29" s="84" t="n">
        <v>18</v>
      </c>
      <c r="AE29" s="84" t="n">
        <v>16</v>
      </c>
      <c r="AF29" s="84" t="n">
        <v>0.78</v>
      </c>
      <c r="AG29" s="84" t="n">
        <v>0.84</v>
      </c>
      <c r="AH29" s="84" t="n">
        <v>0</v>
      </c>
      <c r="AI29" s="84" t="n">
        <v>0</v>
      </c>
      <c r="AJ29" s="84">
        <f>SUMIFS(AH$8:AH$1039,$O$8:$O$1039,O29,$AB$8:$AB$1039,AB29,$R$8:$R$1039,R29,$AA$8:$AA$1039,"&lt;="&amp;AA29)</f>
        <v/>
      </c>
      <c r="AK29" s="84">
        <f>C8</f>
        <v/>
      </c>
      <c r="AL29" s="84">
        <f>C14</f>
        <v/>
      </c>
      <c r="AM29" s="84">
        <f>MAX(0,AJ29-AK29)</f>
        <v/>
      </c>
      <c r="AN29" s="84">
        <f>IF(AM29=0,AH29,IF(AM29&gt;=AH29,0,AH29-AM29))</f>
        <v/>
      </c>
      <c r="AO29" s="84">
        <f>IF(AM29&gt;=AH29,AI29,AI29*AM29/AH29)</f>
        <v/>
      </c>
      <c r="AP29">
        <f t="array" ref="AP29">INDEX($AU$8:$BB$25,6*(R29-1)+MATCH(AB29,$AS$8:$AS$13,0),MATCH(O29,$AU$7:$BB$7,0))</f>
        <v/>
      </c>
    </row>
    <row r="30" ht="14.55" customHeight="1">
      <c r="B30" s="31" t="inlineStr">
        <is>
          <t>E+</t>
        </is>
      </c>
      <c r="C30" s="45" t="n">
        <v>0</v>
      </c>
      <c r="D30" s="45" t="n">
        <v>15</v>
      </c>
      <c r="E30" s="45" t="n">
        <v>6</v>
      </c>
      <c r="I30" s="64" t="n"/>
      <c r="O30" s="43" t="inlineStr">
        <is>
          <t>Q1’26</t>
        </is>
      </c>
      <c r="P30" s="43" t="n">
        <v>1</v>
      </c>
      <c r="Q30" s="43" t="n">
        <v>8</v>
      </c>
      <c r="R30" s="43" t="n">
        <v>2</v>
      </c>
      <c r="S30" s="45" t="n">
        <v>4142.845972249129</v>
      </c>
      <c r="T30">
        <f>(S29+S30+S31)=N2</f>
        <v/>
      </c>
      <c r="X30" s="84">
        <f>MAX(S27-S30,0)</f>
        <v/>
      </c>
      <c r="Y30" s="83" t="n">
        <v>0</v>
      </c>
      <c r="AA30" s="84" t="n">
        <v>1</v>
      </c>
      <c r="AB30" s="84" t="inlineStr">
        <is>
          <t>A</t>
        </is>
      </c>
      <c r="AC30" s="84" t="inlineStr">
        <is>
          <t>A+</t>
        </is>
      </c>
      <c r="AD30" s="84" t="n">
        <v>18</v>
      </c>
      <c r="AE30" s="84" t="n">
        <v>16</v>
      </c>
      <c r="AF30" s="84" t="n">
        <v>0.78</v>
      </c>
      <c r="AG30" s="84" t="n">
        <v>0.84</v>
      </c>
      <c r="AH30" s="84" t="n">
        <v>0</v>
      </c>
      <c r="AI30" s="84" t="n">
        <v>0</v>
      </c>
      <c r="AJ30" s="84">
        <f>SUMIFS(AH$8:AH$1039,$O$8:$O$1039,O30,$AB$8:$AB$1039,AB30,$R$8:$R$1039,R30,$AA$8:$AA$1039,"&lt;="&amp;AA30)</f>
        <v/>
      </c>
      <c r="AK30" s="84">
        <f>D8</f>
        <v/>
      </c>
      <c r="AL30" s="84">
        <f>D14</f>
        <v/>
      </c>
      <c r="AM30" s="84">
        <f>MAX(0,AJ30-AK30)</f>
        <v/>
      </c>
      <c r="AN30" s="84">
        <f>IF(AM30=0,AH30,IF(AM30&gt;=AH30,0,AH30-AM30))</f>
        <v/>
      </c>
      <c r="AO30" s="84">
        <f>IF(AM30&gt;=AH30,AI30,AI30*AM30/AH30)</f>
        <v/>
      </c>
      <c r="AP30">
        <f t="array" ref="AP30">INDEX($AU$8:$BB$25,6*(R30-1)+MATCH(AB30,$AS$8:$AS$13,0),MATCH(O30,$AU$7:$BB$7,0))</f>
        <v/>
      </c>
    </row>
    <row r="31" ht="14.55" customHeight="1">
      <c r="B31" s="31" t="inlineStr">
        <is>
          <t>F+</t>
        </is>
      </c>
      <c r="C31" s="45" t="n">
        <v>3</v>
      </c>
      <c r="D31" s="45" t="n">
        <v>3</v>
      </c>
      <c r="E31" s="45" t="n">
        <v>0</v>
      </c>
      <c r="F31" s="44" t="inlineStr">
        <is>
          <t>Fab 1 space</t>
        </is>
      </c>
      <c r="G31" s="44" t="inlineStr">
        <is>
          <t>Fab 2 space</t>
        </is>
      </c>
      <c r="H31" s="44" t="inlineStr">
        <is>
          <t>Fab 3 space</t>
        </is>
      </c>
      <c r="I31" s="64" t="n"/>
      <c r="O31" s="43" t="inlineStr">
        <is>
          <t>Q1’26</t>
        </is>
      </c>
      <c r="P31" s="43" t="n">
        <v>1</v>
      </c>
      <c r="Q31" s="43" t="n">
        <v>8</v>
      </c>
      <c r="R31" s="43" t="n">
        <v>3</v>
      </c>
      <c r="S31" s="45" t="n">
        <v>940.799999999999</v>
      </c>
      <c r="T31">
        <f>(S29+S30+S31)=N2</f>
        <v/>
      </c>
      <c r="X31" s="84">
        <f>MAX(S28-S31,0)</f>
        <v/>
      </c>
      <c r="Y31" s="83" t="n">
        <v>0</v>
      </c>
      <c r="AA31" s="84" t="n">
        <v>1</v>
      </c>
      <c r="AB31" s="84" t="inlineStr">
        <is>
          <t>A</t>
        </is>
      </c>
      <c r="AC31" s="84" t="inlineStr">
        <is>
          <t>A+</t>
        </is>
      </c>
      <c r="AD31" s="84" t="n">
        <v>18</v>
      </c>
      <c r="AE31" s="84" t="n">
        <v>16</v>
      </c>
      <c r="AF31" s="84" t="n">
        <v>0.78</v>
      </c>
      <c r="AG31" s="84" t="n">
        <v>0.84</v>
      </c>
      <c r="AH31" s="84" t="n">
        <v>0</v>
      </c>
      <c r="AI31" s="84" t="n">
        <v>0</v>
      </c>
      <c r="AJ31" s="84">
        <f>SUMIFS(AH$8:AH$1039,$O$8:$O$1039,O31,$AB$8:$AB$1039,AB31,$R$8:$R$1039,R31,$AA$8:$AA$1039,"&lt;="&amp;AA31)</f>
        <v/>
      </c>
      <c r="AK31" s="84">
        <f>E8</f>
        <v/>
      </c>
      <c r="AL31" s="84">
        <f>E14</f>
        <v/>
      </c>
      <c r="AM31" s="84">
        <f>MAX(0,AJ31-AK31)</f>
        <v/>
      </c>
      <c r="AN31" s="84">
        <f>IF(AM31=0,AH31,IF(AM31&gt;=AH31,0,AH31-AM31))</f>
        <v/>
      </c>
      <c r="AO31" s="84">
        <f>IF(AM31&gt;=AH31,AI31,AI31*AM31/AH31)</f>
        <v/>
      </c>
      <c r="AP31">
        <f t="array" ref="AP31">INDEX($AU$8:$BB$25,6*(R31-1)+MATCH(AB31,$AS$8:$AS$13,0),MATCH(O31,$AU$7:$BB$7,0))</f>
        <v/>
      </c>
    </row>
    <row r="32" ht="14.25" customHeight="1">
      <c r="A32" s="85" t="inlineStr">
        <is>
          <t>WS Component for Q3’26</t>
        </is>
      </c>
      <c r="B32" s="31" t="inlineStr">
        <is>
          <t>A</t>
        </is>
      </c>
      <c r="C32" s="45" t="n">
        <v>50</v>
      </c>
      <c r="D32" s="45" t="n">
        <v>35</v>
      </c>
      <c r="E32" s="45" t="n">
        <v>0</v>
      </c>
      <c r="F32">
        <f t="array" ref="F32">SUM(C32:C43*data!$B$3:$B$14)</f>
        <v/>
      </c>
      <c r="G32">
        <f t="array" ref="G32">SUM(D32:D43*data!$B$3:$B$14)</f>
        <v/>
      </c>
      <c r="H32">
        <f t="array" ref="H32">SUM(E32:E43*data!$B$3:$B$14)</f>
        <v/>
      </c>
      <c r="I32" s="64" t="inlineStr">
        <is>
          <t>&lt;- make sure its green</t>
        </is>
      </c>
      <c r="O32" s="43" t="inlineStr">
        <is>
          <t>Q1’26</t>
        </is>
      </c>
      <c r="P32" s="43" t="n">
        <v>1</v>
      </c>
      <c r="Q32" s="43" t="n">
        <v>9</v>
      </c>
      <c r="R32" s="43" t="n">
        <v>1</v>
      </c>
      <c r="S32" s="45" t="n">
        <v>6916.354027750872</v>
      </c>
      <c r="T32">
        <f>(S32+S33+S34)=N2</f>
        <v/>
      </c>
      <c r="X32" s="84">
        <f>MAX(S29-S32,0)</f>
        <v/>
      </c>
      <c r="Y32" s="83" t="n">
        <v>0</v>
      </c>
      <c r="AA32" s="84" t="n">
        <v>2</v>
      </c>
      <c r="AB32" s="84" t="inlineStr">
        <is>
          <t>A</t>
        </is>
      </c>
      <c r="AC32" s="84" t="inlineStr">
        <is>
          <t>A+</t>
        </is>
      </c>
      <c r="AD32" s="84" t="n">
        <v>16</v>
      </c>
      <c r="AE32" s="84" t="n">
        <v>13</v>
      </c>
      <c r="AF32" s="84" t="n">
        <v>0.78</v>
      </c>
      <c r="AG32" s="84" t="n">
        <v>0.84</v>
      </c>
      <c r="AH32" s="84" t="n">
        <v>0</v>
      </c>
      <c r="AI32" s="84" t="n">
        <v>0</v>
      </c>
      <c r="AJ32" s="84">
        <f>SUMIFS(AH$8:AH$1039,$O$8:$O$1039,O32,$AB$8:$AB$1039,AB32,$R$8:$R$1039,R32,$AA$8:$AA$1039,"&lt;="&amp;AA32)</f>
        <v/>
      </c>
      <c r="AK32" s="84">
        <f>C8</f>
        <v/>
      </c>
      <c r="AL32" s="84">
        <f>C14</f>
        <v/>
      </c>
      <c r="AM32" s="84">
        <f>MAX(0,AJ32-AK32)</f>
        <v/>
      </c>
      <c r="AN32" s="84">
        <f>IF(AM32=0,AH32,IF(AM32&gt;=AH32,0,AH32-AM32))</f>
        <v/>
      </c>
      <c r="AO32" s="84">
        <f>IF(AM32&gt;=AH32,AI32,AI32*AM32/AH32)</f>
        <v/>
      </c>
      <c r="AP32">
        <f t="array" ref="AP32">INDEX($AU$8:$BB$25,6*(R32-1)+MATCH(AB32,$AS$8:$AS$13,0),MATCH(O32,$AU$7:$BB$7,0))</f>
        <v/>
      </c>
    </row>
    <row r="33" ht="14.55" customHeight="1">
      <c r="B33" s="31" t="inlineStr">
        <is>
          <t>B</t>
        </is>
      </c>
      <c r="C33" s="45" t="n">
        <v>25</v>
      </c>
      <c r="D33" s="45" t="n">
        <v>21</v>
      </c>
      <c r="E33" s="45" t="n">
        <v>0</v>
      </c>
      <c r="I33" s="64" t="n"/>
      <c r="O33" s="43" t="inlineStr">
        <is>
          <t>Q1’26</t>
        </is>
      </c>
      <c r="P33" s="43" t="n">
        <v>1</v>
      </c>
      <c r="Q33" s="43" t="n">
        <v>9</v>
      </c>
      <c r="R33" s="43" t="n">
        <v>2</v>
      </c>
      <c r="S33" s="45" t="n">
        <v>4142.845972249129</v>
      </c>
      <c r="T33">
        <f>(S32+S33+S34)=N2</f>
        <v/>
      </c>
      <c r="X33" s="84">
        <f>MAX(S30-S33,0)</f>
        <v/>
      </c>
      <c r="Y33" s="83" t="n">
        <v>0</v>
      </c>
      <c r="AA33" s="84" t="n">
        <v>2</v>
      </c>
      <c r="AB33" s="84" t="inlineStr">
        <is>
          <t>A</t>
        </is>
      </c>
      <c r="AC33" s="84" t="inlineStr">
        <is>
          <t>A+</t>
        </is>
      </c>
      <c r="AD33" s="84" t="n">
        <v>16</v>
      </c>
      <c r="AE33" s="84" t="n">
        <v>13</v>
      </c>
      <c r="AF33" s="84" t="n">
        <v>0.78</v>
      </c>
      <c r="AG33" s="84" t="n">
        <v>0.84</v>
      </c>
      <c r="AH33" s="84" t="n">
        <v>0</v>
      </c>
      <c r="AI33" s="84" t="n">
        <v>0</v>
      </c>
      <c r="AJ33" s="84">
        <f>SUMIFS(AH$8:AH$1039,$O$8:$O$1039,O33,$AB$8:$AB$1039,AB33,$R$8:$R$1039,R33,$AA$8:$AA$1039,"&lt;="&amp;AA33)</f>
        <v/>
      </c>
      <c r="AK33" s="84">
        <f>D8</f>
        <v/>
      </c>
      <c r="AL33" s="84">
        <f>D14</f>
        <v/>
      </c>
      <c r="AM33" s="84">
        <f>MAX(0,AJ33-AK33)</f>
        <v/>
      </c>
      <c r="AN33" s="84">
        <f>IF(AM33=0,AH33,IF(AM33&gt;=AH33,0,AH33-AM33))</f>
        <v/>
      </c>
      <c r="AO33" s="84">
        <f>IF(AM33&gt;=AH33,AI33,AI33*AM33/AH33)</f>
        <v/>
      </c>
      <c r="AP33">
        <f t="array" ref="AP33">INDEX($AU$8:$BB$25,6*(R33-1)+MATCH(AB33,$AS$8:$AS$13,0),MATCH(O33,$AU$7:$BB$7,0))</f>
        <v/>
      </c>
    </row>
    <row r="34" ht="14.55" customHeight="1">
      <c r="B34" s="31" t="inlineStr">
        <is>
          <t>C</t>
        </is>
      </c>
      <c r="C34" s="45" t="n">
        <v>0</v>
      </c>
      <c r="D34" s="45" t="n">
        <v>0</v>
      </c>
      <c r="E34" s="45" t="n">
        <v>16</v>
      </c>
      <c r="F34" s="84" t="inlineStr">
        <is>
          <t>New tool purchase cost</t>
        </is>
      </c>
      <c r="I34" s="64" t="n"/>
      <c r="O34" s="43" t="inlineStr">
        <is>
          <t>Q1’26</t>
        </is>
      </c>
      <c r="P34" s="43" t="n">
        <v>1</v>
      </c>
      <c r="Q34" s="43" t="n">
        <v>9</v>
      </c>
      <c r="R34" s="43" t="n">
        <v>3</v>
      </c>
      <c r="S34" s="45" t="n">
        <v>940.799999999999</v>
      </c>
      <c r="T34">
        <f>(S32+S33+S34)=N2</f>
        <v/>
      </c>
      <c r="X34" s="84">
        <f>MAX(S31-S34,0)</f>
        <v/>
      </c>
      <c r="Y34" s="83" t="n">
        <v>0</v>
      </c>
      <c r="AA34" s="84" t="n">
        <v>2</v>
      </c>
      <c r="AB34" s="84" t="inlineStr">
        <is>
          <t>A</t>
        </is>
      </c>
      <c r="AC34" s="84" t="inlineStr">
        <is>
          <t>A+</t>
        </is>
      </c>
      <c r="AD34" s="84" t="n">
        <v>16</v>
      </c>
      <c r="AE34" s="84" t="n">
        <v>13</v>
      </c>
      <c r="AF34" s="84" t="n">
        <v>0.78</v>
      </c>
      <c r="AG34" s="84" t="n">
        <v>0.84</v>
      </c>
      <c r="AH34" s="84" t="n">
        <v>0</v>
      </c>
      <c r="AI34" s="84" t="n">
        <v>0</v>
      </c>
      <c r="AJ34" s="84">
        <f>SUMIFS(AH$8:AH$1039,$O$8:$O$1039,O34,$AB$8:$AB$1039,AB34,$R$8:$R$1039,R34,$AA$8:$AA$1039,"&lt;="&amp;AA34)</f>
        <v/>
      </c>
      <c r="AK34" s="84">
        <f>E8</f>
        <v/>
      </c>
      <c r="AL34" s="84">
        <f>E14</f>
        <v/>
      </c>
      <c r="AM34" s="84">
        <f>MAX(0,AJ34-AK34)</f>
        <v/>
      </c>
      <c r="AN34" s="84">
        <f>IF(AM34=0,AH34,IF(AM34&gt;=AH34,0,AH34-AM34))</f>
        <v/>
      </c>
      <c r="AO34" s="84">
        <f>IF(AM34&gt;=AH34,AI34,AI34*AM34/AH34)</f>
        <v/>
      </c>
      <c r="AP34">
        <f t="array" ref="AP34">INDEX($AU$8:$BB$25,6*(R34-1)+MATCH(AB34,$AS$8:$AS$13,0),MATCH(O34,$AU$7:$BB$7,0))</f>
        <v/>
      </c>
    </row>
    <row r="35" ht="14.55" customHeight="1">
      <c r="B35" s="31" t="inlineStr">
        <is>
          <t>D</t>
        </is>
      </c>
      <c r="C35" s="45" t="n">
        <v>38</v>
      </c>
      <c r="D35" s="45" t="n">
        <v>42</v>
      </c>
      <c r="E35" s="45" t="n">
        <v>5</v>
      </c>
      <c r="F35" s="83">
        <f t="array" ref="F35">SUM(
     _xlfn.BYROW(
           IF(C32:E43-C20:E31&gt;0, C32:E43-C20:E31, 0),
           _xleta.SUM)
     *data!$C$3:$C$14
)</f>
        <v/>
      </c>
      <c r="I35" s="64" t="n"/>
      <c r="O35" s="43" t="inlineStr">
        <is>
          <t>Q1’26</t>
        </is>
      </c>
      <c r="P35" s="43" t="n">
        <v>1</v>
      </c>
      <c r="Q35" s="43" t="n">
        <v>10</v>
      </c>
      <c r="R35" s="43" t="n">
        <v>1</v>
      </c>
      <c r="S35" s="45" t="n">
        <v>6916.354027750872</v>
      </c>
      <c r="T35">
        <f>(S35+S36+S37)=N2</f>
        <v/>
      </c>
      <c r="X35" s="84">
        <f>MAX(S32-S35,0)</f>
        <v/>
      </c>
      <c r="Y35" s="83" t="n">
        <v>0</v>
      </c>
      <c r="AA35" s="84" t="n">
        <v>6</v>
      </c>
      <c r="AB35" s="84" t="inlineStr">
        <is>
          <t>D</t>
        </is>
      </c>
      <c r="AC35" s="84" t="inlineStr">
        <is>
          <t>D+</t>
        </is>
      </c>
      <c r="AD35" s="84" t="n">
        <v>14</v>
      </c>
      <c r="AE35" s="84" t="n">
        <v>11</v>
      </c>
      <c r="AF35" s="84" t="n">
        <v>0.8</v>
      </c>
      <c r="AG35" s="84" t="n">
        <v>0.88</v>
      </c>
      <c r="AH35" s="84" t="n">
        <v>0</v>
      </c>
      <c r="AI35" s="84" t="n">
        <v>0</v>
      </c>
      <c r="AJ35" s="84">
        <f>SUMIFS(AH$8:AH$1039,$O$8:$O$1039,O35,$AB$8:$AB$1039,AB35,$R$8:$R$1039,R35,$AA$8:$AA$1039,"&lt;="&amp;AA35)</f>
        <v/>
      </c>
      <c r="AK35" s="84">
        <f>C11</f>
        <v/>
      </c>
      <c r="AL35" s="84">
        <f>C17</f>
        <v/>
      </c>
      <c r="AM35" s="84">
        <f>MAX(0,AJ35-AK35)</f>
        <v/>
      </c>
      <c r="AN35" s="84">
        <f>IF(AM35=0,AH35,IF(AM35&gt;=AH35,0,AH35-AM35))</f>
        <v/>
      </c>
      <c r="AO35" s="84">
        <f>IF(AM35&gt;=AH35,AI35,AI35*AM35/AH35)</f>
        <v/>
      </c>
      <c r="AP35">
        <f t="array" ref="AP35">INDEX($AU$8:$BB$25,6*(R35-1)+MATCH(AB35,$AS$8:$AS$13,0),MATCH(O35,$AU$7:$BB$7,0))</f>
        <v/>
      </c>
    </row>
    <row r="36" ht="14.55" customHeight="1">
      <c r="B36" s="31" t="inlineStr">
        <is>
          <t>E</t>
        </is>
      </c>
      <c r="C36" s="45" t="n">
        <v>40</v>
      </c>
      <c r="D36" s="45" t="n">
        <v>30</v>
      </c>
      <c r="E36" s="45" t="n">
        <v>16</v>
      </c>
      <c r="F36" s="84" t="inlineStr">
        <is>
          <t>Moveout cost</t>
        </is>
      </c>
      <c r="I36" s="64" t="n"/>
      <c r="O36" s="43" t="inlineStr">
        <is>
          <t>Q1’26</t>
        </is>
      </c>
      <c r="P36" s="43" t="n">
        <v>1</v>
      </c>
      <c r="Q36" s="43" t="n">
        <v>10</v>
      </c>
      <c r="R36" s="43" t="n">
        <v>2</v>
      </c>
      <c r="S36" s="45" t="n">
        <v>4142.845972249129</v>
      </c>
      <c r="T36">
        <f>(S35+S36+S37)=N2</f>
        <v/>
      </c>
      <c r="X36" s="84">
        <f>MAX(S33-S36,0)</f>
        <v/>
      </c>
      <c r="Y36" s="83" t="n">
        <v>0</v>
      </c>
      <c r="AA36" s="84" t="n">
        <v>6</v>
      </c>
      <c r="AB36" s="84" t="inlineStr">
        <is>
          <t>D</t>
        </is>
      </c>
      <c r="AC36" s="84" t="inlineStr">
        <is>
          <t>D+</t>
        </is>
      </c>
      <c r="AD36" s="84" t="n">
        <v>14</v>
      </c>
      <c r="AE36" s="84" t="n">
        <v>11</v>
      </c>
      <c r="AF36" s="84" t="n">
        <v>0.8</v>
      </c>
      <c r="AG36" s="84" t="n">
        <v>0.88</v>
      </c>
      <c r="AH36" s="84" t="n">
        <v>0</v>
      </c>
      <c r="AI36" s="84" t="n">
        <v>0</v>
      </c>
      <c r="AJ36" s="84">
        <f>SUMIFS(AH$8:AH$1039,$O$8:$O$1039,O36,$AB$8:$AB$1039,AB36,$R$8:$R$1039,R36,$AA$8:$AA$1039,"&lt;="&amp;AA36)</f>
        <v/>
      </c>
      <c r="AK36" s="84">
        <f>D11</f>
        <v/>
      </c>
      <c r="AL36" s="84">
        <f>D17</f>
        <v/>
      </c>
      <c r="AM36" s="84">
        <f>MAX(0,AJ36-AK36)</f>
        <v/>
      </c>
      <c r="AN36" s="84">
        <f>IF(AM36=0,AH36,IF(AM36&gt;=AH36,0,AH36-AM36))</f>
        <v/>
      </c>
      <c r="AO36" s="84">
        <f>IF(AM36&gt;=AH36,AI36,AI36*AM36/AH36)</f>
        <v/>
      </c>
      <c r="AP36">
        <f t="array" ref="AP36">INDEX($AU$8:$BB$25,6*(R36-1)+MATCH(AB36,$AS$8:$AS$13,0),MATCH(O36,$AU$7:$BB$7,0))</f>
        <v/>
      </c>
    </row>
    <row r="37" ht="14.55" customHeight="1">
      <c r="B37" s="31" t="inlineStr">
        <is>
          <t>F</t>
        </is>
      </c>
      <c r="C37" s="45" t="n">
        <v>90</v>
      </c>
      <c r="D37" s="45" t="n">
        <v>60</v>
      </c>
      <c r="E37" s="45" t="n">
        <v>29</v>
      </c>
      <c r="F37" s="83">
        <f t="array" ref="F37">SUM(
     _xlfn.BYROW(
           IF(C32:E43-C20:E31&lt;0, C32:E43-C20:E31, 0),
           _xleta.SUM)
     * -1000000
)</f>
        <v/>
      </c>
      <c r="I37" s="64" t="n"/>
      <c r="O37" s="43" t="inlineStr">
        <is>
          <t>Q1’26</t>
        </is>
      </c>
      <c r="P37" s="43" t="n">
        <v>1</v>
      </c>
      <c r="Q37" s="43" t="n">
        <v>10</v>
      </c>
      <c r="R37" s="43" t="n">
        <v>3</v>
      </c>
      <c r="S37" s="45" t="n">
        <v>940.799999999999</v>
      </c>
      <c r="T37">
        <f>(S35+S36+S37)=N2</f>
        <v/>
      </c>
      <c r="X37" s="84">
        <f>MAX(S34-S37,0)</f>
        <v/>
      </c>
      <c r="Y37" s="83" t="n">
        <v>0</v>
      </c>
      <c r="AA37" s="84" t="n">
        <v>6</v>
      </c>
      <c r="AB37" s="84" t="inlineStr">
        <is>
          <t>D</t>
        </is>
      </c>
      <c r="AC37" s="84" t="inlineStr">
        <is>
          <t>D+</t>
        </is>
      </c>
      <c r="AD37" s="84" t="n">
        <v>14</v>
      </c>
      <c r="AE37" s="84" t="n">
        <v>11</v>
      </c>
      <c r="AF37" s="84" t="n">
        <v>0.8</v>
      </c>
      <c r="AG37" s="84" t="n">
        <v>0.88</v>
      </c>
      <c r="AH37" s="84" t="n">
        <v>0</v>
      </c>
      <c r="AI37" s="84" t="n">
        <v>0</v>
      </c>
      <c r="AJ37" s="84">
        <f>SUMIFS(AH$8:AH$1039,$O$8:$O$1039,O37,$AB$8:$AB$1039,AB37,$R$8:$R$1039,R37,$AA$8:$AA$1039,"&lt;="&amp;AA37)</f>
        <v/>
      </c>
      <c r="AK37" s="84">
        <f>E11</f>
        <v/>
      </c>
      <c r="AL37" s="84">
        <f>E17</f>
        <v/>
      </c>
      <c r="AM37" s="84">
        <f>MAX(0,AJ37-AK37)</f>
        <v/>
      </c>
      <c r="AN37" s="84">
        <f>IF(AM37=0,AH37,IF(AM37&gt;=AH37,0,AH37-AM37))</f>
        <v/>
      </c>
      <c r="AO37" s="84">
        <f>IF(AM37&gt;=AH37,AI37,AI37*AM37/AH37)</f>
        <v/>
      </c>
      <c r="AP37">
        <f t="array" ref="AP37">INDEX($AU$8:$BB$25,6*(R37-1)+MATCH(AB37,$AS$8:$AS$13,0),MATCH(O37,$AU$7:$BB$7,0))</f>
        <v/>
      </c>
    </row>
    <row r="38" ht="14.55" customHeight="1">
      <c r="B38" s="31" t="inlineStr">
        <is>
          <t>A+</t>
        </is>
      </c>
      <c r="C38" s="45" t="n">
        <v>0</v>
      </c>
      <c r="D38" s="45" t="n">
        <v>3</v>
      </c>
      <c r="E38" s="45" t="n">
        <v>5</v>
      </c>
      <c r="I38" s="64" t="n"/>
      <c r="O38" s="43" t="inlineStr">
        <is>
          <t>Q1’26</t>
        </is>
      </c>
      <c r="P38" s="43" t="n">
        <v>1</v>
      </c>
      <c r="Q38" s="43" t="n">
        <v>11</v>
      </c>
      <c r="R38" s="43" t="n">
        <v>1</v>
      </c>
      <c r="S38" s="45" t="n">
        <v>6916.354027750874</v>
      </c>
      <c r="T38">
        <f>(S38+S39+S40)=N2</f>
        <v/>
      </c>
      <c r="X38" s="84">
        <f>MAX(S35-S38,0)</f>
        <v/>
      </c>
      <c r="Y38" s="83" t="n">
        <v>0</v>
      </c>
      <c r="AA38" s="84" t="n">
        <v>3</v>
      </c>
      <c r="AB38" s="84" t="inlineStr">
        <is>
          <t>F</t>
        </is>
      </c>
      <c r="AC38" s="84" t="inlineStr">
        <is>
          <t>F+</t>
        </is>
      </c>
      <c r="AD38" s="84" t="n">
        <v>18</v>
      </c>
      <c r="AE38" s="84" t="n">
        <v>16</v>
      </c>
      <c r="AF38" s="84" t="n">
        <v>0.8</v>
      </c>
      <c r="AG38" s="84" t="n">
        <v>0.9</v>
      </c>
      <c r="AH38" s="84" t="n">
        <v>0</v>
      </c>
      <c r="AI38" s="84" t="n">
        <v>0</v>
      </c>
      <c r="AJ38" s="84">
        <f>SUMIFS(AH$8:AH$1039,$O$8:$O$1039,O38,$AB$8:$AB$1039,AB38,$R$8:$R$1039,R38,$AA$8:$AA$1039,"&lt;="&amp;AA38)</f>
        <v/>
      </c>
      <c r="AK38" s="84">
        <f>C13</f>
        <v/>
      </c>
      <c r="AL38" s="84">
        <f>C19</f>
        <v/>
      </c>
      <c r="AM38" s="84">
        <f>MAX(0,AJ38-AK38)</f>
        <v/>
      </c>
      <c r="AN38" s="84">
        <f>IF(AM38=0,AH38,IF(AM38&gt;=AH38,0,AH38-AM38))</f>
        <v/>
      </c>
      <c r="AO38" s="84">
        <f>IF(AM38&gt;=AH38,AI38,AI38*AM38/AH38)</f>
        <v/>
      </c>
      <c r="AP38">
        <f t="array" ref="AP38">INDEX($AU$8:$BB$25,6*(R38-1)+MATCH(AB38,$AS$8:$AS$13,0),MATCH(O38,$AU$7:$BB$7,0))</f>
        <v/>
      </c>
    </row>
    <row r="39" ht="14.55" customHeight="1">
      <c r="B39" s="31" t="inlineStr">
        <is>
          <t>B+</t>
        </is>
      </c>
      <c r="C39" s="45" t="n">
        <v>9</v>
      </c>
      <c r="D39" s="45" t="n">
        <v>0</v>
      </c>
      <c r="E39" s="45" t="n">
        <v>0</v>
      </c>
      <c r="I39" s="64" t="n"/>
      <c r="O39" s="43" t="inlineStr">
        <is>
          <t>Q1’26</t>
        </is>
      </c>
      <c r="P39" s="43" t="n">
        <v>1</v>
      </c>
      <c r="Q39" s="43" t="n">
        <v>11</v>
      </c>
      <c r="R39" s="43" t="n">
        <v>2</v>
      </c>
      <c r="S39" s="45" t="n">
        <v>4142.845972249127</v>
      </c>
      <c r="T39">
        <f>(S38+S39+S40)=N2</f>
        <v/>
      </c>
      <c r="X39" s="84">
        <f>MAX(S36-S39,0)</f>
        <v/>
      </c>
      <c r="Y39" s="83" t="n">
        <v>0</v>
      </c>
      <c r="AA39" s="84" t="n">
        <v>3</v>
      </c>
      <c r="AB39" s="84" t="inlineStr">
        <is>
          <t>F</t>
        </is>
      </c>
      <c r="AC39" s="84" t="inlineStr">
        <is>
          <t>F+</t>
        </is>
      </c>
      <c r="AD39" s="84" t="n">
        <v>18</v>
      </c>
      <c r="AE39" s="84" t="n">
        <v>16</v>
      </c>
      <c r="AF39" s="84" t="n">
        <v>0.8</v>
      </c>
      <c r="AG39" s="84" t="n">
        <v>0.9</v>
      </c>
      <c r="AH39" s="84" t="n">
        <v>0</v>
      </c>
      <c r="AI39" s="84" t="n">
        <v>0</v>
      </c>
      <c r="AJ39" s="84">
        <f>SUMIFS(AH$8:AH$1039,$O$8:$O$1039,O39,$AB$8:$AB$1039,AB39,$R$8:$R$1039,R39,$AA$8:$AA$1039,"&lt;="&amp;AA39)</f>
        <v/>
      </c>
      <c r="AK39" s="84">
        <f>D13</f>
        <v/>
      </c>
      <c r="AL39" s="84">
        <f>D19</f>
        <v/>
      </c>
      <c r="AM39" s="84">
        <f>MAX(0,AJ39-AK39)</f>
        <v/>
      </c>
      <c r="AN39" s="84">
        <f>IF(AM39=0,AH39,IF(AM39&gt;=AH39,0,AH39-AM39))</f>
        <v/>
      </c>
      <c r="AO39" s="84">
        <f>IF(AM39&gt;=AH39,AI39,AI39*AM39/AH39)</f>
        <v/>
      </c>
      <c r="AP39">
        <f t="array" ref="AP39">INDEX($AU$8:$BB$25,6*(R39-1)+MATCH(AB39,$AS$8:$AS$13,0),MATCH(O39,$AU$7:$BB$7,0))</f>
        <v/>
      </c>
    </row>
    <row r="40" ht="14.55" customHeight="1">
      <c r="B40" s="31" t="inlineStr">
        <is>
          <t>C+</t>
        </is>
      </c>
      <c r="C40" s="45" t="n">
        <v>0</v>
      </c>
      <c r="D40" s="45" t="n">
        <v>32</v>
      </c>
      <c r="E40" s="45" t="n">
        <v>23</v>
      </c>
      <c r="I40" s="64" t="n"/>
      <c r="O40" s="43" t="inlineStr">
        <is>
          <t>Q1’26</t>
        </is>
      </c>
      <c r="P40" s="43" t="n">
        <v>1</v>
      </c>
      <c r="Q40" s="43" t="n">
        <v>11</v>
      </c>
      <c r="R40" s="43" t="n">
        <v>3</v>
      </c>
      <c r="S40" s="45" t="n">
        <v>940.799999999999</v>
      </c>
      <c r="T40">
        <f>(S38+S39+S40)=N2</f>
        <v/>
      </c>
      <c r="X40" s="84">
        <f>MAX(S37-S40,0)</f>
        <v/>
      </c>
      <c r="Y40" s="83" t="n">
        <v>0</v>
      </c>
      <c r="AA40" s="84" t="n">
        <v>3</v>
      </c>
      <c r="AB40" s="84" t="inlineStr">
        <is>
          <t>F</t>
        </is>
      </c>
      <c r="AC40" s="84" t="inlineStr">
        <is>
          <t>F+</t>
        </is>
      </c>
      <c r="AD40" s="84" t="n">
        <v>18</v>
      </c>
      <c r="AE40" s="84" t="n">
        <v>16</v>
      </c>
      <c r="AF40" s="84" t="n">
        <v>0.8</v>
      </c>
      <c r="AG40" s="84" t="n">
        <v>0.9</v>
      </c>
      <c r="AH40" s="84" t="n">
        <v>0</v>
      </c>
      <c r="AI40" s="84" t="n">
        <v>0</v>
      </c>
      <c r="AJ40" s="84">
        <f>SUMIFS(AH$8:AH$1039,$O$8:$O$1039,O40,$AB$8:$AB$1039,AB40,$R$8:$R$1039,R40,$AA$8:$AA$1039,"&lt;="&amp;AA40)</f>
        <v/>
      </c>
      <c r="AK40" s="84">
        <f>E13</f>
        <v/>
      </c>
      <c r="AL40" s="84">
        <f>E19</f>
        <v/>
      </c>
      <c r="AM40" s="84">
        <f>MAX(0,AJ40-AK40)</f>
        <v/>
      </c>
      <c r="AN40" s="84">
        <f>IF(AM40=0,AH40,IF(AM40&gt;=AH40,0,AH40-AM40))</f>
        <v/>
      </c>
      <c r="AO40" s="84">
        <f>IF(AM40&gt;=AH40,AI40,AI40*AM40/AH40)</f>
        <v/>
      </c>
      <c r="AP40">
        <f t="array" ref="AP40">INDEX($AU$8:$BB$25,6*(R40-1)+MATCH(AB40,$AS$8:$AS$13,0),MATCH(O40,$AU$7:$BB$7,0))</f>
        <v/>
      </c>
    </row>
    <row r="41" ht="14.55" customHeight="1">
      <c r="B41" s="31" t="inlineStr">
        <is>
          <t>D+</t>
        </is>
      </c>
      <c r="C41" s="45" t="n">
        <v>17</v>
      </c>
      <c r="D41" s="45" t="n">
        <v>2</v>
      </c>
      <c r="E41" s="45" t="n">
        <v>28</v>
      </c>
      <c r="I41" s="64" t="n"/>
      <c r="O41" s="43" t="inlineStr">
        <is>
          <t>Q1’26</t>
        </is>
      </c>
      <c r="P41" s="43" t="n">
        <v>2</v>
      </c>
      <c r="Q41" s="43" t="n">
        <v>1</v>
      </c>
      <c r="R41" s="43" t="n">
        <v>1</v>
      </c>
      <c r="S41" s="45" t="n">
        <v>2669.958489375734</v>
      </c>
      <c r="T41">
        <f>(S41+S42+S43)=N3</f>
        <v/>
      </c>
      <c r="X41" s="84" t="n">
        <v>0</v>
      </c>
      <c r="Y41" s="83" t="n">
        <v>0</v>
      </c>
      <c r="AA41" s="84" t="n">
        <v>9</v>
      </c>
      <c r="AB41" s="84" t="inlineStr">
        <is>
          <t>F</t>
        </is>
      </c>
      <c r="AC41" s="84" t="inlineStr">
        <is>
          <t>F+</t>
        </is>
      </c>
      <c r="AD41" s="84" t="n">
        <v>19</v>
      </c>
      <c r="AE41" s="84" t="n">
        <v>16</v>
      </c>
      <c r="AF41" s="84" t="n">
        <v>0.8</v>
      </c>
      <c r="AG41" s="84" t="n">
        <v>0.9</v>
      </c>
      <c r="AH41" s="84" t="n">
        <v>0</v>
      </c>
      <c r="AI41" s="84" t="n">
        <v>0</v>
      </c>
      <c r="AJ41" s="84">
        <f>SUMIFS(AH$8:AH$1039,$O$8:$O$1039,O41,$AB$8:$AB$1039,AB41,$R$8:$R$1039,R41,$AA$8:$AA$1039,"&lt;="&amp;AA41)</f>
        <v/>
      </c>
      <c r="AK41" s="84">
        <f>C13</f>
        <v/>
      </c>
      <c r="AL41" s="84">
        <f>C19</f>
        <v/>
      </c>
      <c r="AM41" s="84">
        <f>MAX(0,AJ41-AK41)</f>
        <v/>
      </c>
      <c r="AN41" s="84">
        <f>IF(AM41=0,AH41,IF(AM41&gt;=AH41,0,AH41-AM41))</f>
        <v/>
      </c>
      <c r="AO41" s="84">
        <f>IF(AM41&gt;=AH41,AI41,AI41*AM41/AH41)</f>
        <v/>
      </c>
      <c r="AP41">
        <f t="array" ref="AP41">INDEX($AU$8:$BB$25,6*(R41-1)+MATCH(AB41,$AS$8:$AS$13,0),MATCH(O41,$AU$7:$BB$7,0))</f>
        <v/>
      </c>
    </row>
    <row r="42" ht="14.55" customHeight="1">
      <c r="B42" s="31" t="inlineStr">
        <is>
          <t>E+</t>
        </is>
      </c>
      <c r="C42" s="45" t="n">
        <v>0</v>
      </c>
      <c r="D42" s="45" t="n">
        <v>15</v>
      </c>
      <c r="E42" s="45" t="n">
        <v>14</v>
      </c>
      <c r="I42" s="64" t="n"/>
      <c r="O42" s="43" t="inlineStr">
        <is>
          <t>Q1’26</t>
        </is>
      </c>
      <c r="P42" s="43" t="n">
        <v>2</v>
      </c>
      <c r="Q42" s="43" t="n">
        <v>1</v>
      </c>
      <c r="R42" s="43" t="n">
        <v>2</v>
      </c>
      <c r="S42" s="45" t="n">
        <v>2330.041510624266</v>
      </c>
      <c r="T42">
        <f>(S41+S42+S43)=N3</f>
        <v/>
      </c>
      <c r="X42" s="84" t="n">
        <v>0</v>
      </c>
      <c r="Y42" s="83" t="n">
        <v>0</v>
      </c>
      <c r="AA42" s="84" t="n">
        <v>9</v>
      </c>
      <c r="AB42" s="84" t="inlineStr">
        <is>
          <t>F</t>
        </is>
      </c>
      <c r="AC42" s="84" t="inlineStr">
        <is>
          <t>F+</t>
        </is>
      </c>
      <c r="AD42" s="84" t="n">
        <v>19</v>
      </c>
      <c r="AE42" s="84" t="n">
        <v>16</v>
      </c>
      <c r="AF42" s="84" t="n">
        <v>0.8</v>
      </c>
      <c r="AG42" s="84" t="n">
        <v>0.9</v>
      </c>
      <c r="AH42" s="84" t="n">
        <v>0</v>
      </c>
      <c r="AI42" s="84" t="n">
        <v>0</v>
      </c>
      <c r="AJ42" s="84">
        <f>SUMIFS(AH$8:AH$1039,$O$8:$O$1039,O42,$AB$8:$AB$1039,AB42,$R$8:$R$1039,R42,$AA$8:$AA$1039,"&lt;="&amp;AA42)</f>
        <v/>
      </c>
      <c r="AK42" s="84">
        <f>D13</f>
        <v/>
      </c>
      <c r="AL42" s="84">
        <f>D19</f>
        <v/>
      </c>
      <c r="AM42" s="84">
        <f>MAX(0,AJ42-AK42)</f>
        <v/>
      </c>
      <c r="AN42" s="84">
        <f>IF(AM42=0,AH42,IF(AM42&gt;=AH42,0,AH42-AM42))</f>
        <v/>
      </c>
      <c r="AO42" s="84">
        <f>IF(AM42&gt;=AH42,AI42,AI42*AM42/AH42)</f>
        <v/>
      </c>
      <c r="AP42">
        <f t="array" ref="AP42">INDEX($AU$8:$BB$25,6*(R42-1)+MATCH(AB42,$AS$8:$AS$13,0),MATCH(O42,$AU$7:$BB$7,0))</f>
        <v/>
      </c>
    </row>
    <row r="43" ht="14.55" customHeight="1">
      <c r="B43" s="31" t="inlineStr">
        <is>
          <t>F+</t>
        </is>
      </c>
      <c r="C43" s="45" t="n">
        <v>3</v>
      </c>
      <c r="D43" s="45" t="n">
        <v>3</v>
      </c>
      <c r="E43" s="45" t="n">
        <v>0</v>
      </c>
      <c r="F43" s="44" t="inlineStr">
        <is>
          <t>Fab 1 space</t>
        </is>
      </c>
      <c r="G43" s="44" t="inlineStr">
        <is>
          <t>Fab 2 space</t>
        </is>
      </c>
      <c r="H43" s="44" t="inlineStr">
        <is>
          <t>Fab 3 space</t>
        </is>
      </c>
      <c r="I43" s="64" t="n"/>
      <c r="O43" s="43" t="inlineStr">
        <is>
          <t>Q1’26</t>
        </is>
      </c>
      <c r="P43" s="43" t="n">
        <v>2</v>
      </c>
      <c r="Q43" s="43" t="n">
        <v>1</v>
      </c>
      <c r="R43" s="43" t="n">
        <v>3</v>
      </c>
      <c r="S43" s="45" t="n">
        <v>0</v>
      </c>
      <c r="T43">
        <f>(S41+S42+S43)=N3</f>
        <v/>
      </c>
      <c r="X43" s="84" t="n">
        <v>0</v>
      </c>
      <c r="Y43" s="83" t="n">
        <v>0</v>
      </c>
      <c r="AA43" s="84" t="n">
        <v>9</v>
      </c>
      <c r="AB43" s="84" t="inlineStr">
        <is>
          <t>F</t>
        </is>
      </c>
      <c r="AC43" s="84" t="inlineStr">
        <is>
          <t>F+</t>
        </is>
      </c>
      <c r="AD43" s="84" t="n">
        <v>19</v>
      </c>
      <c r="AE43" s="84" t="n">
        <v>16</v>
      </c>
      <c r="AF43" s="84" t="n">
        <v>0.8</v>
      </c>
      <c r="AG43" s="84" t="n">
        <v>0.9</v>
      </c>
      <c r="AH43" s="84" t="n">
        <v>0</v>
      </c>
      <c r="AI43" s="84" t="n">
        <v>0</v>
      </c>
      <c r="AJ43" s="84">
        <f>SUMIFS(AH$8:AH$1039,$O$8:$O$1039,O43,$AB$8:$AB$1039,AB43,$R$8:$R$1039,R43,$AA$8:$AA$1039,"&lt;="&amp;AA43)</f>
        <v/>
      </c>
      <c r="AK43" s="84">
        <f>E13</f>
        <v/>
      </c>
      <c r="AL43" s="84">
        <f>E19</f>
        <v/>
      </c>
      <c r="AM43" s="84">
        <f>MAX(0,AJ43-AK43)</f>
        <v/>
      </c>
      <c r="AN43" s="84">
        <f>IF(AM43=0,AH43,IF(AM43&gt;=AH43,0,AH43-AM43))</f>
        <v/>
      </c>
      <c r="AO43" s="84">
        <f>IF(AM43&gt;=AH43,AI43,AI43*AM43/AH43)</f>
        <v/>
      </c>
      <c r="AP43">
        <f t="array" ref="AP43">INDEX($AU$8:$BB$25,6*(R43-1)+MATCH(AB43,$AS$8:$AS$13,0),MATCH(O43,$AU$7:$BB$7,0))</f>
        <v/>
      </c>
    </row>
    <row r="44" ht="14.25" customHeight="1">
      <c r="A44" s="85" t="inlineStr">
        <is>
          <t>WS Component for Q4’26</t>
        </is>
      </c>
      <c r="B44" s="31" t="inlineStr">
        <is>
          <t>A</t>
        </is>
      </c>
      <c r="C44" s="45" t="n">
        <v>23</v>
      </c>
      <c r="D44" s="45" t="n">
        <v>18</v>
      </c>
      <c r="E44" s="45" t="n">
        <v>0</v>
      </c>
      <c r="F44">
        <f t="array" ref="F44">SUM(C44:C55*data!$B$3:$B$14)</f>
        <v/>
      </c>
      <c r="G44">
        <f t="array" ref="G44">SUM(D44:D55*data!$B$3:$B$14)</f>
        <v/>
      </c>
      <c r="H44">
        <f t="array" ref="H44">SUM(E44:E55*data!$B$3:$B$14)</f>
        <v/>
      </c>
      <c r="I44" s="64" t="inlineStr">
        <is>
          <t>&lt;- make sure its green</t>
        </is>
      </c>
      <c r="O44" s="43" t="inlineStr">
        <is>
          <t>Q1’26</t>
        </is>
      </c>
      <c r="P44" s="43" t="n">
        <v>2</v>
      </c>
      <c r="Q44" s="43" t="n">
        <v>2</v>
      </c>
      <c r="R44" s="43" t="n">
        <v>1</v>
      </c>
      <c r="S44" s="45" t="n">
        <v>2669.958489375734</v>
      </c>
      <c r="T44">
        <f>(S44+S45+S46)=N3</f>
        <v/>
      </c>
      <c r="X44" s="84">
        <f>MAX(S41-S44,0)</f>
        <v/>
      </c>
      <c r="Y44" s="83" t="n">
        <v>0</v>
      </c>
      <c r="AA44" s="84" t="n">
        <v>1</v>
      </c>
      <c r="AB44" s="84" t="inlineStr">
        <is>
          <t>B</t>
        </is>
      </c>
      <c r="AC44" s="84" t="inlineStr">
        <is>
          <t>B+</t>
        </is>
      </c>
      <c r="AD44" s="84" t="n">
        <v>20</v>
      </c>
      <c r="AE44" s="84" t="n">
        <v>18</v>
      </c>
      <c r="AF44" s="84" t="n">
        <v>0.76</v>
      </c>
      <c r="AG44" s="84" t="n">
        <v>0.8100000000000001</v>
      </c>
      <c r="AH44" s="84" t="n">
        <v>0</v>
      </c>
      <c r="AI44" s="84" t="n">
        <v>0</v>
      </c>
      <c r="AJ44" s="84">
        <f>SUMIFS(AH$8:AH$1039,$O$8:$O$1039,O44,$AB$8:$AB$1039,AB44,$R$8:$R$1039,R44,$AA$8:$AA$1039,"&lt;="&amp;AA44)</f>
        <v/>
      </c>
      <c r="AK44" s="84">
        <f>C9</f>
        <v/>
      </c>
      <c r="AL44" s="84">
        <f>C15</f>
        <v/>
      </c>
      <c r="AM44" s="84">
        <f>MAX(0,AJ44-AK44)</f>
        <v/>
      </c>
      <c r="AN44" s="84">
        <f>IF(AM44=0,AH44,IF(AM44&gt;=AH44,0,AH44-AM44))</f>
        <v/>
      </c>
      <c r="AO44" s="84">
        <f>IF(AM44&gt;=AH44,AI44,AI44*AM44/AH44)</f>
        <v/>
      </c>
      <c r="AP44">
        <f t="array" ref="AP44">INDEX($AU$8:$BB$25,6*(R44-1)+MATCH(AB44,$AS$8:$AS$13,0),MATCH(O44,$AU$7:$BB$7,0))</f>
        <v/>
      </c>
    </row>
    <row r="45" ht="14.55" customHeight="1">
      <c r="B45" s="31" t="inlineStr">
        <is>
          <t>B</t>
        </is>
      </c>
      <c r="C45" s="45" t="n">
        <v>25</v>
      </c>
      <c r="D45" s="45" t="n">
        <v>21</v>
      </c>
      <c r="E45" s="45" t="n">
        <v>0</v>
      </c>
      <c r="I45" s="64" t="n"/>
      <c r="O45" s="43" t="inlineStr">
        <is>
          <t>Q1’26</t>
        </is>
      </c>
      <c r="P45" s="43" t="n">
        <v>2</v>
      </c>
      <c r="Q45" s="43" t="n">
        <v>2</v>
      </c>
      <c r="R45" s="43" t="n">
        <v>2</v>
      </c>
      <c r="S45" s="45" t="n">
        <v>2330.041510624266</v>
      </c>
      <c r="T45">
        <f>(S44+S45+S46)=N3</f>
        <v/>
      </c>
      <c r="X45" s="84">
        <f>MAX(S42-S45,0)</f>
        <v/>
      </c>
      <c r="Y45" s="83" t="n">
        <v>0</v>
      </c>
      <c r="AA45" s="84" t="n">
        <v>1</v>
      </c>
      <c r="AB45" s="84" t="inlineStr">
        <is>
          <t>B</t>
        </is>
      </c>
      <c r="AC45" s="84" t="inlineStr">
        <is>
          <t>B+</t>
        </is>
      </c>
      <c r="AD45" s="84" t="n">
        <v>20</v>
      </c>
      <c r="AE45" s="84" t="n">
        <v>18</v>
      </c>
      <c r="AF45" s="84" t="n">
        <v>0.76</v>
      </c>
      <c r="AG45" s="84" t="n">
        <v>0.8100000000000001</v>
      </c>
      <c r="AH45" s="84" t="n">
        <v>0</v>
      </c>
      <c r="AI45" s="84" t="n">
        <v>0</v>
      </c>
      <c r="AJ45" s="84">
        <f>SUMIFS(AH$8:AH$1039,$O$8:$O$1039,O45,$AB$8:$AB$1039,AB45,$R$8:$R$1039,R45,$AA$8:$AA$1039,"&lt;="&amp;AA45)</f>
        <v/>
      </c>
      <c r="AK45" s="84">
        <f>D9</f>
        <v/>
      </c>
      <c r="AL45" s="84">
        <f>D15</f>
        <v/>
      </c>
      <c r="AM45" s="84">
        <f>MAX(0,AJ45-AK45)</f>
        <v/>
      </c>
      <c r="AN45" s="84">
        <f>IF(AM45=0,AH45,IF(AM45&gt;=AH45,0,AH45-AM45))</f>
        <v/>
      </c>
      <c r="AO45" s="84">
        <f>IF(AM45&gt;=AH45,AI45,AI45*AM45/AH45)</f>
        <v/>
      </c>
      <c r="AP45">
        <f t="array" ref="AP45">INDEX($AU$8:$BB$25,6*(R45-1)+MATCH(AB45,$AS$8:$AS$13,0),MATCH(O45,$AU$7:$BB$7,0))</f>
        <v/>
      </c>
    </row>
    <row r="46" ht="14.55" customHeight="1">
      <c r="B46" s="31" t="inlineStr">
        <is>
          <t>C</t>
        </is>
      </c>
      <c r="C46" s="45" t="n">
        <v>0</v>
      </c>
      <c r="D46" s="45" t="n">
        <v>0</v>
      </c>
      <c r="E46" s="45" t="n">
        <v>16</v>
      </c>
      <c r="F46" s="84" t="inlineStr">
        <is>
          <t>New tool purchase cost</t>
        </is>
      </c>
      <c r="I46" s="64" t="n"/>
      <c r="O46" s="43" t="inlineStr">
        <is>
          <t>Q1’26</t>
        </is>
      </c>
      <c r="P46" s="43" t="n">
        <v>2</v>
      </c>
      <c r="Q46" s="43" t="n">
        <v>2</v>
      </c>
      <c r="R46" s="43" t="n">
        <v>3</v>
      </c>
      <c r="S46" s="45" t="n">
        <v>0</v>
      </c>
      <c r="T46">
        <f>(S44+S45+S46)=N3</f>
        <v/>
      </c>
      <c r="X46" s="84">
        <f>MAX(S43-S46,0)</f>
        <v/>
      </c>
      <c r="Y46" s="83" t="n">
        <v>0</v>
      </c>
      <c r="AA46" s="84" t="n">
        <v>1</v>
      </c>
      <c r="AB46" s="84" t="inlineStr">
        <is>
          <t>B</t>
        </is>
      </c>
      <c r="AC46" s="84" t="inlineStr">
        <is>
          <t>B+</t>
        </is>
      </c>
      <c r="AD46" s="84" t="n">
        <v>20</v>
      </c>
      <c r="AE46" s="84" t="n">
        <v>18</v>
      </c>
      <c r="AF46" s="84" t="n">
        <v>0.76</v>
      </c>
      <c r="AG46" s="84" t="n">
        <v>0.8100000000000001</v>
      </c>
      <c r="AH46" s="84" t="n">
        <v>0</v>
      </c>
      <c r="AI46" s="84" t="n">
        <v>0</v>
      </c>
      <c r="AJ46" s="84">
        <f>SUMIFS(AH$8:AH$1039,$O$8:$O$1039,O46,$AB$8:$AB$1039,AB46,$R$8:$R$1039,R46,$AA$8:$AA$1039,"&lt;="&amp;AA46)</f>
        <v/>
      </c>
      <c r="AK46" s="84">
        <f>E9</f>
        <v/>
      </c>
      <c r="AL46" s="84">
        <f>E15</f>
        <v/>
      </c>
      <c r="AM46" s="84">
        <f>MAX(0,AJ46-AK46)</f>
        <v/>
      </c>
      <c r="AN46" s="84">
        <f>IF(AM46=0,AH46,IF(AM46&gt;=AH46,0,AH46-AM46))</f>
        <v/>
      </c>
      <c r="AO46" s="84">
        <f>IF(AM46&gt;=AH46,AI46,AI46*AM46/AH46)</f>
        <v/>
      </c>
      <c r="AP46">
        <f t="array" ref="AP46">INDEX($AU$8:$BB$25,6*(R46-1)+MATCH(AB46,$AS$8:$AS$13,0),MATCH(O46,$AU$7:$BB$7,0))</f>
        <v/>
      </c>
    </row>
    <row r="47" ht="14.55" customHeight="1">
      <c r="B47" s="31" t="inlineStr">
        <is>
          <t>D</t>
        </is>
      </c>
      <c r="C47" s="45" t="n">
        <v>35</v>
      </c>
      <c r="D47" s="45" t="n">
        <v>38</v>
      </c>
      <c r="E47" s="45" t="n">
        <v>5</v>
      </c>
      <c r="F47" s="83">
        <f t="array" ref="F47">SUM(
     _xlfn.BYROW(
           IF(C44:E55-C32:E43&gt;0, C44:E55-C32:E43, 0),
           _xleta.SUM)
     *data!$C$3:$C$14
)</f>
        <v/>
      </c>
      <c r="I47" s="64" t="n"/>
      <c r="O47" s="43" t="inlineStr">
        <is>
          <t>Q1’26</t>
        </is>
      </c>
      <c r="P47" s="43" t="n">
        <v>2</v>
      </c>
      <c r="Q47" s="43" t="n">
        <v>3</v>
      </c>
      <c r="R47" s="43" t="n">
        <v>1</v>
      </c>
      <c r="S47" s="45" t="n">
        <v>2669.958489375734</v>
      </c>
      <c r="T47">
        <f>(S47+S48+S49)=N3</f>
        <v/>
      </c>
      <c r="X47" s="84">
        <f>MAX(S44-S47,0)</f>
        <v/>
      </c>
      <c r="Y47" s="83" t="n">
        <v>0</v>
      </c>
      <c r="AA47" s="84" t="n">
        <v>11</v>
      </c>
      <c r="AB47" s="84" t="inlineStr">
        <is>
          <t>E</t>
        </is>
      </c>
      <c r="AC47" s="84" t="inlineStr">
        <is>
          <t>E+</t>
        </is>
      </c>
      <c r="AD47" s="84" t="n">
        <v>10</v>
      </c>
      <c r="AE47" s="84" t="n">
        <v>7</v>
      </c>
      <c r="AF47" s="84" t="n">
        <v>0.76</v>
      </c>
      <c r="AG47" s="84" t="n">
        <v>0.84</v>
      </c>
      <c r="AH47" s="84" t="n">
        <v>0</v>
      </c>
      <c r="AI47" s="84" t="n">
        <v>0</v>
      </c>
      <c r="AJ47" s="84">
        <f>SUMIFS(AH$8:AH$1039,$O$8:$O$1039,O47,$AB$8:$AB$1039,AB47,$R$8:$R$1039,R47,$AA$8:$AA$1039,"&lt;="&amp;AA47)</f>
        <v/>
      </c>
      <c r="AK47" s="84">
        <f>C12</f>
        <v/>
      </c>
      <c r="AL47" s="84">
        <f>C18</f>
        <v/>
      </c>
      <c r="AM47" s="84">
        <f>MAX(0,AJ47-AK47)</f>
        <v/>
      </c>
      <c r="AN47" s="84">
        <f>IF(AM47=0,AH47,IF(AM47&gt;=AH47,0,AH47-AM47))</f>
        <v/>
      </c>
      <c r="AO47" s="84">
        <f>IF(AM47&gt;=AH47,AI47,AI47*AM47/AH47)</f>
        <v/>
      </c>
      <c r="AP47">
        <f t="array" ref="AP47">INDEX($AU$8:$BB$25,6*(R47-1)+MATCH(AB47,$AS$8:$AS$13,0),MATCH(O47,$AU$7:$BB$7,0))</f>
        <v/>
      </c>
    </row>
    <row r="48" ht="14.55" customHeight="1">
      <c r="B48" s="31" t="inlineStr">
        <is>
          <t>E</t>
        </is>
      </c>
      <c r="C48" s="45" t="n">
        <v>40</v>
      </c>
      <c r="D48" s="45" t="n">
        <v>30</v>
      </c>
      <c r="E48" s="45" t="n">
        <v>16</v>
      </c>
      <c r="F48" s="84" t="inlineStr">
        <is>
          <t>Moveout cost</t>
        </is>
      </c>
      <c r="I48" s="64" t="n"/>
      <c r="O48" s="43" t="inlineStr">
        <is>
          <t>Q1’26</t>
        </is>
      </c>
      <c r="P48" s="43" t="n">
        <v>2</v>
      </c>
      <c r="Q48" s="43" t="n">
        <v>3</v>
      </c>
      <c r="R48" s="43" t="n">
        <v>2</v>
      </c>
      <c r="S48" s="45" t="n">
        <v>2330.041510624266</v>
      </c>
      <c r="T48">
        <f>(S47+S48+S49)=N3</f>
        <v/>
      </c>
      <c r="X48" s="84">
        <f>MAX(S45-S48,0)</f>
        <v/>
      </c>
      <c r="Y48" s="83" t="n">
        <v>0</v>
      </c>
      <c r="AA48" s="84" t="n">
        <v>11</v>
      </c>
      <c r="AB48" s="84" t="inlineStr">
        <is>
          <t>E</t>
        </is>
      </c>
      <c r="AC48" s="84" t="inlineStr">
        <is>
          <t>E+</t>
        </is>
      </c>
      <c r="AD48" s="84" t="n">
        <v>10</v>
      </c>
      <c r="AE48" s="84" t="n">
        <v>7</v>
      </c>
      <c r="AF48" s="84" t="n">
        <v>0.76</v>
      </c>
      <c r="AG48" s="84" t="n">
        <v>0.84</v>
      </c>
      <c r="AH48" s="84" t="n">
        <v>0</v>
      </c>
      <c r="AI48" s="84" t="n">
        <v>0</v>
      </c>
      <c r="AJ48" s="84">
        <f>SUMIFS(AH$8:AH$1039,$O$8:$O$1039,O48,$AB$8:$AB$1039,AB48,$R$8:$R$1039,R48,$AA$8:$AA$1039,"&lt;="&amp;AA48)</f>
        <v/>
      </c>
      <c r="AK48" s="84">
        <f>D12</f>
        <v/>
      </c>
      <c r="AL48" s="84">
        <f>D18</f>
        <v/>
      </c>
      <c r="AM48" s="84">
        <f>MAX(0,AJ48-AK48)</f>
        <v/>
      </c>
      <c r="AN48" s="84">
        <f>IF(AM48=0,AH48,IF(AM48&gt;=AH48,0,AH48-AM48))</f>
        <v/>
      </c>
      <c r="AO48" s="84">
        <f>IF(AM48&gt;=AH48,AI48,AI48*AM48/AH48)</f>
        <v/>
      </c>
      <c r="AP48">
        <f t="array" ref="AP48">INDEX($AU$8:$BB$25,6*(R48-1)+MATCH(AB48,$AS$8:$AS$13,0),MATCH(O48,$AU$7:$BB$7,0))</f>
        <v/>
      </c>
    </row>
    <row r="49" ht="14.55" customHeight="1">
      <c r="B49" s="31" t="inlineStr">
        <is>
          <t>F</t>
        </is>
      </c>
      <c r="C49" s="45" t="n">
        <v>90</v>
      </c>
      <c r="D49" s="45" t="n">
        <v>60</v>
      </c>
      <c r="E49" s="45" t="n">
        <v>29</v>
      </c>
      <c r="F49" s="83">
        <f t="array" ref="F49">SUM(
     _xlfn.BYROW(
           IF(C44:E55-C32:E43&lt;0, C44:E55-C32:E43, 0),
           _xleta.SUM)
     * -1000000
)</f>
        <v/>
      </c>
      <c r="I49" s="64" t="n"/>
      <c r="O49" s="43" t="inlineStr">
        <is>
          <t>Q1’26</t>
        </is>
      </c>
      <c r="P49" s="43" t="n">
        <v>2</v>
      </c>
      <c r="Q49" s="43" t="n">
        <v>3</v>
      </c>
      <c r="R49" s="43" t="n">
        <v>3</v>
      </c>
      <c r="S49" s="45" t="n">
        <v>0</v>
      </c>
      <c r="T49">
        <f>(S47+S48+S49)=N3</f>
        <v/>
      </c>
      <c r="X49" s="84">
        <f>MAX(S46-S49,0)</f>
        <v/>
      </c>
      <c r="Y49" s="83" t="n">
        <v>0</v>
      </c>
      <c r="AA49" s="84" t="n">
        <v>11</v>
      </c>
      <c r="AB49" s="84" t="inlineStr">
        <is>
          <t>E</t>
        </is>
      </c>
      <c r="AC49" s="84" t="inlineStr">
        <is>
          <t>E+</t>
        </is>
      </c>
      <c r="AD49" s="84" t="n">
        <v>10</v>
      </c>
      <c r="AE49" s="84" t="n">
        <v>7</v>
      </c>
      <c r="AF49" s="84" t="n">
        <v>0.76</v>
      </c>
      <c r="AG49" s="84" t="n">
        <v>0.84</v>
      </c>
      <c r="AH49" s="84" t="n">
        <v>0</v>
      </c>
      <c r="AI49" s="84" t="n">
        <v>0</v>
      </c>
      <c r="AJ49" s="84">
        <f>SUMIFS(AH$8:AH$1039,$O$8:$O$1039,O49,$AB$8:$AB$1039,AB49,$R$8:$R$1039,R49,$AA$8:$AA$1039,"&lt;="&amp;AA49)</f>
        <v/>
      </c>
      <c r="AK49" s="84">
        <f>E12</f>
        <v/>
      </c>
      <c r="AL49" s="84">
        <f>E18</f>
        <v/>
      </c>
      <c r="AM49" s="84">
        <f>MAX(0,AJ49-AK49)</f>
        <v/>
      </c>
      <c r="AN49" s="84">
        <f>IF(AM49=0,AH49,IF(AM49&gt;=AH49,0,AH49-AM49))</f>
        <v/>
      </c>
      <c r="AO49" s="84">
        <f>IF(AM49&gt;=AH49,AI49,AI49*AM49/AH49)</f>
        <v/>
      </c>
      <c r="AP49">
        <f t="array" ref="AP49">INDEX($AU$8:$BB$25,6*(R49-1)+MATCH(AB49,$AS$8:$AS$13,0),MATCH(O49,$AU$7:$BB$7,0))</f>
        <v/>
      </c>
    </row>
    <row r="50" ht="14.55" customHeight="1">
      <c r="B50" s="31" t="inlineStr">
        <is>
          <t>A+</t>
        </is>
      </c>
      <c r="C50" s="45" t="n">
        <v>0</v>
      </c>
      <c r="D50" s="45" t="n">
        <v>3</v>
      </c>
      <c r="E50" s="45" t="n">
        <v>5</v>
      </c>
      <c r="I50" s="64" t="n"/>
      <c r="O50" s="43" t="inlineStr">
        <is>
          <t>Q1’26</t>
        </is>
      </c>
      <c r="P50" s="43" t="n">
        <v>2</v>
      </c>
      <c r="Q50" s="43" t="n">
        <v>4</v>
      </c>
      <c r="R50" s="43" t="n">
        <v>1</v>
      </c>
      <c r="S50" s="45" t="n">
        <v>2669.958489375734</v>
      </c>
      <c r="T50">
        <f>(S50+S51+S52)=N3</f>
        <v/>
      </c>
      <c r="X50" s="84">
        <f>MAX(S47-S50,0)</f>
        <v/>
      </c>
      <c r="Y50" s="83" t="n">
        <v>0</v>
      </c>
      <c r="AA50" s="84" t="n">
        <v>2</v>
      </c>
      <c r="AB50" s="84" t="inlineStr">
        <is>
          <t>B</t>
        </is>
      </c>
      <c r="AC50" s="84" t="inlineStr">
        <is>
          <t>B+</t>
        </is>
      </c>
      <c r="AD50" s="84" t="n">
        <v>25</v>
      </c>
      <c r="AE50" s="84" t="n">
        <v>19</v>
      </c>
      <c r="AF50" s="84" t="n">
        <v>0.76</v>
      </c>
      <c r="AG50" s="84" t="n">
        <v>0.8100000000000001</v>
      </c>
      <c r="AH50" s="84" t="n">
        <v>0</v>
      </c>
      <c r="AI50" s="84" t="n">
        <v>0</v>
      </c>
      <c r="AJ50" s="84">
        <f>SUMIFS(AH$8:AH$1039,$O$8:$O$1039,O50,$AB$8:$AB$1039,AB50,$R$8:$R$1039,R50,$AA$8:$AA$1039,"&lt;="&amp;AA50)</f>
        <v/>
      </c>
      <c r="AK50" s="84">
        <f>C9</f>
        <v/>
      </c>
      <c r="AL50" s="84">
        <f>C15</f>
        <v/>
      </c>
      <c r="AM50" s="84">
        <f>MAX(0,AJ50-AK50)</f>
        <v/>
      </c>
      <c r="AN50" s="84">
        <f>IF(AM50=0,AH50,IF(AM50&gt;=AH50,0,AH50-AM50))</f>
        <v/>
      </c>
      <c r="AO50" s="84">
        <f>IF(AM50&gt;=AH50,AI50,AI50*AM50/AH50)</f>
        <v/>
      </c>
      <c r="AP50">
        <f t="array" ref="AP50">INDEX($AU$8:$BB$25,6*(R50-1)+MATCH(AB50,$AS$8:$AS$13,0),MATCH(O50,$AU$7:$BB$7,0))</f>
        <v/>
      </c>
    </row>
    <row r="51" ht="14.55" customHeight="1">
      <c r="B51" s="31" t="inlineStr">
        <is>
          <t>B+</t>
        </is>
      </c>
      <c r="C51" s="45" t="n">
        <v>21</v>
      </c>
      <c r="D51" s="45" t="n">
        <v>0</v>
      </c>
      <c r="E51" s="45" t="n">
        <v>0</v>
      </c>
      <c r="I51" s="64" t="n"/>
      <c r="O51" s="43" t="inlineStr">
        <is>
          <t>Q1’26</t>
        </is>
      </c>
      <c r="P51" s="43" t="n">
        <v>2</v>
      </c>
      <c r="Q51" s="43" t="n">
        <v>4</v>
      </c>
      <c r="R51" s="43" t="n">
        <v>2</v>
      </c>
      <c r="S51" s="45" t="n">
        <v>2330.041510624266</v>
      </c>
      <c r="T51">
        <f>(S50+S51+S52)=N3</f>
        <v/>
      </c>
      <c r="X51" s="84">
        <f>MAX(S48-S51,0)</f>
        <v/>
      </c>
      <c r="Y51" s="83" t="n">
        <v>0</v>
      </c>
      <c r="AA51" s="84" t="n">
        <v>2</v>
      </c>
      <c r="AB51" s="84" t="inlineStr">
        <is>
          <t>B</t>
        </is>
      </c>
      <c r="AC51" s="84" t="inlineStr">
        <is>
          <t>B+</t>
        </is>
      </c>
      <c r="AD51" s="84" t="n">
        <v>25</v>
      </c>
      <c r="AE51" s="84" t="n">
        <v>19</v>
      </c>
      <c r="AF51" s="84" t="n">
        <v>0.76</v>
      </c>
      <c r="AG51" s="84" t="n">
        <v>0.8100000000000001</v>
      </c>
      <c r="AH51" s="84" t="n">
        <v>0</v>
      </c>
      <c r="AI51" s="84" t="n">
        <v>0</v>
      </c>
      <c r="AJ51" s="84">
        <f>SUMIFS(AH$8:AH$1039,$O$8:$O$1039,O51,$AB$8:$AB$1039,AB51,$R$8:$R$1039,R51,$AA$8:$AA$1039,"&lt;="&amp;AA51)</f>
        <v/>
      </c>
      <c r="AK51" s="84">
        <f>D9</f>
        <v/>
      </c>
      <c r="AL51" s="84">
        <f>D15</f>
        <v/>
      </c>
      <c r="AM51" s="84">
        <f>MAX(0,AJ51-AK51)</f>
        <v/>
      </c>
      <c r="AN51" s="84">
        <f>IF(AM51=0,AH51,IF(AM51&gt;=AH51,0,AH51-AM51))</f>
        <v/>
      </c>
      <c r="AO51" s="84">
        <f>IF(AM51&gt;=AH51,AI51,AI51*AM51/AH51)</f>
        <v/>
      </c>
      <c r="AP51">
        <f t="array" ref="AP51">INDEX($AU$8:$BB$25,6*(R51-1)+MATCH(AB51,$AS$8:$AS$13,0),MATCH(O51,$AU$7:$BB$7,0))</f>
        <v/>
      </c>
    </row>
    <row r="52" ht="14.55" customHeight="1">
      <c r="B52" s="31" t="inlineStr">
        <is>
          <t>C+</t>
        </is>
      </c>
      <c r="C52" s="45" t="n">
        <v>21</v>
      </c>
      <c r="D52" s="45" t="n">
        <v>50</v>
      </c>
      <c r="E52" s="45" t="n">
        <v>23</v>
      </c>
      <c r="I52" s="64" t="n"/>
      <c r="O52" s="43" t="inlineStr">
        <is>
          <t>Q1’26</t>
        </is>
      </c>
      <c r="P52" s="43" t="n">
        <v>2</v>
      </c>
      <c r="Q52" s="43" t="n">
        <v>4</v>
      </c>
      <c r="R52" s="43" t="n">
        <v>3</v>
      </c>
      <c r="S52" s="45" t="n">
        <v>0</v>
      </c>
      <c r="T52">
        <f>(S50+S51+S52)=N3</f>
        <v/>
      </c>
      <c r="X52" s="84">
        <f>MAX(S49-S52,0)</f>
        <v/>
      </c>
      <c r="Y52" s="83" t="n">
        <v>0</v>
      </c>
      <c r="AA52" s="84" t="n">
        <v>2</v>
      </c>
      <c r="AB52" s="84" t="inlineStr">
        <is>
          <t>B</t>
        </is>
      </c>
      <c r="AC52" s="84" t="inlineStr">
        <is>
          <t>B+</t>
        </is>
      </c>
      <c r="AD52" s="84" t="n">
        <v>25</v>
      </c>
      <c r="AE52" s="84" t="n">
        <v>19</v>
      </c>
      <c r="AF52" s="84" t="n">
        <v>0.76</v>
      </c>
      <c r="AG52" s="84" t="n">
        <v>0.8100000000000001</v>
      </c>
      <c r="AH52" s="84" t="n">
        <v>0</v>
      </c>
      <c r="AI52" s="84" t="n">
        <v>0</v>
      </c>
      <c r="AJ52" s="84">
        <f>SUMIFS(AH$8:AH$1039,$O$8:$O$1039,O52,$AB$8:$AB$1039,AB52,$R$8:$R$1039,R52,$AA$8:$AA$1039,"&lt;="&amp;AA52)</f>
        <v/>
      </c>
      <c r="AK52" s="84">
        <f>E9</f>
        <v/>
      </c>
      <c r="AL52" s="84">
        <f>E15</f>
        <v/>
      </c>
      <c r="AM52" s="84">
        <f>MAX(0,AJ52-AK52)</f>
        <v/>
      </c>
      <c r="AN52" s="84">
        <f>IF(AM52=0,AH52,IF(AM52&gt;=AH52,0,AH52-AM52))</f>
        <v/>
      </c>
      <c r="AO52" s="84">
        <f>IF(AM52&gt;=AH52,AI52,AI52*AM52/AH52)</f>
        <v/>
      </c>
      <c r="AP52">
        <f t="array" ref="AP52">INDEX($AU$8:$BB$25,6*(R52-1)+MATCH(AB52,$AS$8:$AS$13,0),MATCH(O52,$AU$7:$BB$7,0))</f>
        <v/>
      </c>
    </row>
    <row r="53" ht="14.55" customHeight="1">
      <c r="B53" s="31" t="inlineStr">
        <is>
          <t>D+</t>
        </is>
      </c>
      <c r="C53" s="45" t="n">
        <v>17</v>
      </c>
      <c r="D53" s="45" t="n">
        <v>11</v>
      </c>
      <c r="E53" s="45" t="n">
        <v>28</v>
      </c>
      <c r="I53" s="64" t="n"/>
      <c r="O53" s="43" t="inlineStr">
        <is>
          <t>Q1’26</t>
        </is>
      </c>
      <c r="P53" s="43" t="n">
        <v>2</v>
      </c>
      <c r="Q53" s="43" t="n">
        <v>5</v>
      </c>
      <c r="R53" s="43" t="n">
        <v>1</v>
      </c>
      <c r="S53" s="45" t="n">
        <v>2669.958489375734</v>
      </c>
      <c r="T53">
        <f>(S53+S54+S55)=N3</f>
        <v/>
      </c>
      <c r="X53" s="84">
        <f>MAX(S50-S53,0)</f>
        <v/>
      </c>
      <c r="Y53" s="83" t="n">
        <v>0</v>
      </c>
      <c r="AA53" s="84" t="n">
        <v>3</v>
      </c>
      <c r="AB53" s="84" t="inlineStr">
        <is>
          <t>B</t>
        </is>
      </c>
      <c r="AC53" s="84" t="inlineStr">
        <is>
          <t>B+</t>
        </is>
      </c>
      <c r="AD53" s="84" t="n">
        <v>15</v>
      </c>
      <c r="AE53" s="84" t="n">
        <v>11</v>
      </c>
      <c r="AF53" s="84" t="n">
        <v>0.76</v>
      </c>
      <c r="AG53" s="84" t="n">
        <v>0.8100000000000001</v>
      </c>
      <c r="AH53" s="84" t="n">
        <v>0</v>
      </c>
      <c r="AI53" s="84" t="n">
        <v>0</v>
      </c>
      <c r="AJ53" s="84">
        <f>SUMIFS(AH$8:AH$1039,$O$8:$O$1039,O53,$AB$8:$AB$1039,AB53,$R$8:$R$1039,R53,$AA$8:$AA$1039,"&lt;="&amp;AA53)</f>
        <v/>
      </c>
      <c r="AK53" s="84">
        <f>C9</f>
        <v/>
      </c>
      <c r="AL53" s="84">
        <f>C15</f>
        <v/>
      </c>
      <c r="AM53" s="84">
        <f>MAX(0,AJ53-AK53)</f>
        <v/>
      </c>
      <c r="AN53" s="84">
        <f>IF(AM53=0,AH53,IF(AM53&gt;=AH53,0,AH53-AM53))</f>
        <v/>
      </c>
      <c r="AO53" s="84">
        <f>IF(AM53&gt;=AH53,AI53,AI53*AM53/AH53)</f>
        <v/>
      </c>
      <c r="AP53">
        <f t="array" ref="AP53">INDEX($AU$8:$BB$25,6*(R53-1)+MATCH(AB53,$AS$8:$AS$13,0),MATCH(O53,$AU$7:$BB$7,0))</f>
        <v/>
      </c>
    </row>
    <row r="54" ht="14.55" customHeight="1">
      <c r="B54" s="31" t="inlineStr">
        <is>
          <t>E+</t>
        </is>
      </c>
      <c r="C54" s="45" t="n">
        <v>31</v>
      </c>
      <c r="D54" s="45" t="n">
        <v>23</v>
      </c>
      <c r="E54" s="45" t="n">
        <v>14</v>
      </c>
      <c r="I54" s="64" t="n"/>
      <c r="O54" s="43" t="inlineStr">
        <is>
          <t>Q1’26</t>
        </is>
      </c>
      <c r="P54" s="43" t="n">
        <v>2</v>
      </c>
      <c r="Q54" s="43" t="n">
        <v>5</v>
      </c>
      <c r="R54" s="43" t="n">
        <v>2</v>
      </c>
      <c r="S54" s="45" t="n">
        <v>2330.041510624266</v>
      </c>
      <c r="T54">
        <f>(S53+S54+S55)=N3</f>
        <v/>
      </c>
      <c r="X54" s="84">
        <f>MAX(S51-S54,0)</f>
        <v/>
      </c>
      <c r="Y54" s="83" t="n">
        <v>0</v>
      </c>
      <c r="AA54" s="84" t="n">
        <v>3</v>
      </c>
      <c r="AB54" s="84" t="inlineStr">
        <is>
          <t>B</t>
        </is>
      </c>
      <c r="AC54" s="84" t="inlineStr">
        <is>
          <t>B+</t>
        </is>
      </c>
      <c r="AD54" s="84" t="n">
        <v>15</v>
      </c>
      <c r="AE54" s="84" t="n">
        <v>11</v>
      </c>
      <c r="AF54" s="84" t="n">
        <v>0.76</v>
      </c>
      <c r="AG54" s="84" t="n">
        <v>0.8100000000000001</v>
      </c>
      <c r="AH54" s="84" t="n">
        <v>0</v>
      </c>
      <c r="AI54" s="84" t="n">
        <v>0</v>
      </c>
      <c r="AJ54" s="84">
        <f>SUMIFS(AH$8:AH$1039,$O$8:$O$1039,O54,$AB$8:$AB$1039,AB54,$R$8:$R$1039,R54,$AA$8:$AA$1039,"&lt;="&amp;AA54)</f>
        <v/>
      </c>
      <c r="AK54" s="84">
        <f>D9</f>
        <v/>
      </c>
      <c r="AL54" s="84">
        <f>D15</f>
        <v/>
      </c>
      <c r="AM54" s="84">
        <f>MAX(0,AJ54-AK54)</f>
        <v/>
      </c>
      <c r="AN54" s="84">
        <f>IF(AM54=0,AH54,IF(AM54&gt;=AH54,0,AH54-AM54))</f>
        <v/>
      </c>
      <c r="AO54" s="84">
        <f>IF(AM54&gt;=AH54,AI54,AI54*AM54/AH54)</f>
        <v/>
      </c>
      <c r="AP54">
        <f t="array" ref="AP54">INDEX($AU$8:$BB$25,6*(R54-1)+MATCH(AB54,$AS$8:$AS$13,0),MATCH(O54,$AU$7:$BB$7,0))</f>
        <v/>
      </c>
    </row>
    <row r="55" ht="14.55" customHeight="1">
      <c r="B55" s="31" t="inlineStr">
        <is>
          <t>F+</t>
        </is>
      </c>
      <c r="C55" s="45" t="n">
        <v>3</v>
      </c>
      <c r="D55" s="45" t="n">
        <v>3</v>
      </c>
      <c r="E55" s="45" t="n">
        <v>0</v>
      </c>
      <c r="F55" s="44" t="inlineStr">
        <is>
          <t>Fab 1 space</t>
        </is>
      </c>
      <c r="G55" s="44" t="inlineStr">
        <is>
          <t>Fab 2 space</t>
        </is>
      </c>
      <c r="H55" s="44" t="inlineStr">
        <is>
          <t>Fab 3 space</t>
        </is>
      </c>
      <c r="I55" s="64" t="n"/>
      <c r="O55" s="43" t="inlineStr">
        <is>
          <t>Q1’26</t>
        </is>
      </c>
      <c r="P55" s="43" t="n">
        <v>2</v>
      </c>
      <c r="Q55" s="43" t="n">
        <v>5</v>
      </c>
      <c r="R55" s="43" t="n">
        <v>3</v>
      </c>
      <c r="S55" s="45" t="n">
        <v>0</v>
      </c>
      <c r="T55">
        <f>(S53+S54+S55)=N3</f>
        <v/>
      </c>
      <c r="X55" s="84">
        <f>MAX(S52-S55,0)</f>
        <v/>
      </c>
      <c r="Y55" s="83" t="n">
        <v>0</v>
      </c>
      <c r="AA55" s="84" t="n">
        <v>3</v>
      </c>
      <c r="AB55" s="84" t="inlineStr">
        <is>
          <t>B</t>
        </is>
      </c>
      <c r="AC55" s="84" t="inlineStr">
        <is>
          <t>B+</t>
        </is>
      </c>
      <c r="AD55" s="84" t="n">
        <v>15</v>
      </c>
      <c r="AE55" s="84" t="n">
        <v>11</v>
      </c>
      <c r="AF55" s="84" t="n">
        <v>0.76</v>
      </c>
      <c r="AG55" s="84" t="n">
        <v>0.8100000000000001</v>
      </c>
      <c r="AH55" s="84" t="n">
        <v>0</v>
      </c>
      <c r="AI55" s="84" t="n">
        <v>0</v>
      </c>
      <c r="AJ55" s="84">
        <f>SUMIFS(AH$8:AH$1039,$O$8:$O$1039,O55,$AB$8:$AB$1039,AB55,$R$8:$R$1039,R55,$AA$8:$AA$1039,"&lt;="&amp;AA55)</f>
        <v/>
      </c>
      <c r="AK55" s="84">
        <f>E9</f>
        <v/>
      </c>
      <c r="AL55" s="84">
        <f>E15</f>
        <v/>
      </c>
      <c r="AM55" s="84">
        <f>MAX(0,AJ55-AK55)</f>
        <v/>
      </c>
      <c r="AN55" s="84">
        <f>IF(AM55=0,AH55,IF(AM55&gt;=AH55,0,AH55-AM55))</f>
        <v/>
      </c>
      <c r="AO55" s="84">
        <f>IF(AM55&gt;=AH55,AI55,AI55*AM55/AH55)</f>
        <v/>
      </c>
      <c r="AP55">
        <f t="array" ref="AP55">INDEX($AU$8:$BB$25,6*(R55-1)+MATCH(AB55,$AS$8:$AS$13,0),MATCH(O55,$AU$7:$BB$7,0))</f>
        <v/>
      </c>
    </row>
    <row r="56" ht="14.25" customHeight="1">
      <c r="A56" s="85" t="inlineStr">
        <is>
          <t>WS Component for Q1’27</t>
        </is>
      </c>
      <c r="B56" s="31" t="inlineStr">
        <is>
          <t>A</t>
        </is>
      </c>
      <c r="C56" s="45" t="n">
        <v>18</v>
      </c>
      <c r="D56" s="45" t="n">
        <v>18</v>
      </c>
      <c r="E56" s="45" t="n">
        <v>0</v>
      </c>
      <c r="F56">
        <f t="array" ref="F56">SUM(C56:C67*data!$B$3:$B$14)</f>
        <v/>
      </c>
      <c r="G56">
        <f t="array" ref="G56">SUM(D56:D67*data!$B$3:$B$14)</f>
        <v/>
      </c>
      <c r="H56">
        <f t="array" ref="H56">SUM(E56:E67*data!$B$3:$B$14)</f>
        <v/>
      </c>
      <c r="I56" s="64" t="inlineStr">
        <is>
          <t>&lt;- make sure its green</t>
        </is>
      </c>
      <c r="O56" s="43" t="inlineStr">
        <is>
          <t>Q1’26</t>
        </is>
      </c>
      <c r="P56" s="43" t="n">
        <v>2</v>
      </c>
      <c r="Q56" s="43" t="n">
        <v>6</v>
      </c>
      <c r="R56" s="43" t="n">
        <v>1</v>
      </c>
      <c r="S56" s="45" t="n">
        <v>2669.958489375734</v>
      </c>
      <c r="T56">
        <f>(S56+S57+S58)=N3</f>
        <v/>
      </c>
      <c r="X56" s="84">
        <f>MAX(S53-S56,0)</f>
        <v/>
      </c>
      <c r="Y56" s="83" t="n">
        <v>0</v>
      </c>
      <c r="AA56" s="84" t="n">
        <v>5</v>
      </c>
      <c r="AB56" s="84" t="inlineStr">
        <is>
          <t>F</t>
        </is>
      </c>
      <c r="AC56" s="84" t="inlineStr">
        <is>
          <t>F+</t>
        </is>
      </c>
      <c r="AD56" s="84" t="n">
        <v>16</v>
      </c>
      <c r="AE56" s="84" t="n">
        <v>14</v>
      </c>
      <c r="AF56" s="84" t="n">
        <v>0.8</v>
      </c>
      <c r="AG56" s="84" t="n">
        <v>0.9</v>
      </c>
      <c r="AH56" s="84" t="n">
        <v>0</v>
      </c>
      <c r="AI56" s="84" t="n">
        <v>0</v>
      </c>
      <c r="AJ56" s="84">
        <f>SUMIFS(AH$8:AH$1039,$O$8:$O$1039,O56,$AB$8:$AB$1039,AB56,$R$8:$R$1039,R56,$AA$8:$AA$1039,"&lt;="&amp;AA56)</f>
        <v/>
      </c>
      <c r="AK56" s="84">
        <f>C13</f>
        <v/>
      </c>
      <c r="AL56" s="84">
        <f>C19</f>
        <v/>
      </c>
      <c r="AM56" s="84">
        <f>MAX(0,AJ56-AK56)</f>
        <v/>
      </c>
      <c r="AN56" s="84">
        <f>IF(AM56=0,AH56,IF(AM56&gt;=AH56,0,AH56-AM56))</f>
        <v/>
      </c>
      <c r="AO56" s="84">
        <f>IF(AM56&gt;=AH56,AI56,AI56*AM56/AH56)</f>
        <v/>
      </c>
      <c r="AP56">
        <f t="array" ref="AP56">INDEX($AU$8:$BB$25,6*(R56-1)+MATCH(AB56,$AS$8:$AS$13,0),MATCH(O56,$AU$7:$BB$7,0))</f>
        <v/>
      </c>
    </row>
    <row r="57" ht="14.55" customHeight="1">
      <c r="B57" s="31" t="inlineStr">
        <is>
          <t>B</t>
        </is>
      </c>
      <c r="C57" s="45" t="n">
        <v>25</v>
      </c>
      <c r="D57" s="45" t="n">
        <v>21</v>
      </c>
      <c r="E57" s="45" t="n">
        <v>0</v>
      </c>
      <c r="I57" s="64" t="n"/>
      <c r="O57" s="43" t="inlineStr">
        <is>
          <t>Q1’26</t>
        </is>
      </c>
      <c r="P57" s="43" t="n">
        <v>2</v>
      </c>
      <c r="Q57" s="43" t="n">
        <v>6</v>
      </c>
      <c r="R57" s="43" t="n">
        <v>2</v>
      </c>
      <c r="S57" s="45" t="n">
        <v>2330.041510624266</v>
      </c>
      <c r="T57">
        <f>(S56+S57+S58)=N3</f>
        <v/>
      </c>
      <c r="X57" s="84">
        <f>MAX(S54-S57,0)</f>
        <v/>
      </c>
      <c r="Y57" s="83" t="n">
        <v>0</v>
      </c>
      <c r="AA57" s="84" t="n">
        <v>5</v>
      </c>
      <c r="AB57" s="84" t="inlineStr">
        <is>
          <t>F</t>
        </is>
      </c>
      <c r="AC57" s="84" t="inlineStr">
        <is>
          <t>F+</t>
        </is>
      </c>
      <c r="AD57" s="84" t="n">
        <v>16</v>
      </c>
      <c r="AE57" s="84" t="n">
        <v>14</v>
      </c>
      <c r="AF57" s="84" t="n">
        <v>0.8</v>
      </c>
      <c r="AG57" s="84" t="n">
        <v>0.9</v>
      </c>
      <c r="AH57" s="84" t="n">
        <v>0</v>
      </c>
      <c r="AI57" s="84" t="n">
        <v>0</v>
      </c>
      <c r="AJ57" s="84">
        <f>SUMIFS(AH$8:AH$1039,$O$8:$O$1039,O57,$AB$8:$AB$1039,AB57,$R$8:$R$1039,R57,$AA$8:$AA$1039,"&lt;="&amp;AA57)</f>
        <v/>
      </c>
      <c r="AK57" s="84">
        <f>D13</f>
        <v/>
      </c>
      <c r="AL57" s="84">
        <f>D19</f>
        <v/>
      </c>
      <c r="AM57" s="84">
        <f>MAX(0,AJ57-AK57)</f>
        <v/>
      </c>
      <c r="AN57" s="84">
        <f>IF(AM57=0,AH57,IF(AM57&gt;=AH57,0,AH57-AM57))</f>
        <v/>
      </c>
      <c r="AO57" s="84">
        <f>IF(AM57&gt;=AH57,AI57,AI57*AM57/AH57)</f>
        <v/>
      </c>
      <c r="AP57">
        <f t="array" ref="AP57">INDEX($AU$8:$BB$25,6*(R57-1)+MATCH(AB57,$AS$8:$AS$13,0),MATCH(O57,$AU$7:$BB$7,0))</f>
        <v/>
      </c>
    </row>
    <row r="58" ht="14.55" customHeight="1">
      <c r="B58" s="31" t="inlineStr">
        <is>
          <t>C</t>
        </is>
      </c>
      <c r="C58" s="45" t="n">
        <v>0</v>
      </c>
      <c r="D58" s="45" t="n">
        <v>0</v>
      </c>
      <c r="E58" s="45" t="n">
        <v>16</v>
      </c>
      <c r="F58" s="84" t="inlineStr">
        <is>
          <t>New tool purchase cost</t>
        </is>
      </c>
      <c r="I58" s="64" t="n"/>
      <c r="O58" s="43" t="inlineStr">
        <is>
          <t>Q1’26</t>
        </is>
      </c>
      <c r="P58" s="43" t="n">
        <v>2</v>
      </c>
      <c r="Q58" s="43" t="n">
        <v>6</v>
      </c>
      <c r="R58" s="43" t="n">
        <v>3</v>
      </c>
      <c r="S58" s="45" t="n">
        <v>0</v>
      </c>
      <c r="T58">
        <f>(S56+S57+S58)=N3</f>
        <v/>
      </c>
      <c r="X58" s="84">
        <f>MAX(S55-S58,0)</f>
        <v/>
      </c>
      <c r="Y58" s="83" t="n">
        <v>0</v>
      </c>
      <c r="AA58" s="84" t="n">
        <v>5</v>
      </c>
      <c r="AB58" s="84" t="inlineStr">
        <is>
          <t>F</t>
        </is>
      </c>
      <c r="AC58" s="84" t="inlineStr">
        <is>
          <t>F+</t>
        </is>
      </c>
      <c r="AD58" s="84" t="n">
        <v>16</v>
      </c>
      <c r="AE58" s="84" t="n">
        <v>14</v>
      </c>
      <c r="AF58" s="84" t="n">
        <v>0.8</v>
      </c>
      <c r="AG58" s="84" t="n">
        <v>0.9</v>
      </c>
      <c r="AH58" s="84" t="n">
        <v>0</v>
      </c>
      <c r="AI58" s="84" t="n">
        <v>0</v>
      </c>
      <c r="AJ58" s="84">
        <f>SUMIFS(AH$8:AH$1039,$O$8:$O$1039,O58,$AB$8:$AB$1039,AB58,$R$8:$R$1039,R58,$AA$8:$AA$1039,"&lt;="&amp;AA58)</f>
        <v/>
      </c>
      <c r="AK58" s="84">
        <f>E13</f>
        <v/>
      </c>
      <c r="AL58" s="84">
        <f>E19</f>
        <v/>
      </c>
      <c r="AM58" s="84">
        <f>MAX(0,AJ58-AK58)</f>
        <v/>
      </c>
      <c r="AN58" s="84">
        <f>IF(AM58=0,AH58,IF(AM58&gt;=AH58,0,AH58-AM58))</f>
        <v/>
      </c>
      <c r="AO58" s="84">
        <f>IF(AM58&gt;=AH58,AI58,AI58*AM58/AH58)</f>
        <v/>
      </c>
      <c r="AP58">
        <f t="array" ref="AP58">INDEX($AU$8:$BB$25,6*(R58-1)+MATCH(AB58,$AS$8:$AS$13,0),MATCH(O58,$AU$7:$BB$7,0))</f>
        <v/>
      </c>
    </row>
    <row r="59" ht="14.55" customHeight="1">
      <c r="B59" s="31" t="inlineStr">
        <is>
          <t>D</t>
        </is>
      </c>
      <c r="C59" s="45" t="n">
        <v>35</v>
      </c>
      <c r="D59" s="45" t="n">
        <v>38</v>
      </c>
      <c r="E59" s="45" t="n">
        <v>1</v>
      </c>
      <c r="F59" s="83">
        <f t="array" ref="F59">SUM(
     _xlfn.BYROW(
           IF(C56:E67-C44:E55&gt;0, C56:E67-C44:E55, 0),
           _xleta.SUM)
     *data!$C$3:$C$14
)</f>
        <v/>
      </c>
      <c r="I59" s="64" t="n"/>
      <c r="O59" s="43" t="inlineStr">
        <is>
          <t>Q1’26</t>
        </is>
      </c>
      <c r="P59" s="43" t="n">
        <v>2</v>
      </c>
      <c r="Q59" s="43" t="n">
        <v>7</v>
      </c>
      <c r="R59" s="43" t="n">
        <v>1</v>
      </c>
      <c r="S59" s="45" t="n">
        <v>2669.958489375734</v>
      </c>
      <c r="T59">
        <f>(S59+S60+S61)=N3</f>
        <v/>
      </c>
      <c r="X59" s="84">
        <f>MAX(S56-S59,0)</f>
        <v/>
      </c>
      <c r="Y59" s="83" t="n">
        <v>0</v>
      </c>
      <c r="AA59" s="84" t="n">
        <v>4</v>
      </c>
      <c r="AB59" s="84" t="inlineStr">
        <is>
          <t>F</t>
        </is>
      </c>
      <c r="AC59" s="84" t="inlineStr">
        <is>
          <t>F+</t>
        </is>
      </c>
      <c r="AD59" s="84" t="n">
        <v>17</v>
      </c>
      <c r="AE59" s="84" t="n">
        <v>15</v>
      </c>
      <c r="AF59" s="84" t="n">
        <v>0.8</v>
      </c>
      <c r="AG59" s="84" t="n">
        <v>0.9</v>
      </c>
      <c r="AH59" s="84" t="n">
        <v>0</v>
      </c>
      <c r="AI59" s="84" t="n">
        <v>0</v>
      </c>
      <c r="AJ59" s="84">
        <f>SUMIFS(AH$8:AH$1039,$O$8:$O$1039,O59,$AB$8:$AB$1039,AB59,$R$8:$R$1039,R59,$AA$8:$AA$1039,"&lt;="&amp;AA59)</f>
        <v/>
      </c>
      <c r="AK59" s="84">
        <f>C13</f>
        <v/>
      </c>
      <c r="AL59" s="84">
        <f>C19</f>
        <v/>
      </c>
      <c r="AM59" s="84">
        <f>MAX(0,AJ59-AK59)</f>
        <v/>
      </c>
      <c r="AN59" s="84">
        <f>IF(AM59=0,AH59,IF(AM59&gt;=AH59,0,AH59-AM59))</f>
        <v/>
      </c>
      <c r="AO59" s="84">
        <f>IF(AM59&gt;=AH59,AI59,AI59*AM59/AH59)</f>
        <v/>
      </c>
      <c r="AP59">
        <f t="array" ref="AP59">INDEX($AU$8:$BB$25,6*(R59-1)+MATCH(AB59,$AS$8:$AS$13,0),MATCH(O59,$AU$7:$BB$7,0))</f>
        <v/>
      </c>
    </row>
    <row r="60" ht="14.55" customHeight="1">
      <c r="B60" s="31" t="inlineStr">
        <is>
          <t>E</t>
        </is>
      </c>
      <c r="C60" s="45" t="n">
        <v>40</v>
      </c>
      <c r="D60" s="45" t="n">
        <v>30</v>
      </c>
      <c r="E60" s="45" t="n">
        <v>16</v>
      </c>
      <c r="F60" s="84" t="inlineStr">
        <is>
          <t>Moveout cost</t>
        </is>
      </c>
      <c r="I60" s="64" t="n"/>
      <c r="O60" s="43" t="inlineStr">
        <is>
          <t>Q1’26</t>
        </is>
      </c>
      <c r="P60" s="43" t="n">
        <v>2</v>
      </c>
      <c r="Q60" s="43" t="n">
        <v>7</v>
      </c>
      <c r="R60" s="43" t="n">
        <v>2</v>
      </c>
      <c r="S60" s="45" t="n">
        <v>2330.041510624266</v>
      </c>
      <c r="T60">
        <f>(S59+S60+S61)=N3</f>
        <v/>
      </c>
      <c r="X60" s="84">
        <f>MAX(S57-S60,0)</f>
        <v/>
      </c>
      <c r="Y60" s="83" t="n">
        <v>0</v>
      </c>
      <c r="AA60" s="84" t="n">
        <v>4</v>
      </c>
      <c r="AB60" s="84" t="inlineStr">
        <is>
          <t>F</t>
        </is>
      </c>
      <c r="AC60" s="84" t="inlineStr">
        <is>
          <t>F+</t>
        </is>
      </c>
      <c r="AD60" s="84" t="n">
        <v>17</v>
      </c>
      <c r="AE60" s="84" t="n">
        <v>15</v>
      </c>
      <c r="AF60" s="84" t="n">
        <v>0.8</v>
      </c>
      <c r="AG60" s="84" t="n">
        <v>0.9</v>
      </c>
      <c r="AH60" s="84" t="n">
        <v>0</v>
      </c>
      <c r="AI60" s="84" t="n">
        <v>0</v>
      </c>
      <c r="AJ60" s="84">
        <f>SUMIFS(AH$8:AH$1039,$O$8:$O$1039,O60,$AB$8:$AB$1039,AB60,$R$8:$R$1039,R60,$AA$8:$AA$1039,"&lt;="&amp;AA60)</f>
        <v/>
      </c>
      <c r="AK60" s="84">
        <f>D13</f>
        <v/>
      </c>
      <c r="AL60" s="84">
        <f>D19</f>
        <v/>
      </c>
      <c r="AM60" s="84">
        <f>MAX(0,AJ60-AK60)</f>
        <v/>
      </c>
      <c r="AN60" s="84">
        <f>IF(AM60=0,AH60,IF(AM60&gt;=AH60,0,AH60-AM60))</f>
        <v/>
      </c>
      <c r="AO60" s="84">
        <f>IF(AM60&gt;=AH60,AI60,AI60*AM60/AH60)</f>
        <v/>
      </c>
      <c r="AP60">
        <f t="array" ref="AP60">INDEX($AU$8:$BB$25,6*(R60-1)+MATCH(AB60,$AS$8:$AS$13,0),MATCH(O60,$AU$7:$BB$7,0))</f>
        <v/>
      </c>
    </row>
    <row r="61" ht="14.55" customHeight="1">
      <c r="B61" s="31" t="inlineStr">
        <is>
          <t>F</t>
        </is>
      </c>
      <c r="C61" s="45" t="n">
        <v>90</v>
      </c>
      <c r="D61" s="45" t="n">
        <v>60</v>
      </c>
      <c r="E61" s="45" t="n">
        <v>29</v>
      </c>
      <c r="F61" s="83">
        <f t="array" ref="F61">SUM(
     _xlfn.BYROW(
           IF(C56:E67-C44:E55&lt;0, C56:E67-C44:E55, 0),
           _xleta.SUM)
     * -1000000
)</f>
        <v/>
      </c>
      <c r="I61" s="64" t="n"/>
      <c r="O61" s="43" t="inlineStr">
        <is>
          <t>Q1’26</t>
        </is>
      </c>
      <c r="P61" s="43" t="n">
        <v>2</v>
      </c>
      <c r="Q61" s="43" t="n">
        <v>7</v>
      </c>
      <c r="R61" s="43" t="n">
        <v>3</v>
      </c>
      <c r="S61" s="45" t="n">
        <v>0</v>
      </c>
      <c r="T61">
        <f>(S59+S60+S61)=N3</f>
        <v/>
      </c>
      <c r="X61" s="84">
        <f>MAX(S58-S61,0)</f>
        <v/>
      </c>
      <c r="Y61" s="83" t="n">
        <v>0</v>
      </c>
      <c r="AA61" s="84" t="n">
        <v>4</v>
      </c>
      <c r="AB61" s="84" t="inlineStr">
        <is>
          <t>F</t>
        </is>
      </c>
      <c r="AC61" s="84" t="inlineStr">
        <is>
          <t>F+</t>
        </is>
      </c>
      <c r="AD61" s="84" t="n">
        <v>17</v>
      </c>
      <c r="AE61" s="84" t="n">
        <v>15</v>
      </c>
      <c r="AF61" s="84" t="n">
        <v>0.8</v>
      </c>
      <c r="AG61" s="84" t="n">
        <v>0.9</v>
      </c>
      <c r="AH61" s="84" t="n">
        <v>0</v>
      </c>
      <c r="AI61" s="84" t="n">
        <v>0</v>
      </c>
      <c r="AJ61" s="84">
        <f>SUMIFS(AH$8:AH$1039,$O$8:$O$1039,O61,$AB$8:$AB$1039,AB61,$R$8:$R$1039,R61,$AA$8:$AA$1039,"&lt;="&amp;AA61)</f>
        <v/>
      </c>
      <c r="AK61" s="84">
        <f>E13</f>
        <v/>
      </c>
      <c r="AL61" s="84">
        <f>E19</f>
        <v/>
      </c>
      <c r="AM61" s="84">
        <f>MAX(0,AJ61-AK61)</f>
        <v/>
      </c>
      <c r="AN61" s="84">
        <f>IF(AM61=0,AH61,IF(AM61&gt;=AH61,0,AH61-AM61))</f>
        <v/>
      </c>
      <c r="AO61" s="84">
        <f>IF(AM61&gt;=AH61,AI61,AI61*AM61/AH61)</f>
        <v/>
      </c>
      <c r="AP61">
        <f t="array" ref="AP61">INDEX($AU$8:$BB$25,6*(R61-1)+MATCH(AB61,$AS$8:$AS$13,0),MATCH(O61,$AU$7:$BB$7,0))</f>
        <v/>
      </c>
    </row>
    <row r="62" ht="14.55" customHeight="1">
      <c r="B62" s="31" t="inlineStr">
        <is>
          <t>A+</t>
        </is>
      </c>
      <c r="C62" s="45" t="n">
        <v>0</v>
      </c>
      <c r="D62" s="45" t="n">
        <v>3</v>
      </c>
      <c r="E62" s="45" t="n">
        <v>5</v>
      </c>
      <c r="I62" s="64" t="n"/>
      <c r="O62" s="43" t="inlineStr">
        <is>
          <t>Q1’26</t>
        </is>
      </c>
      <c r="P62" s="43" t="n">
        <v>2</v>
      </c>
      <c r="Q62" s="43" t="n">
        <v>8</v>
      </c>
      <c r="R62" s="43" t="n">
        <v>1</v>
      </c>
      <c r="S62" s="45" t="n">
        <v>2669.958489375734</v>
      </c>
      <c r="T62">
        <f>(S62+S63+S64)=N3</f>
        <v/>
      </c>
      <c r="X62" s="84">
        <f>MAX(S59-S62,0)</f>
        <v/>
      </c>
      <c r="Y62" s="83" t="n">
        <v>0</v>
      </c>
      <c r="AA62" s="84" t="n">
        <v>4</v>
      </c>
      <c r="AB62" s="84" t="inlineStr">
        <is>
          <t>B</t>
        </is>
      </c>
      <c r="AC62" s="84" t="inlineStr">
        <is>
          <t>B+</t>
        </is>
      </c>
      <c r="AD62" s="84" t="n">
        <v>22</v>
      </c>
      <c r="AE62" s="84" t="n">
        <v>16</v>
      </c>
      <c r="AF62" s="84" t="n">
        <v>0.76</v>
      </c>
      <c r="AG62" s="84" t="n">
        <v>0.8100000000000001</v>
      </c>
      <c r="AH62" s="84" t="n">
        <v>0</v>
      </c>
      <c r="AI62" s="84" t="n">
        <v>0</v>
      </c>
      <c r="AJ62" s="84">
        <f>SUMIFS(AH$8:AH$1039,$O$8:$O$1039,O62,$AB$8:$AB$1039,AB62,$R$8:$R$1039,R62,$AA$8:$AA$1039,"&lt;="&amp;AA62)</f>
        <v/>
      </c>
      <c r="AK62" s="84">
        <f>C9</f>
        <v/>
      </c>
      <c r="AL62" s="84">
        <f>C15</f>
        <v/>
      </c>
      <c r="AM62" s="84">
        <f>MAX(0,AJ62-AK62)</f>
        <v/>
      </c>
      <c r="AN62" s="84">
        <f>IF(AM62=0,AH62,IF(AM62&gt;=AH62,0,AH62-AM62))</f>
        <v/>
      </c>
      <c r="AO62" s="84">
        <f>IF(AM62&gt;=AH62,AI62,AI62*AM62/AH62)</f>
        <v/>
      </c>
      <c r="AP62">
        <f t="array" ref="AP62">INDEX($AU$8:$BB$25,6*(R62-1)+MATCH(AB62,$AS$8:$AS$13,0),MATCH(O62,$AU$7:$BB$7,0))</f>
        <v/>
      </c>
    </row>
    <row r="63" ht="14.55" customHeight="1">
      <c r="B63" s="31" t="inlineStr">
        <is>
          <t>B+</t>
        </is>
      </c>
      <c r="C63" s="45" t="n">
        <v>21</v>
      </c>
      <c r="D63" s="45" t="n">
        <v>0</v>
      </c>
      <c r="E63" s="45" t="n">
        <v>0</v>
      </c>
      <c r="I63" s="64" t="n"/>
      <c r="O63" s="43" t="inlineStr">
        <is>
          <t>Q1’26</t>
        </is>
      </c>
      <c r="P63" s="43" t="n">
        <v>2</v>
      </c>
      <c r="Q63" s="43" t="n">
        <v>8</v>
      </c>
      <c r="R63" s="43" t="n">
        <v>2</v>
      </c>
      <c r="S63" s="45" t="n">
        <v>2330.041510624266</v>
      </c>
      <c r="T63">
        <f>(S62+S63+S64)=N3</f>
        <v/>
      </c>
      <c r="X63" s="84">
        <f>MAX(S60-S63,0)</f>
        <v/>
      </c>
      <c r="Y63" s="83" t="n">
        <v>0</v>
      </c>
      <c r="AA63" s="84" t="n">
        <v>4</v>
      </c>
      <c r="AB63" s="84" t="inlineStr">
        <is>
          <t>B</t>
        </is>
      </c>
      <c r="AC63" s="84" t="inlineStr">
        <is>
          <t>B+</t>
        </is>
      </c>
      <c r="AD63" s="84" t="n">
        <v>22</v>
      </c>
      <c r="AE63" s="84" t="n">
        <v>16</v>
      </c>
      <c r="AF63" s="84" t="n">
        <v>0.76</v>
      </c>
      <c r="AG63" s="84" t="n">
        <v>0.8100000000000001</v>
      </c>
      <c r="AH63" s="84" t="n">
        <v>0</v>
      </c>
      <c r="AI63" s="84" t="n">
        <v>0</v>
      </c>
      <c r="AJ63" s="84">
        <f>SUMIFS(AH$8:AH$1039,$O$8:$O$1039,O63,$AB$8:$AB$1039,AB63,$R$8:$R$1039,R63,$AA$8:$AA$1039,"&lt;="&amp;AA63)</f>
        <v/>
      </c>
      <c r="AK63" s="84">
        <f>D9</f>
        <v/>
      </c>
      <c r="AL63" s="84">
        <f>D15</f>
        <v/>
      </c>
      <c r="AM63" s="84">
        <f>MAX(0,AJ63-AK63)</f>
        <v/>
      </c>
      <c r="AN63" s="84">
        <f>IF(AM63=0,AH63,IF(AM63&gt;=AH63,0,AH63-AM63))</f>
        <v/>
      </c>
      <c r="AO63" s="84">
        <f>IF(AM63&gt;=AH63,AI63,AI63*AM63/AH63)</f>
        <v/>
      </c>
      <c r="AP63">
        <f t="array" ref="AP63">INDEX($AU$8:$BB$25,6*(R63-1)+MATCH(AB63,$AS$8:$AS$13,0),MATCH(O63,$AU$7:$BB$7,0))</f>
        <v/>
      </c>
    </row>
    <row r="64" ht="14.55" customHeight="1">
      <c r="B64" s="31" t="inlineStr">
        <is>
          <t>C+</t>
        </is>
      </c>
      <c r="C64" s="45" t="n">
        <v>21</v>
      </c>
      <c r="D64" s="45" t="n">
        <v>50</v>
      </c>
      <c r="E64" s="45" t="n">
        <v>26</v>
      </c>
      <c r="I64" s="64" t="n"/>
      <c r="O64" s="43" t="inlineStr">
        <is>
          <t>Q1’26</t>
        </is>
      </c>
      <c r="P64" s="43" t="n">
        <v>2</v>
      </c>
      <c r="Q64" s="43" t="n">
        <v>8</v>
      </c>
      <c r="R64" s="43" t="n">
        <v>3</v>
      </c>
      <c r="S64" s="45" t="n">
        <v>0</v>
      </c>
      <c r="T64">
        <f>(S62+S63+S64)=N3</f>
        <v/>
      </c>
      <c r="X64" s="84">
        <f>MAX(S61-S64,0)</f>
        <v/>
      </c>
      <c r="Y64" s="83" t="n">
        <v>0</v>
      </c>
      <c r="AA64" s="84" t="n">
        <v>4</v>
      </c>
      <c r="AB64" s="84" t="inlineStr">
        <is>
          <t>B</t>
        </is>
      </c>
      <c r="AC64" s="84" t="inlineStr">
        <is>
          <t>B+</t>
        </is>
      </c>
      <c r="AD64" s="84" t="n">
        <v>22</v>
      </c>
      <c r="AE64" s="84" t="n">
        <v>16</v>
      </c>
      <c r="AF64" s="84" t="n">
        <v>0.76</v>
      </c>
      <c r="AG64" s="84" t="n">
        <v>0.8100000000000001</v>
      </c>
      <c r="AH64" s="84" t="n">
        <v>0</v>
      </c>
      <c r="AI64" s="84" t="n">
        <v>0</v>
      </c>
      <c r="AJ64" s="84">
        <f>SUMIFS(AH$8:AH$1039,$O$8:$O$1039,O64,$AB$8:$AB$1039,AB64,$R$8:$R$1039,R64,$AA$8:$AA$1039,"&lt;="&amp;AA64)</f>
        <v/>
      </c>
      <c r="AK64" s="84">
        <f>E9</f>
        <v/>
      </c>
      <c r="AL64" s="84">
        <f>E15</f>
        <v/>
      </c>
      <c r="AM64" s="84">
        <f>MAX(0,AJ64-AK64)</f>
        <v/>
      </c>
      <c r="AN64" s="84">
        <f>IF(AM64=0,AH64,IF(AM64&gt;=AH64,0,AH64-AM64))</f>
        <v/>
      </c>
      <c r="AO64" s="84">
        <f>IF(AM64&gt;=AH64,AI64,AI64*AM64/AH64)</f>
        <v/>
      </c>
      <c r="AP64">
        <f t="array" ref="AP64">INDEX($AU$8:$BB$25,6*(R64-1)+MATCH(AB64,$AS$8:$AS$13,0),MATCH(O64,$AU$7:$BB$7,0))</f>
        <v/>
      </c>
    </row>
    <row r="65" ht="14.55" customHeight="1">
      <c r="B65" s="31" t="inlineStr">
        <is>
          <t>D+</t>
        </is>
      </c>
      <c r="C65" s="45" t="n">
        <v>35</v>
      </c>
      <c r="D65" s="45" t="n">
        <v>11</v>
      </c>
      <c r="E65" s="45" t="n">
        <v>28</v>
      </c>
      <c r="I65" s="64" t="n"/>
      <c r="O65" s="43" t="inlineStr">
        <is>
          <t>Q1’26</t>
        </is>
      </c>
      <c r="P65" s="43" t="n">
        <v>2</v>
      </c>
      <c r="Q65" s="43" t="n">
        <v>9</v>
      </c>
      <c r="R65" s="43" t="n">
        <v>1</v>
      </c>
      <c r="S65" s="45" t="n">
        <v>2669.958489375735</v>
      </c>
      <c r="T65">
        <f>(S65+S66+S67)=N3</f>
        <v/>
      </c>
      <c r="X65" s="84">
        <f>MAX(S62-S65,0)</f>
        <v/>
      </c>
      <c r="Y65" s="83" t="n">
        <v>0</v>
      </c>
      <c r="AA65" s="84" t="n">
        <v>4</v>
      </c>
      <c r="AB65" s="84" t="inlineStr">
        <is>
          <t>E</t>
        </is>
      </c>
      <c r="AC65" s="84" t="inlineStr">
        <is>
          <t>E+</t>
        </is>
      </c>
      <c r="AD65" s="84" t="n">
        <v>7</v>
      </c>
      <c r="AE65" s="84" t="n">
        <v>6</v>
      </c>
      <c r="AF65" s="84" t="n">
        <v>0.76</v>
      </c>
      <c r="AG65" s="84" t="n">
        <v>0.84</v>
      </c>
      <c r="AH65" s="84" t="n">
        <v>0</v>
      </c>
      <c r="AI65" s="84" t="n">
        <v>0</v>
      </c>
      <c r="AJ65" s="84">
        <f>SUMIFS(AH$8:AH$1039,$O$8:$O$1039,O65,$AB$8:$AB$1039,AB65,$R$8:$R$1039,R65,$AA$8:$AA$1039,"&lt;="&amp;AA65)</f>
        <v/>
      </c>
      <c r="AK65" s="84">
        <f>C12</f>
        <v/>
      </c>
      <c r="AL65" s="84">
        <f>C18</f>
        <v/>
      </c>
      <c r="AM65" s="84">
        <f>MAX(0,AJ65-AK65)</f>
        <v/>
      </c>
      <c r="AN65" s="84">
        <f>IF(AM65=0,AH65,IF(AM65&gt;=AH65,0,AH65-AM65))</f>
        <v/>
      </c>
      <c r="AO65" s="84">
        <f>IF(AM65&gt;=AH65,AI65,AI65*AM65/AH65)</f>
        <v/>
      </c>
      <c r="AP65">
        <f t="array" ref="AP65">INDEX($AU$8:$BB$25,6*(R65-1)+MATCH(AB65,$AS$8:$AS$13,0),MATCH(O65,$AU$7:$BB$7,0))</f>
        <v/>
      </c>
    </row>
    <row r="66" ht="14.55" customHeight="1">
      <c r="B66" s="31" t="inlineStr">
        <is>
          <t>E+</t>
        </is>
      </c>
      <c r="C66" s="45" t="n">
        <v>31</v>
      </c>
      <c r="D66" s="45" t="n">
        <v>23</v>
      </c>
      <c r="E66" s="45" t="n">
        <v>15</v>
      </c>
      <c r="I66" s="64" t="n"/>
      <c r="O66" s="43" t="inlineStr">
        <is>
          <t>Q1’26</t>
        </is>
      </c>
      <c r="P66" s="43" t="n">
        <v>2</v>
      </c>
      <c r="Q66" s="43" t="n">
        <v>9</v>
      </c>
      <c r="R66" s="43" t="n">
        <v>2</v>
      </c>
      <c r="S66" s="45" t="n">
        <v>2330.041510624265</v>
      </c>
      <c r="T66">
        <f>(S65+S66+S67)=N3</f>
        <v/>
      </c>
      <c r="X66" s="84">
        <f>MAX(S63-S66,0)</f>
        <v/>
      </c>
      <c r="Y66" s="83" t="n">
        <v>0</v>
      </c>
      <c r="AA66" s="84" t="n">
        <v>4</v>
      </c>
      <c r="AB66" s="84" t="inlineStr">
        <is>
          <t>E</t>
        </is>
      </c>
      <c r="AC66" s="84" t="inlineStr">
        <is>
          <t>E+</t>
        </is>
      </c>
      <c r="AD66" s="84" t="n">
        <v>7</v>
      </c>
      <c r="AE66" s="84" t="n">
        <v>6</v>
      </c>
      <c r="AF66" s="84" t="n">
        <v>0.76</v>
      </c>
      <c r="AG66" s="84" t="n">
        <v>0.84</v>
      </c>
      <c r="AH66" s="84" t="n">
        <v>0</v>
      </c>
      <c r="AI66" s="84" t="n">
        <v>0</v>
      </c>
      <c r="AJ66" s="84">
        <f>SUMIFS(AH$8:AH$1039,$O$8:$O$1039,O66,$AB$8:$AB$1039,AB66,$R$8:$R$1039,R66,$AA$8:$AA$1039,"&lt;="&amp;AA66)</f>
        <v/>
      </c>
      <c r="AK66" s="84">
        <f>D12</f>
        <v/>
      </c>
      <c r="AL66" s="84">
        <f>D18</f>
        <v/>
      </c>
      <c r="AM66" s="84">
        <f>MAX(0,AJ66-AK66)</f>
        <v/>
      </c>
      <c r="AN66" s="84">
        <f>IF(AM66=0,AH66,IF(AM66&gt;=AH66,0,AH66-AM66))</f>
        <v/>
      </c>
      <c r="AO66" s="84">
        <f>IF(AM66&gt;=AH66,AI66,AI66*AM66/AH66)</f>
        <v/>
      </c>
      <c r="AP66">
        <f t="array" ref="AP66">INDEX($AU$8:$BB$25,6*(R66-1)+MATCH(AB66,$AS$8:$AS$13,0),MATCH(O66,$AU$7:$BB$7,0))</f>
        <v/>
      </c>
    </row>
    <row r="67" ht="14.55" customHeight="1">
      <c r="B67" s="31" t="inlineStr">
        <is>
          <t>F+</t>
        </is>
      </c>
      <c r="C67" s="45" t="n">
        <v>3</v>
      </c>
      <c r="D67" s="45" t="n">
        <v>3</v>
      </c>
      <c r="E67" s="45" t="n">
        <v>0</v>
      </c>
      <c r="F67" s="44" t="inlineStr">
        <is>
          <t>Fab 1 space</t>
        </is>
      </c>
      <c r="G67" s="44" t="inlineStr">
        <is>
          <t>Fab 2 space</t>
        </is>
      </c>
      <c r="H67" s="44" t="inlineStr">
        <is>
          <t>Fab 3 space</t>
        </is>
      </c>
      <c r="I67" s="64" t="n"/>
      <c r="O67" s="43" t="inlineStr">
        <is>
          <t>Q1’26</t>
        </is>
      </c>
      <c r="P67" s="43" t="n">
        <v>2</v>
      </c>
      <c r="Q67" s="43" t="n">
        <v>9</v>
      </c>
      <c r="R67" s="43" t="n">
        <v>3</v>
      </c>
      <c r="S67" s="45" t="n">
        <v>0</v>
      </c>
      <c r="T67">
        <f>(S65+S66+S67)=N3</f>
        <v/>
      </c>
      <c r="X67" s="84">
        <f>MAX(S64-S67,0)</f>
        <v/>
      </c>
      <c r="Y67" s="83" t="n">
        <v>0</v>
      </c>
      <c r="AA67" s="84" t="n">
        <v>4</v>
      </c>
      <c r="AB67" s="84" t="inlineStr">
        <is>
          <t>E</t>
        </is>
      </c>
      <c r="AC67" s="84" t="inlineStr">
        <is>
          <t>E+</t>
        </is>
      </c>
      <c r="AD67" s="84" t="n">
        <v>7</v>
      </c>
      <c r="AE67" s="84" t="n">
        <v>6</v>
      </c>
      <c r="AF67" s="84" t="n">
        <v>0.76</v>
      </c>
      <c r="AG67" s="84" t="n">
        <v>0.84</v>
      </c>
      <c r="AH67" s="84" t="n">
        <v>0</v>
      </c>
      <c r="AI67" s="84" t="n">
        <v>0</v>
      </c>
      <c r="AJ67" s="84">
        <f>SUMIFS(AH$8:AH$1039,$O$8:$O$1039,O67,$AB$8:$AB$1039,AB67,$R$8:$R$1039,R67,$AA$8:$AA$1039,"&lt;="&amp;AA67)</f>
        <v/>
      </c>
      <c r="AK67" s="84">
        <f>E12</f>
        <v/>
      </c>
      <c r="AL67" s="84">
        <f>E18</f>
        <v/>
      </c>
      <c r="AM67" s="84">
        <f>MAX(0,AJ67-AK67)</f>
        <v/>
      </c>
      <c r="AN67" s="84">
        <f>IF(AM67=0,AH67,IF(AM67&gt;=AH67,0,AH67-AM67))</f>
        <v/>
      </c>
      <c r="AO67" s="84">
        <f>IF(AM67&gt;=AH67,AI67,AI67*AM67/AH67)</f>
        <v/>
      </c>
      <c r="AP67">
        <f t="array" ref="AP67">INDEX($AU$8:$BB$25,6*(R67-1)+MATCH(AB67,$AS$8:$AS$13,0),MATCH(O67,$AU$7:$BB$7,0))</f>
        <v/>
      </c>
    </row>
    <row r="68" ht="14.25" customHeight="1">
      <c r="A68" s="85" t="inlineStr">
        <is>
          <t>WS Component for Q2’27</t>
        </is>
      </c>
      <c r="B68" s="31" t="inlineStr">
        <is>
          <t>A</t>
        </is>
      </c>
      <c r="C68" s="45" t="n">
        <v>17</v>
      </c>
      <c r="D68" s="45" t="n">
        <v>9</v>
      </c>
      <c r="E68" s="45" t="n">
        <v>0</v>
      </c>
      <c r="F68">
        <f t="array" ref="F68">SUM(C68:C79*data!$B$3:$B$14)</f>
        <v/>
      </c>
      <c r="G68">
        <f t="array" ref="G68">SUM(D68:D79*data!$B$3:$B$14)</f>
        <v/>
      </c>
      <c r="H68">
        <f t="array" ref="H68">SUM(E68:E79*data!$B$3:$B$14)</f>
        <v/>
      </c>
      <c r="I68" s="64" t="inlineStr">
        <is>
          <t>&lt;- make sure its green</t>
        </is>
      </c>
      <c r="O68" s="43" t="inlineStr">
        <is>
          <t>Q1’26</t>
        </is>
      </c>
      <c r="P68" s="43" t="n">
        <v>2</v>
      </c>
      <c r="Q68" s="43" t="n">
        <v>10</v>
      </c>
      <c r="R68" s="43" t="n">
        <v>1</v>
      </c>
      <c r="S68" s="45" t="n">
        <v>2669.958489375735</v>
      </c>
      <c r="T68">
        <f>(S68+S69+S70)=N3</f>
        <v/>
      </c>
      <c r="X68" s="84">
        <f>MAX(S65-S68,0)</f>
        <v/>
      </c>
      <c r="Y68" s="83" t="n">
        <v>0</v>
      </c>
      <c r="AA68" s="84" t="n">
        <v>6</v>
      </c>
      <c r="AB68" s="84" t="inlineStr">
        <is>
          <t>E</t>
        </is>
      </c>
      <c r="AC68" s="84" t="inlineStr">
        <is>
          <t>E+</t>
        </is>
      </c>
      <c r="AD68" s="84" t="n">
        <v>9</v>
      </c>
      <c r="AE68" s="84" t="n">
        <v>7</v>
      </c>
      <c r="AF68" s="84" t="n">
        <v>0.76</v>
      </c>
      <c r="AG68" s="84" t="n">
        <v>0.84</v>
      </c>
      <c r="AH68" s="84" t="n">
        <v>0</v>
      </c>
      <c r="AI68" s="84" t="n">
        <v>0</v>
      </c>
      <c r="AJ68" s="84">
        <f>SUMIFS(AH$8:AH$1039,$O$8:$O$1039,O68,$AB$8:$AB$1039,AB68,$R$8:$R$1039,R68,$AA$8:$AA$1039,"&lt;="&amp;AA68)</f>
        <v/>
      </c>
      <c r="AK68" s="84">
        <f>C12</f>
        <v/>
      </c>
      <c r="AL68" s="84">
        <f>C18</f>
        <v/>
      </c>
      <c r="AM68" s="84">
        <f>MAX(0,AJ68-AK68)</f>
        <v/>
      </c>
      <c r="AN68" s="84">
        <f>IF(AM68=0,AH68,IF(AM68&gt;=AH68,0,AH68-AM68))</f>
        <v/>
      </c>
      <c r="AO68" s="84">
        <f>IF(AM68&gt;=AH68,AI68,AI68*AM68/AH68)</f>
        <v/>
      </c>
      <c r="AP68">
        <f t="array" ref="AP68">INDEX($AU$8:$BB$25,6*(R68-1)+MATCH(AB68,$AS$8:$AS$13,0),MATCH(O68,$AU$7:$BB$7,0))</f>
        <v/>
      </c>
    </row>
    <row r="69" ht="14.55" customHeight="1">
      <c r="B69" s="31" t="inlineStr">
        <is>
          <t>B</t>
        </is>
      </c>
      <c r="C69" s="45" t="n">
        <v>25</v>
      </c>
      <c r="D69" s="45" t="n">
        <v>21</v>
      </c>
      <c r="E69" s="45" t="n">
        <v>0</v>
      </c>
      <c r="I69" s="64" t="n"/>
      <c r="O69" s="43" t="inlineStr">
        <is>
          <t>Q1’26</t>
        </is>
      </c>
      <c r="P69" s="43" t="n">
        <v>2</v>
      </c>
      <c r="Q69" s="43" t="n">
        <v>10</v>
      </c>
      <c r="R69" s="43" t="n">
        <v>2</v>
      </c>
      <c r="S69" s="45" t="n">
        <v>2330.041510624265</v>
      </c>
      <c r="T69">
        <f>(S68+S69+S70)=N3</f>
        <v/>
      </c>
      <c r="X69" s="84">
        <f>MAX(S66-S69,0)</f>
        <v/>
      </c>
      <c r="Y69" s="83" t="n">
        <v>0</v>
      </c>
      <c r="AA69" s="84" t="n">
        <v>6</v>
      </c>
      <c r="AB69" s="84" t="inlineStr">
        <is>
          <t>E</t>
        </is>
      </c>
      <c r="AC69" s="84" t="inlineStr">
        <is>
          <t>E+</t>
        </is>
      </c>
      <c r="AD69" s="84" t="n">
        <v>9</v>
      </c>
      <c r="AE69" s="84" t="n">
        <v>7</v>
      </c>
      <c r="AF69" s="84" t="n">
        <v>0.76</v>
      </c>
      <c r="AG69" s="84" t="n">
        <v>0.84</v>
      </c>
      <c r="AH69" s="84" t="n">
        <v>0</v>
      </c>
      <c r="AI69" s="84" t="n">
        <v>0</v>
      </c>
      <c r="AJ69" s="84">
        <f>SUMIFS(AH$8:AH$1039,$O$8:$O$1039,O69,$AB$8:$AB$1039,AB69,$R$8:$R$1039,R69,$AA$8:$AA$1039,"&lt;="&amp;AA69)</f>
        <v/>
      </c>
      <c r="AK69" s="84">
        <f>D12</f>
        <v/>
      </c>
      <c r="AL69" s="84">
        <f>D18</f>
        <v/>
      </c>
      <c r="AM69" s="84">
        <f>MAX(0,AJ69-AK69)</f>
        <v/>
      </c>
      <c r="AN69" s="84">
        <f>IF(AM69=0,AH69,IF(AM69&gt;=AH69,0,AH69-AM69))</f>
        <v/>
      </c>
      <c r="AO69" s="84">
        <f>IF(AM69&gt;=AH69,AI69,AI69*AM69/AH69)</f>
        <v/>
      </c>
      <c r="AP69">
        <f t="array" ref="AP69">INDEX($AU$8:$BB$25,6*(R69-1)+MATCH(AB69,$AS$8:$AS$13,0),MATCH(O69,$AU$7:$BB$7,0))</f>
        <v/>
      </c>
    </row>
    <row r="70" ht="14.55" customHeight="1">
      <c r="B70" s="31" t="inlineStr">
        <is>
          <t>C</t>
        </is>
      </c>
      <c r="C70" s="45" t="n">
        <v>0</v>
      </c>
      <c r="D70" s="45" t="n">
        <v>0</v>
      </c>
      <c r="E70" s="45" t="n">
        <v>2</v>
      </c>
      <c r="F70" s="84" t="inlineStr">
        <is>
          <t>New tool purchase cost</t>
        </is>
      </c>
      <c r="I70" s="64" t="n"/>
      <c r="O70" s="43" t="inlineStr">
        <is>
          <t>Q1’26</t>
        </is>
      </c>
      <c r="P70" s="43" t="n">
        <v>2</v>
      </c>
      <c r="Q70" s="43" t="n">
        <v>10</v>
      </c>
      <c r="R70" s="43" t="n">
        <v>3</v>
      </c>
      <c r="S70" s="45" t="n">
        <v>0</v>
      </c>
      <c r="T70">
        <f>(S68+S69+S70)=N3</f>
        <v/>
      </c>
      <c r="X70" s="84">
        <f>MAX(S67-S70,0)</f>
        <v/>
      </c>
      <c r="Y70" s="83" t="n">
        <v>0</v>
      </c>
      <c r="AA70" s="84" t="n">
        <v>6</v>
      </c>
      <c r="AB70" s="84" t="inlineStr">
        <is>
          <t>E</t>
        </is>
      </c>
      <c r="AC70" s="84" t="inlineStr">
        <is>
          <t>E+</t>
        </is>
      </c>
      <c r="AD70" s="84" t="n">
        <v>9</v>
      </c>
      <c r="AE70" s="84" t="n">
        <v>7</v>
      </c>
      <c r="AF70" s="84" t="n">
        <v>0.76</v>
      </c>
      <c r="AG70" s="84" t="n">
        <v>0.84</v>
      </c>
      <c r="AH70" s="84" t="n">
        <v>0</v>
      </c>
      <c r="AI70" s="84" t="n">
        <v>0</v>
      </c>
      <c r="AJ70" s="84">
        <f>SUMIFS(AH$8:AH$1039,$O$8:$O$1039,O70,$AB$8:$AB$1039,AB70,$R$8:$R$1039,R70,$AA$8:$AA$1039,"&lt;="&amp;AA70)</f>
        <v/>
      </c>
      <c r="AK70" s="84">
        <f>E12</f>
        <v/>
      </c>
      <c r="AL70" s="84">
        <f>E18</f>
        <v/>
      </c>
      <c r="AM70" s="84">
        <f>MAX(0,AJ70-AK70)</f>
        <v/>
      </c>
      <c r="AN70" s="84">
        <f>IF(AM70=0,AH70,IF(AM70&gt;=AH70,0,AH70-AM70))</f>
        <v/>
      </c>
      <c r="AO70" s="84">
        <f>IF(AM70&gt;=AH70,AI70,AI70*AM70/AH70)</f>
        <v/>
      </c>
      <c r="AP70">
        <f t="array" ref="AP70">INDEX($AU$8:$BB$25,6*(R70-1)+MATCH(AB70,$AS$8:$AS$13,0),MATCH(O70,$AU$7:$BB$7,0))</f>
        <v/>
      </c>
    </row>
    <row r="71" ht="14.55" customHeight="1">
      <c r="B71" s="31" t="inlineStr">
        <is>
          <t>D</t>
        </is>
      </c>
      <c r="C71" s="45" t="n">
        <v>35</v>
      </c>
      <c r="D71" s="45" t="n">
        <v>37</v>
      </c>
      <c r="E71" s="45" t="n">
        <v>1</v>
      </c>
      <c r="F71" s="83">
        <f t="array" ref="F71">SUM(
     _xlfn.BYROW(
           IF(C68:E79-C56:E67&gt;0, C68:E79-C56:E67, 0),
           _xleta.SUM)
     *data!$C$3:$C$14
)</f>
        <v/>
      </c>
      <c r="I71" s="64" t="n"/>
      <c r="O71" s="43" t="inlineStr">
        <is>
          <t>Q1’26</t>
        </is>
      </c>
      <c r="P71" s="43" t="n">
        <v>2</v>
      </c>
      <c r="Q71" s="43" t="n">
        <v>11</v>
      </c>
      <c r="R71" s="43" t="n">
        <v>1</v>
      </c>
      <c r="S71" s="45" t="n">
        <v>2669.958489375735</v>
      </c>
      <c r="T71">
        <f>(S71+S72+S73)=N3</f>
        <v/>
      </c>
      <c r="X71" s="84">
        <f>MAX(S68-S71,0)</f>
        <v/>
      </c>
      <c r="Y71" s="83" t="n">
        <v>0</v>
      </c>
      <c r="AA71" s="84" t="n">
        <v>2</v>
      </c>
      <c r="AB71" s="84" t="inlineStr">
        <is>
          <t>E</t>
        </is>
      </c>
      <c r="AC71" s="84" t="inlineStr">
        <is>
          <t>E+</t>
        </is>
      </c>
      <c r="AD71" s="84" t="n">
        <v>20</v>
      </c>
      <c r="AE71" s="84" t="n">
        <v>19</v>
      </c>
      <c r="AF71" s="84" t="n">
        <v>0.76</v>
      </c>
      <c r="AG71" s="84" t="n">
        <v>0.84</v>
      </c>
      <c r="AH71" s="84" t="n">
        <v>0</v>
      </c>
      <c r="AI71" s="84" t="n">
        <v>0</v>
      </c>
      <c r="AJ71" s="84">
        <f>SUMIFS(AH$8:AH$1039,$O$8:$O$1039,O71,$AB$8:$AB$1039,AB71,$R$8:$R$1039,R71,$AA$8:$AA$1039,"&lt;="&amp;AA71)</f>
        <v/>
      </c>
      <c r="AK71" s="84">
        <f>C12</f>
        <v/>
      </c>
      <c r="AL71" s="84">
        <f>C18</f>
        <v/>
      </c>
      <c r="AM71" s="84">
        <f>MAX(0,AJ71-AK71)</f>
        <v/>
      </c>
      <c r="AN71" s="84">
        <f>IF(AM71=0,AH71,IF(AM71&gt;=AH71,0,AH71-AM71))</f>
        <v/>
      </c>
      <c r="AO71" s="84">
        <f>IF(AM71&gt;=AH71,AI71,AI71*AM71/AH71)</f>
        <v/>
      </c>
      <c r="AP71">
        <f t="array" ref="AP71">INDEX($AU$8:$BB$25,6*(R71-1)+MATCH(AB71,$AS$8:$AS$13,0),MATCH(O71,$AU$7:$BB$7,0))</f>
        <v/>
      </c>
    </row>
    <row r="72" ht="14.55" customHeight="1">
      <c r="B72" s="31" t="inlineStr">
        <is>
          <t>E</t>
        </is>
      </c>
      <c r="C72" s="45" t="n">
        <v>40</v>
      </c>
      <c r="D72" s="45" t="n">
        <v>30</v>
      </c>
      <c r="E72" s="45" t="n">
        <v>16</v>
      </c>
      <c r="F72" s="84" t="inlineStr">
        <is>
          <t>Moveout cost</t>
        </is>
      </c>
      <c r="I72" s="64" t="n"/>
      <c r="O72" s="43" t="inlineStr">
        <is>
          <t>Q1’26</t>
        </is>
      </c>
      <c r="P72" s="43" t="n">
        <v>2</v>
      </c>
      <c r="Q72" s="43" t="n">
        <v>11</v>
      </c>
      <c r="R72" s="43" t="n">
        <v>2</v>
      </c>
      <c r="S72" s="45" t="n">
        <v>2330.041510624265</v>
      </c>
      <c r="T72">
        <f>(S71+S72+S73)=N3</f>
        <v/>
      </c>
      <c r="X72" s="84">
        <f>MAX(S69-S72,0)</f>
        <v/>
      </c>
      <c r="Y72" s="83" t="n">
        <v>0</v>
      </c>
      <c r="AA72" s="84" t="n">
        <v>2</v>
      </c>
      <c r="AB72" s="84" t="inlineStr">
        <is>
          <t>E</t>
        </is>
      </c>
      <c r="AC72" s="84" t="inlineStr">
        <is>
          <t>E+</t>
        </is>
      </c>
      <c r="AD72" s="84" t="n">
        <v>20</v>
      </c>
      <c r="AE72" s="84" t="n">
        <v>19</v>
      </c>
      <c r="AF72" s="84" t="n">
        <v>0.76</v>
      </c>
      <c r="AG72" s="84" t="n">
        <v>0.84</v>
      </c>
      <c r="AH72" s="84" t="n">
        <v>0</v>
      </c>
      <c r="AI72" s="84" t="n">
        <v>0</v>
      </c>
      <c r="AJ72" s="84">
        <f>SUMIFS(AH$8:AH$1039,$O$8:$O$1039,O72,$AB$8:$AB$1039,AB72,$R$8:$R$1039,R72,$AA$8:$AA$1039,"&lt;="&amp;AA72)</f>
        <v/>
      </c>
      <c r="AK72" s="84">
        <f>D12</f>
        <v/>
      </c>
      <c r="AL72" s="84">
        <f>D18</f>
        <v/>
      </c>
      <c r="AM72" s="84">
        <f>MAX(0,AJ72-AK72)</f>
        <v/>
      </c>
      <c r="AN72" s="84">
        <f>IF(AM72=0,AH72,IF(AM72&gt;=AH72,0,AH72-AM72))</f>
        <v/>
      </c>
      <c r="AO72" s="84">
        <f>IF(AM72&gt;=AH72,AI72,AI72*AM72/AH72)</f>
        <v/>
      </c>
      <c r="AP72">
        <f t="array" ref="AP72">INDEX($AU$8:$BB$25,6*(R72-1)+MATCH(AB72,$AS$8:$AS$13,0),MATCH(O72,$AU$7:$BB$7,0))</f>
        <v/>
      </c>
    </row>
    <row r="73" ht="14.55" customHeight="1">
      <c r="B73" s="31" t="inlineStr">
        <is>
          <t>F</t>
        </is>
      </c>
      <c r="C73" s="45" t="n">
        <v>90</v>
      </c>
      <c r="D73" s="45" t="n">
        <v>60</v>
      </c>
      <c r="E73" s="45" t="n">
        <v>29</v>
      </c>
      <c r="F73" s="83">
        <f t="array" ref="F73">SUM(
     _xlfn.BYROW(
           IF(C68:E79-C56:E67&lt;0, C68:E79-C56:E67, 0),
           _xleta.SUM)
     * -1000000
)</f>
        <v/>
      </c>
      <c r="I73" s="64" t="n"/>
      <c r="O73" s="43" t="inlineStr">
        <is>
          <t>Q1’26</t>
        </is>
      </c>
      <c r="P73" s="43" t="n">
        <v>2</v>
      </c>
      <c r="Q73" s="43" t="n">
        <v>11</v>
      </c>
      <c r="R73" s="43" t="n">
        <v>3</v>
      </c>
      <c r="S73" s="45" t="n">
        <v>0</v>
      </c>
      <c r="T73">
        <f>(S71+S72+S73)=N3</f>
        <v/>
      </c>
      <c r="X73" s="84">
        <f>MAX(S70-S73,0)</f>
        <v/>
      </c>
      <c r="Y73" s="83" t="n">
        <v>0</v>
      </c>
      <c r="AA73" s="84" t="n">
        <v>2</v>
      </c>
      <c r="AB73" s="84" t="inlineStr">
        <is>
          <t>E</t>
        </is>
      </c>
      <c r="AC73" s="84" t="inlineStr">
        <is>
          <t>E+</t>
        </is>
      </c>
      <c r="AD73" s="84" t="n">
        <v>20</v>
      </c>
      <c r="AE73" s="84" t="n">
        <v>19</v>
      </c>
      <c r="AF73" s="84" t="n">
        <v>0.76</v>
      </c>
      <c r="AG73" s="84" t="n">
        <v>0.84</v>
      </c>
      <c r="AH73" s="84" t="n">
        <v>0</v>
      </c>
      <c r="AI73" s="84" t="n">
        <v>0</v>
      </c>
      <c r="AJ73" s="84">
        <f>SUMIFS(AH$8:AH$1039,$O$8:$O$1039,O73,$AB$8:$AB$1039,AB73,$R$8:$R$1039,R73,$AA$8:$AA$1039,"&lt;="&amp;AA73)</f>
        <v/>
      </c>
      <c r="AK73" s="84">
        <f>E12</f>
        <v/>
      </c>
      <c r="AL73" s="84">
        <f>E18</f>
        <v/>
      </c>
      <c r="AM73" s="84">
        <f>MAX(0,AJ73-AK73)</f>
        <v/>
      </c>
      <c r="AN73" s="84">
        <f>IF(AM73=0,AH73,IF(AM73&gt;=AH73,0,AH73-AM73))</f>
        <v/>
      </c>
      <c r="AO73" s="84">
        <f>IF(AM73&gt;=AH73,AI73,AI73*AM73/AH73)</f>
        <v/>
      </c>
      <c r="AP73">
        <f t="array" ref="AP73">INDEX($AU$8:$BB$25,6*(R73-1)+MATCH(AB73,$AS$8:$AS$13,0),MATCH(O73,$AU$7:$BB$7,0))</f>
        <v/>
      </c>
    </row>
    <row r="74" ht="14.55" customHeight="1">
      <c r="B74" s="31" t="inlineStr">
        <is>
          <t>A+</t>
        </is>
      </c>
      <c r="C74" s="45" t="n">
        <v>0</v>
      </c>
      <c r="D74" s="45" t="n">
        <v>4</v>
      </c>
      <c r="E74" s="45" t="n">
        <v>5</v>
      </c>
      <c r="I74" s="64" t="n"/>
      <c r="O74" s="43" t="inlineStr">
        <is>
          <t>Q1’26</t>
        </is>
      </c>
      <c r="P74" s="43" t="n">
        <v>2</v>
      </c>
      <c r="Q74" s="43" t="n">
        <v>12</v>
      </c>
      <c r="R74" s="43" t="n">
        <v>1</v>
      </c>
      <c r="S74" s="45" t="n">
        <v>2669.958489375735</v>
      </c>
      <c r="T74">
        <f>(S74+S75+S76)=N3</f>
        <v/>
      </c>
      <c r="X74" s="84">
        <f>MAX(S71-S74,0)</f>
        <v/>
      </c>
      <c r="Y74" s="83" t="n">
        <v>0</v>
      </c>
      <c r="AA74" s="84" t="n">
        <v>7</v>
      </c>
      <c r="AB74" s="84" t="inlineStr">
        <is>
          <t>F</t>
        </is>
      </c>
      <c r="AC74" s="84" t="inlineStr">
        <is>
          <t>F+</t>
        </is>
      </c>
      <c r="AD74" s="84" t="n">
        <v>21</v>
      </c>
      <c r="AE74" s="84" t="n">
        <v>18</v>
      </c>
      <c r="AF74" s="84" t="n">
        <v>0.8</v>
      </c>
      <c r="AG74" s="84" t="n">
        <v>0.9</v>
      </c>
      <c r="AH74" s="84" t="n">
        <v>0</v>
      </c>
      <c r="AI74" s="84" t="n">
        <v>0</v>
      </c>
      <c r="AJ74" s="84">
        <f>SUMIFS(AH$8:AH$1039,$O$8:$O$1039,O74,$AB$8:$AB$1039,AB74,$R$8:$R$1039,R74,$AA$8:$AA$1039,"&lt;="&amp;AA74)</f>
        <v/>
      </c>
      <c r="AK74" s="84">
        <f>C13</f>
        <v/>
      </c>
      <c r="AL74" s="84">
        <f>C19</f>
        <v/>
      </c>
      <c r="AM74" s="84">
        <f>MAX(0,AJ74-AK74)</f>
        <v/>
      </c>
      <c r="AN74" s="84">
        <f>IF(AM74=0,AH74,IF(AM74&gt;=AH74,0,AH74-AM74))</f>
        <v/>
      </c>
      <c r="AO74" s="84">
        <f>IF(AM74&gt;=AH74,AI74,AI74*AM74/AH74)</f>
        <v/>
      </c>
      <c r="AP74">
        <f t="array" ref="AP74">INDEX($AU$8:$BB$25,6*(R74-1)+MATCH(AB74,$AS$8:$AS$13,0),MATCH(O74,$AU$7:$BB$7,0))</f>
        <v/>
      </c>
    </row>
    <row r="75" ht="14.55" customHeight="1">
      <c r="B75" s="31" t="inlineStr">
        <is>
          <t>B+</t>
        </is>
      </c>
      <c r="C75" s="45" t="n">
        <v>21</v>
      </c>
      <c r="D75" s="45" t="n">
        <v>7</v>
      </c>
      <c r="E75" s="45" t="n">
        <v>0</v>
      </c>
      <c r="I75" s="64" t="n"/>
      <c r="O75" s="43" t="inlineStr">
        <is>
          <t>Q1’26</t>
        </is>
      </c>
      <c r="P75" s="43" t="n">
        <v>2</v>
      </c>
      <c r="Q75" s="43" t="n">
        <v>12</v>
      </c>
      <c r="R75" s="43" t="n">
        <v>2</v>
      </c>
      <c r="S75" s="45" t="n">
        <v>2330.041510624265</v>
      </c>
      <c r="T75">
        <f>(S74+S75+S76)=N3</f>
        <v/>
      </c>
      <c r="X75" s="84">
        <f>MAX(S72-S75,0)</f>
        <v/>
      </c>
      <c r="Y75" s="83" t="n">
        <v>0</v>
      </c>
      <c r="AA75" s="84" t="n">
        <v>7</v>
      </c>
      <c r="AB75" s="84" t="inlineStr">
        <is>
          <t>F</t>
        </is>
      </c>
      <c r="AC75" s="84" t="inlineStr">
        <is>
          <t>F+</t>
        </is>
      </c>
      <c r="AD75" s="84" t="n">
        <v>21</v>
      </c>
      <c r="AE75" s="84" t="n">
        <v>18</v>
      </c>
      <c r="AF75" s="84" t="n">
        <v>0.8</v>
      </c>
      <c r="AG75" s="84" t="n">
        <v>0.9</v>
      </c>
      <c r="AH75" s="84" t="n">
        <v>0</v>
      </c>
      <c r="AI75" s="84" t="n">
        <v>0</v>
      </c>
      <c r="AJ75" s="84">
        <f>SUMIFS(AH$8:AH$1039,$O$8:$O$1039,O75,$AB$8:$AB$1039,AB75,$R$8:$R$1039,R75,$AA$8:$AA$1039,"&lt;="&amp;AA75)</f>
        <v/>
      </c>
      <c r="AK75" s="84">
        <f>D13</f>
        <v/>
      </c>
      <c r="AL75" s="84">
        <f>D19</f>
        <v/>
      </c>
      <c r="AM75" s="84">
        <f>MAX(0,AJ75-AK75)</f>
        <v/>
      </c>
      <c r="AN75" s="84">
        <f>IF(AM75=0,AH75,IF(AM75&gt;=AH75,0,AH75-AM75))</f>
        <v/>
      </c>
      <c r="AO75" s="84">
        <f>IF(AM75&gt;=AH75,AI75,AI75*AM75/AH75)</f>
        <v/>
      </c>
      <c r="AP75">
        <f t="array" ref="AP75">INDEX($AU$8:$BB$25,6*(R75-1)+MATCH(AB75,$AS$8:$AS$13,0),MATCH(O75,$AU$7:$BB$7,0))</f>
        <v/>
      </c>
    </row>
    <row r="76" ht="14.55" customHeight="1">
      <c r="B76" s="31" t="inlineStr">
        <is>
          <t>C+</t>
        </is>
      </c>
      <c r="C76" s="45" t="n">
        <v>21</v>
      </c>
      <c r="D76" s="45" t="n">
        <v>50</v>
      </c>
      <c r="E76" s="45" t="n">
        <v>36</v>
      </c>
      <c r="I76" s="64" t="n"/>
      <c r="O76" s="43" t="inlineStr">
        <is>
          <t>Q1’26</t>
        </is>
      </c>
      <c r="P76" s="43" t="n">
        <v>2</v>
      </c>
      <c r="Q76" s="43" t="n">
        <v>12</v>
      </c>
      <c r="R76" s="43" t="n">
        <v>3</v>
      </c>
      <c r="S76" s="45" t="n">
        <v>0</v>
      </c>
      <c r="T76">
        <f>(S74+S75+S76)=N3</f>
        <v/>
      </c>
      <c r="X76" s="84">
        <f>MAX(S73-S76,0)</f>
        <v/>
      </c>
      <c r="Y76" s="83" t="n">
        <v>0</v>
      </c>
      <c r="AA76" s="84" t="n">
        <v>7</v>
      </c>
      <c r="AB76" s="84" t="inlineStr">
        <is>
          <t>F</t>
        </is>
      </c>
      <c r="AC76" s="84" t="inlineStr">
        <is>
          <t>F+</t>
        </is>
      </c>
      <c r="AD76" s="84" t="n">
        <v>21</v>
      </c>
      <c r="AE76" s="84" t="n">
        <v>18</v>
      </c>
      <c r="AF76" s="84" t="n">
        <v>0.8</v>
      </c>
      <c r="AG76" s="84" t="n">
        <v>0.9</v>
      </c>
      <c r="AH76" s="84" t="n">
        <v>0</v>
      </c>
      <c r="AI76" s="84" t="n">
        <v>0</v>
      </c>
      <c r="AJ76" s="84">
        <f>SUMIFS(AH$8:AH$1039,$O$8:$O$1039,O76,$AB$8:$AB$1039,AB76,$R$8:$R$1039,R76,$AA$8:$AA$1039,"&lt;="&amp;AA76)</f>
        <v/>
      </c>
      <c r="AK76" s="84">
        <f>E13</f>
        <v/>
      </c>
      <c r="AL76" s="84">
        <f>E19</f>
        <v/>
      </c>
      <c r="AM76" s="84">
        <f>MAX(0,AJ76-AK76)</f>
        <v/>
      </c>
      <c r="AN76" s="84">
        <f>IF(AM76=0,AH76,IF(AM76&gt;=AH76,0,AH76-AM76))</f>
        <v/>
      </c>
      <c r="AO76" s="84">
        <f>IF(AM76&gt;=AH76,AI76,AI76*AM76/AH76)</f>
        <v/>
      </c>
      <c r="AP76">
        <f t="array" ref="AP76">INDEX($AU$8:$BB$25,6*(R76-1)+MATCH(AB76,$AS$8:$AS$13,0),MATCH(O76,$AU$7:$BB$7,0))</f>
        <v/>
      </c>
    </row>
    <row r="77" ht="14.55" customHeight="1">
      <c r="B77" s="31" t="inlineStr">
        <is>
          <t>D+</t>
        </is>
      </c>
      <c r="C77" s="45" t="n">
        <v>35</v>
      </c>
      <c r="D77" s="45" t="n">
        <v>21</v>
      </c>
      <c r="E77" s="45" t="n">
        <v>28</v>
      </c>
      <c r="I77" s="64" t="n"/>
      <c r="O77" s="43" t="inlineStr">
        <is>
          <t>Q1’26</t>
        </is>
      </c>
      <c r="P77" s="43" t="n">
        <v>2</v>
      </c>
      <c r="Q77" s="43" t="n">
        <v>13</v>
      </c>
      <c r="R77" s="43" t="n">
        <v>1</v>
      </c>
      <c r="S77" s="45" t="n">
        <v>2669.958489375735</v>
      </c>
      <c r="T77">
        <f>(S77+S78+S79)=N3</f>
        <v/>
      </c>
      <c r="X77" s="84">
        <f>MAX(S74-S77,0)</f>
        <v/>
      </c>
      <c r="Y77" s="83" t="n">
        <v>0</v>
      </c>
      <c r="AA77" s="84" t="n">
        <v>8</v>
      </c>
      <c r="AB77" s="84" t="inlineStr">
        <is>
          <t>E</t>
        </is>
      </c>
      <c r="AC77" s="84" t="inlineStr">
        <is>
          <t>E+</t>
        </is>
      </c>
      <c r="AD77" s="84" t="n">
        <v>12</v>
      </c>
      <c r="AE77" s="84" t="n">
        <v>9</v>
      </c>
      <c r="AF77" s="84" t="n">
        <v>0.76</v>
      </c>
      <c r="AG77" s="84" t="n">
        <v>0.84</v>
      </c>
      <c r="AH77" s="84" t="n">
        <v>0</v>
      </c>
      <c r="AI77" s="84" t="n">
        <v>0</v>
      </c>
      <c r="AJ77" s="84">
        <f>SUMIFS(AH$8:AH$1039,$O$8:$O$1039,O77,$AB$8:$AB$1039,AB77,$R$8:$R$1039,R77,$AA$8:$AA$1039,"&lt;="&amp;AA77)</f>
        <v/>
      </c>
      <c r="AK77" s="84">
        <f>C12</f>
        <v/>
      </c>
      <c r="AL77" s="84">
        <f>C18</f>
        <v/>
      </c>
      <c r="AM77" s="84">
        <f>MAX(0,AJ77-AK77)</f>
        <v/>
      </c>
      <c r="AN77" s="84">
        <f>IF(AM77=0,AH77,IF(AM77&gt;=AH77,0,AH77-AM77))</f>
        <v/>
      </c>
      <c r="AO77" s="84">
        <f>IF(AM77&gt;=AH77,AI77,AI77*AM77/AH77)</f>
        <v/>
      </c>
      <c r="AP77">
        <f t="array" ref="AP77">INDEX($AU$8:$BB$25,6*(R77-1)+MATCH(AB77,$AS$8:$AS$13,0),MATCH(O77,$AU$7:$BB$7,0))</f>
        <v/>
      </c>
    </row>
    <row r="78" ht="14.55" customHeight="1">
      <c r="B78" s="31" t="inlineStr">
        <is>
          <t>E+</t>
        </is>
      </c>
      <c r="C78" s="45" t="n">
        <v>32</v>
      </c>
      <c r="D78" s="45" t="n">
        <v>23</v>
      </c>
      <c r="E78" s="45" t="n">
        <v>18</v>
      </c>
      <c r="I78" s="64" t="n"/>
      <c r="O78" s="43" t="inlineStr">
        <is>
          <t>Q1’26</t>
        </is>
      </c>
      <c r="P78" s="43" t="n">
        <v>2</v>
      </c>
      <c r="Q78" s="43" t="n">
        <v>13</v>
      </c>
      <c r="R78" s="43" t="n">
        <v>2</v>
      </c>
      <c r="S78" s="45" t="n">
        <v>2330.041510624265</v>
      </c>
      <c r="T78">
        <f>(S77+S78+S79)=N3</f>
        <v/>
      </c>
      <c r="X78" s="84">
        <f>MAX(S75-S78,0)</f>
        <v/>
      </c>
      <c r="Y78" s="83" t="n">
        <v>0</v>
      </c>
      <c r="AA78" s="84" t="n">
        <v>8</v>
      </c>
      <c r="AB78" s="84" t="inlineStr">
        <is>
          <t>E</t>
        </is>
      </c>
      <c r="AC78" s="84" t="inlineStr">
        <is>
          <t>E+</t>
        </is>
      </c>
      <c r="AD78" s="84" t="n">
        <v>12</v>
      </c>
      <c r="AE78" s="84" t="n">
        <v>9</v>
      </c>
      <c r="AF78" s="84" t="n">
        <v>0.76</v>
      </c>
      <c r="AG78" s="84" t="n">
        <v>0.84</v>
      </c>
      <c r="AH78" s="84" t="n">
        <v>0</v>
      </c>
      <c r="AI78" s="84" t="n">
        <v>0</v>
      </c>
      <c r="AJ78" s="84">
        <f>SUMIFS(AH$8:AH$1039,$O$8:$O$1039,O78,$AB$8:$AB$1039,AB78,$R$8:$R$1039,R78,$AA$8:$AA$1039,"&lt;="&amp;AA78)</f>
        <v/>
      </c>
      <c r="AK78" s="84">
        <f>D12</f>
        <v/>
      </c>
      <c r="AL78" s="84">
        <f>D18</f>
        <v/>
      </c>
      <c r="AM78" s="84">
        <f>MAX(0,AJ78-AK78)</f>
        <v/>
      </c>
      <c r="AN78" s="84">
        <f>IF(AM78=0,AH78,IF(AM78&gt;=AH78,0,AH78-AM78))</f>
        <v/>
      </c>
      <c r="AO78" s="84">
        <f>IF(AM78&gt;=AH78,AI78,AI78*AM78/AH78)</f>
        <v/>
      </c>
      <c r="AP78">
        <f t="array" ref="AP78">INDEX($AU$8:$BB$25,6*(R78-1)+MATCH(AB78,$AS$8:$AS$13,0),MATCH(O78,$AU$7:$BB$7,0))</f>
        <v/>
      </c>
    </row>
    <row r="79" ht="14.55" customHeight="1">
      <c r="B79" s="31" t="inlineStr">
        <is>
          <t>F+</t>
        </is>
      </c>
      <c r="C79" s="45" t="n">
        <v>3</v>
      </c>
      <c r="D79" s="45" t="n">
        <v>3</v>
      </c>
      <c r="E79" s="45" t="n">
        <v>0</v>
      </c>
      <c r="F79" s="44" t="inlineStr">
        <is>
          <t>Fab 1 space</t>
        </is>
      </c>
      <c r="G79" s="44" t="inlineStr">
        <is>
          <t>Fab 2 space</t>
        </is>
      </c>
      <c r="H79" s="44" t="inlineStr">
        <is>
          <t>Fab 3 space</t>
        </is>
      </c>
      <c r="I79" s="64" t="n"/>
      <c r="O79" s="43" t="inlineStr">
        <is>
          <t>Q1’26</t>
        </is>
      </c>
      <c r="P79" s="43" t="n">
        <v>2</v>
      </c>
      <c r="Q79" s="43" t="n">
        <v>13</v>
      </c>
      <c r="R79" s="43" t="n">
        <v>3</v>
      </c>
      <c r="S79" s="45" t="n">
        <v>0</v>
      </c>
      <c r="T79">
        <f>(S77+S78+S79)=N3</f>
        <v/>
      </c>
      <c r="X79" s="84">
        <f>MAX(S76-S79,0)</f>
        <v/>
      </c>
      <c r="Y79" s="83" t="n">
        <v>0</v>
      </c>
      <c r="AA79" s="84" t="n">
        <v>8</v>
      </c>
      <c r="AB79" s="84" t="inlineStr">
        <is>
          <t>E</t>
        </is>
      </c>
      <c r="AC79" s="84" t="inlineStr">
        <is>
          <t>E+</t>
        </is>
      </c>
      <c r="AD79" s="84" t="n">
        <v>12</v>
      </c>
      <c r="AE79" s="84" t="n">
        <v>9</v>
      </c>
      <c r="AF79" s="84" t="n">
        <v>0.76</v>
      </c>
      <c r="AG79" s="84" t="n">
        <v>0.84</v>
      </c>
      <c r="AH79" s="84" t="n">
        <v>0</v>
      </c>
      <c r="AI79" s="84" t="n">
        <v>0</v>
      </c>
      <c r="AJ79" s="84">
        <f>SUMIFS(AH$8:AH$1039,$O$8:$O$1039,O79,$AB$8:$AB$1039,AB79,$R$8:$R$1039,R79,$AA$8:$AA$1039,"&lt;="&amp;AA79)</f>
        <v/>
      </c>
      <c r="AK79" s="84">
        <f>E12</f>
        <v/>
      </c>
      <c r="AL79" s="84">
        <f>E18</f>
        <v/>
      </c>
      <c r="AM79" s="84">
        <f>MAX(0,AJ79-AK79)</f>
        <v/>
      </c>
      <c r="AN79" s="84">
        <f>IF(AM79=0,AH79,IF(AM79&gt;=AH79,0,AH79-AM79))</f>
        <v/>
      </c>
      <c r="AO79" s="84">
        <f>IF(AM79&gt;=AH79,AI79,AI79*AM79/AH79)</f>
        <v/>
      </c>
      <c r="AP79">
        <f t="array" ref="AP79">INDEX($AU$8:$BB$25,6*(R79-1)+MATCH(AB79,$AS$8:$AS$13,0),MATCH(O79,$AU$7:$BB$7,0))</f>
        <v/>
      </c>
    </row>
    <row r="80" ht="14.25" customHeight="1">
      <c r="A80" s="85" t="inlineStr">
        <is>
          <t>WS Component for Q3’27</t>
        </is>
      </c>
      <c r="B80" s="31" t="inlineStr">
        <is>
          <t>A</t>
        </is>
      </c>
      <c r="C80" s="45" t="n">
        <v>17</v>
      </c>
      <c r="D80" s="45" t="n">
        <v>2</v>
      </c>
      <c r="E80" s="45" t="n">
        <v>0</v>
      </c>
      <c r="F80">
        <f t="array" ref="F80">SUM(C80:C91*data!$B$3:$B$14)</f>
        <v/>
      </c>
      <c r="G80">
        <f t="array" ref="G80">SUM(D80:D91*data!$B$3:$B$14)</f>
        <v/>
      </c>
      <c r="H80">
        <f t="array" ref="H80">SUM(E80:E91*data!$B$3:$B$14)</f>
        <v/>
      </c>
      <c r="I80" s="64" t="inlineStr">
        <is>
          <t>&lt;- make sure its green</t>
        </is>
      </c>
      <c r="O80" s="43" t="inlineStr">
        <is>
          <t>Q1’26</t>
        </is>
      </c>
      <c r="P80" s="43" t="n">
        <v>2</v>
      </c>
      <c r="Q80" s="43" t="n">
        <v>14</v>
      </c>
      <c r="R80" s="43" t="n">
        <v>1</v>
      </c>
      <c r="S80" s="45" t="n">
        <v>2669.958489375735</v>
      </c>
      <c r="T80">
        <f>(S80+S81+S82)=N3</f>
        <v/>
      </c>
      <c r="X80" s="84">
        <f>MAX(S77-S80,0)</f>
        <v/>
      </c>
      <c r="Y80" s="83" t="n">
        <v>0</v>
      </c>
      <c r="AA80" s="84" t="n">
        <v>5</v>
      </c>
      <c r="AB80" s="84" t="inlineStr">
        <is>
          <t>E</t>
        </is>
      </c>
      <c r="AC80" s="84" t="inlineStr">
        <is>
          <t>E+</t>
        </is>
      </c>
      <c r="AD80" s="84" t="n">
        <v>15</v>
      </c>
      <c r="AE80" s="84" t="n">
        <v>12</v>
      </c>
      <c r="AF80" s="84" t="n">
        <v>0.76</v>
      </c>
      <c r="AG80" s="84" t="n">
        <v>0.84</v>
      </c>
      <c r="AH80" s="84" t="n">
        <v>0</v>
      </c>
      <c r="AI80" s="84" t="n">
        <v>0</v>
      </c>
      <c r="AJ80" s="84">
        <f>SUMIFS(AH$8:AH$1039,$O$8:$O$1039,O80,$AB$8:$AB$1039,AB80,$R$8:$R$1039,R80,$AA$8:$AA$1039,"&lt;="&amp;AA80)</f>
        <v/>
      </c>
      <c r="AK80" s="84">
        <f>C12</f>
        <v/>
      </c>
      <c r="AL80" s="84">
        <f>C18</f>
        <v/>
      </c>
      <c r="AM80" s="84">
        <f>MAX(0,AJ80-AK80)</f>
        <v/>
      </c>
      <c r="AN80" s="84">
        <f>IF(AM80=0,AH80,IF(AM80&gt;=AH80,0,AH80-AM80))</f>
        <v/>
      </c>
      <c r="AO80" s="84">
        <f>IF(AM80&gt;=AH80,AI80,AI80*AM80/AH80)</f>
        <v/>
      </c>
      <c r="AP80">
        <f t="array" ref="AP80">INDEX($AU$8:$BB$25,6*(R80-1)+MATCH(AB80,$AS$8:$AS$13,0),MATCH(O80,$AU$7:$BB$7,0))</f>
        <v/>
      </c>
    </row>
    <row r="81" ht="14.55" customHeight="1">
      <c r="B81" s="31" t="inlineStr">
        <is>
          <t>B</t>
        </is>
      </c>
      <c r="C81" s="45" t="n">
        <v>25</v>
      </c>
      <c r="D81" s="45" t="n">
        <v>4</v>
      </c>
      <c r="E81" s="45" t="n">
        <v>0</v>
      </c>
      <c r="I81" s="64" t="n"/>
      <c r="O81" s="43" t="inlineStr">
        <is>
          <t>Q1’26</t>
        </is>
      </c>
      <c r="P81" s="43" t="n">
        <v>2</v>
      </c>
      <c r="Q81" s="43" t="n">
        <v>14</v>
      </c>
      <c r="R81" s="43" t="n">
        <v>2</v>
      </c>
      <c r="S81" s="45" t="n">
        <v>2330.041510624265</v>
      </c>
      <c r="T81">
        <f>(S80+S81+S82)=N3</f>
        <v/>
      </c>
      <c r="X81" s="84">
        <f>MAX(S78-S81,0)</f>
        <v/>
      </c>
      <c r="Y81" s="83" t="n">
        <v>0</v>
      </c>
      <c r="AA81" s="84" t="n">
        <v>5</v>
      </c>
      <c r="AB81" s="84" t="inlineStr">
        <is>
          <t>E</t>
        </is>
      </c>
      <c r="AC81" s="84" t="inlineStr">
        <is>
          <t>E+</t>
        </is>
      </c>
      <c r="AD81" s="84" t="n">
        <v>15</v>
      </c>
      <c r="AE81" s="84" t="n">
        <v>12</v>
      </c>
      <c r="AF81" s="84" t="n">
        <v>0.76</v>
      </c>
      <c r="AG81" s="84" t="n">
        <v>0.84</v>
      </c>
      <c r="AH81" s="84" t="n">
        <v>0</v>
      </c>
      <c r="AI81" s="84" t="n">
        <v>0</v>
      </c>
      <c r="AJ81" s="84">
        <f>SUMIFS(AH$8:AH$1039,$O$8:$O$1039,O81,$AB$8:$AB$1039,AB81,$R$8:$R$1039,R81,$AA$8:$AA$1039,"&lt;="&amp;AA81)</f>
        <v/>
      </c>
      <c r="AK81" s="84">
        <f>D12</f>
        <v/>
      </c>
      <c r="AL81" s="84">
        <f>D18</f>
        <v/>
      </c>
      <c r="AM81" s="84">
        <f>MAX(0,AJ81-AK81)</f>
        <v/>
      </c>
      <c r="AN81" s="84">
        <f>IF(AM81=0,AH81,IF(AM81&gt;=AH81,0,AH81-AM81))</f>
        <v/>
      </c>
      <c r="AO81" s="84">
        <f>IF(AM81&gt;=AH81,AI81,AI81*AM81/AH81)</f>
        <v/>
      </c>
      <c r="AP81">
        <f t="array" ref="AP81">INDEX($AU$8:$BB$25,6*(R81-1)+MATCH(AB81,$AS$8:$AS$13,0),MATCH(O81,$AU$7:$BB$7,0))</f>
        <v/>
      </c>
    </row>
    <row r="82" ht="14.55" customHeight="1">
      <c r="B82" s="31" t="inlineStr">
        <is>
          <t>C</t>
        </is>
      </c>
      <c r="C82" s="45" t="n">
        <v>0</v>
      </c>
      <c r="D82" s="45" t="n">
        <v>0</v>
      </c>
      <c r="E82" s="45" t="n">
        <v>2</v>
      </c>
      <c r="F82" s="84" t="inlineStr">
        <is>
          <t>New tool purchase cost</t>
        </is>
      </c>
      <c r="I82" s="64" t="n"/>
      <c r="O82" s="43" t="inlineStr">
        <is>
          <t>Q1’26</t>
        </is>
      </c>
      <c r="P82" s="43" t="n">
        <v>2</v>
      </c>
      <c r="Q82" s="43" t="n">
        <v>14</v>
      </c>
      <c r="R82" s="43" t="n">
        <v>3</v>
      </c>
      <c r="S82" s="45" t="n">
        <v>0</v>
      </c>
      <c r="T82">
        <f>(S80+S81+S82)=N3</f>
        <v/>
      </c>
      <c r="X82" s="84">
        <f>MAX(S79-S82,0)</f>
        <v/>
      </c>
      <c r="Y82" s="83" t="n">
        <v>0</v>
      </c>
      <c r="AA82" s="84" t="n">
        <v>5</v>
      </c>
      <c r="AB82" s="84" t="inlineStr">
        <is>
          <t>E</t>
        </is>
      </c>
      <c r="AC82" s="84" t="inlineStr">
        <is>
          <t>E+</t>
        </is>
      </c>
      <c r="AD82" s="84" t="n">
        <v>15</v>
      </c>
      <c r="AE82" s="84" t="n">
        <v>12</v>
      </c>
      <c r="AF82" s="84" t="n">
        <v>0.76</v>
      </c>
      <c r="AG82" s="84" t="n">
        <v>0.84</v>
      </c>
      <c r="AH82" s="84" t="n">
        <v>0</v>
      </c>
      <c r="AI82" s="84" t="n">
        <v>0</v>
      </c>
      <c r="AJ82" s="84">
        <f>SUMIFS(AH$8:AH$1039,$O$8:$O$1039,O82,$AB$8:$AB$1039,AB82,$R$8:$R$1039,R82,$AA$8:$AA$1039,"&lt;="&amp;AA82)</f>
        <v/>
      </c>
      <c r="AK82" s="84">
        <f>E12</f>
        <v/>
      </c>
      <c r="AL82" s="84">
        <f>E18</f>
        <v/>
      </c>
      <c r="AM82" s="84">
        <f>MAX(0,AJ82-AK82)</f>
        <v/>
      </c>
      <c r="AN82" s="84">
        <f>IF(AM82=0,AH82,IF(AM82&gt;=AH82,0,AH82-AM82))</f>
        <v/>
      </c>
      <c r="AO82" s="84">
        <f>IF(AM82&gt;=AH82,AI82,AI82*AM82/AH82)</f>
        <v/>
      </c>
      <c r="AP82">
        <f t="array" ref="AP82">INDEX($AU$8:$BB$25,6*(R82-1)+MATCH(AB82,$AS$8:$AS$13,0),MATCH(O82,$AU$7:$BB$7,0))</f>
        <v/>
      </c>
    </row>
    <row r="83" ht="14.55" customHeight="1">
      <c r="B83" s="31" t="inlineStr">
        <is>
          <t>D</t>
        </is>
      </c>
      <c r="C83" s="45" t="n">
        <v>0</v>
      </c>
      <c r="D83" s="45" t="n">
        <v>0</v>
      </c>
      <c r="E83" s="45" t="n">
        <v>0</v>
      </c>
      <c r="F83" s="83">
        <f t="array" ref="F83">SUM(
     _xlfn.BYROW(
           IF(C80:E91-C68:E79&gt;0, C80:E91-C68:E79, 0),
           _xleta.SUM)
     *data!$C$3:$C$14
)</f>
        <v/>
      </c>
      <c r="I83" s="64" t="n"/>
      <c r="O83" s="43" t="inlineStr">
        <is>
          <t>Q1’26</t>
        </is>
      </c>
      <c r="P83" s="43" t="n">
        <v>2</v>
      </c>
      <c r="Q83" s="43" t="n">
        <v>15</v>
      </c>
      <c r="R83" s="43" t="n">
        <v>1</v>
      </c>
      <c r="S83" s="45" t="n">
        <v>2669.958489375735</v>
      </c>
      <c r="T83">
        <f>(S83+S84+S85)=N3</f>
        <v/>
      </c>
      <c r="X83" s="84">
        <f>MAX(S80-S83,0)</f>
        <v/>
      </c>
      <c r="Y83" s="83" t="n">
        <v>0</v>
      </c>
      <c r="AA83" s="84" t="n">
        <v>7</v>
      </c>
      <c r="AB83" s="84" t="inlineStr">
        <is>
          <t>E</t>
        </is>
      </c>
      <c r="AC83" s="84" t="inlineStr">
        <is>
          <t>E+</t>
        </is>
      </c>
      <c r="AD83" s="84" t="n">
        <v>13</v>
      </c>
      <c r="AE83" s="84" t="n">
        <v>10</v>
      </c>
      <c r="AF83" s="84" t="n">
        <v>0.76</v>
      </c>
      <c r="AG83" s="84" t="n">
        <v>0.84</v>
      </c>
      <c r="AH83" s="84" t="n">
        <v>0</v>
      </c>
      <c r="AI83" s="84" t="n">
        <v>0</v>
      </c>
      <c r="AJ83" s="84">
        <f>SUMIFS(AH$8:AH$1039,$O$8:$O$1039,O83,$AB$8:$AB$1039,AB83,$R$8:$R$1039,R83,$AA$8:$AA$1039,"&lt;="&amp;AA83)</f>
        <v/>
      </c>
      <c r="AK83" s="84">
        <f>C12</f>
        <v/>
      </c>
      <c r="AL83" s="84">
        <f>C18</f>
        <v/>
      </c>
      <c r="AM83" s="84">
        <f>MAX(0,AJ83-AK83)</f>
        <v/>
      </c>
      <c r="AN83" s="84">
        <f>IF(AM83=0,AH83,IF(AM83&gt;=AH83,0,AH83-AM83))</f>
        <v/>
      </c>
      <c r="AO83" s="84">
        <f>IF(AM83&gt;=AH83,AI83,AI83*AM83/AH83)</f>
        <v/>
      </c>
      <c r="AP83">
        <f t="array" ref="AP83">INDEX($AU$8:$BB$25,6*(R83-1)+MATCH(AB83,$AS$8:$AS$13,0),MATCH(O83,$AU$7:$BB$7,0))</f>
        <v/>
      </c>
    </row>
    <row r="84" ht="14.55" customHeight="1">
      <c r="B84" s="31" t="inlineStr">
        <is>
          <t>E</t>
        </is>
      </c>
      <c r="C84" s="45" t="n">
        <v>40</v>
      </c>
      <c r="D84" s="45" t="n">
        <v>30</v>
      </c>
      <c r="E84" s="45" t="n">
        <v>13</v>
      </c>
      <c r="F84" s="84" t="inlineStr">
        <is>
          <t>Moveout cost</t>
        </is>
      </c>
      <c r="I84" s="64" t="n"/>
      <c r="O84" s="43" t="inlineStr">
        <is>
          <t>Q1’26</t>
        </is>
      </c>
      <c r="P84" s="43" t="n">
        <v>2</v>
      </c>
      <c r="Q84" s="43" t="n">
        <v>15</v>
      </c>
      <c r="R84" s="43" t="n">
        <v>2</v>
      </c>
      <c r="S84" s="45" t="n">
        <v>2330.041510624265</v>
      </c>
      <c r="T84">
        <f>(S83+S84+S85)=N3</f>
        <v/>
      </c>
      <c r="X84" s="84">
        <f>MAX(S81-S84,0)</f>
        <v/>
      </c>
      <c r="Y84" s="83" t="n">
        <v>0</v>
      </c>
      <c r="AA84" s="84" t="n">
        <v>7</v>
      </c>
      <c r="AB84" s="84" t="inlineStr">
        <is>
          <t>E</t>
        </is>
      </c>
      <c r="AC84" s="84" t="inlineStr">
        <is>
          <t>E+</t>
        </is>
      </c>
      <c r="AD84" s="84" t="n">
        <v>13</v>
      </c>
      <c r="AE84" s="84" t="n">
        <v>10</v>
      </c>
      <c r="AF84" s="84" t="n">
        <v>0.76</v>
      </c>
      <c r="AG84" s="84" t="n">
        <v>0.84</v>
      </c>
      <c r="AH84" s="84" t="n">
        <v>0</v>
      </c>
      <c r="AI84" s="84" t="n">
        <v>0</v>
      </c>
      <c r="AJ84" s="84">
        <f>SUMIFS(AH$8:AH$1039,$O$8:$O$1039,O84,$AB$8:$AB$1039,AB84,$R$8:$R$1039,R84,$AA$8:$AA$1039,"&lt;="&amp;AA84)</f>
        <v/>
      </c>
      <c r="AK84" s="84">
        <f>D12</f>
        <v/>
      </c>
      <c r="AL84" s="84">
        <f>D18</f>
        <v/>
      </c>
      <c r="AM84" s="84">
        <f>MAX(0,AJ84-AK84)</f>
        <v/>
      </c>
      <c r="AN84" s="84">
        <f>IF(AM84=0,AH84,IF(AM84&gt;=AH84,0,AH84-AM84))</f>
        <v/>
      </c>
      <c r="AO84" s="84">
        <f>IF(AM84&gt;=AH84,AI84,AI84*AM84/AH84)</f>
        <v/>
      </c>
      <c r="AP84">
        <f t="array" ref="AP84">INDEX($AU$8:$BB$25,6*(R84-1)+MATCH(AB84,$AS$8:$AS$13,0),MATCH(O84,$AU$7:$BB$7,0))</f>
        <v/>
      </c>
    </row>
    <row r="85" ht="14.55" customHeight="1">
      <c r="B85" s="31" t="inlineStr">
        <is>
          <t>F</t>
        </is>
      </c>
      <c r="C85" s="45" t="n">
        <v>90</v>
      </c>
      <c r="D85" s="45" t="n">
        <v>60</v>
      </c>
      <c r="E85" s="45" t="n">
        <v>29</v>
      </c>
      <c r="F85" s="83">
        <f t="array" ref="F85">SUM(
     _xlfn.BYROW(
           IF(C80:E91-C68:E79&lt;0, C80:E91-C68:E79, 0),
           _xleta.SUM)
     * -1000000
)</f>
        <v/>
      </c>
      <c r="I85" s="64" t="n"/>
      <c r="O85" s="43" t="inlineStr">
        <is>
          <t>Q1’26</t>
        </is>
      </c>
      <c r="P85" s="43" t="n">
        <v>2</v>
      </c>
      <c r="Q85" s="43" t="n">
        <v>15</v>
      </c>
      <c r="R85" s="43" t="n">
        <v>3</v>
      </c>
      <c r="S85" s="45" t="n">
        <v>0</v>
      </c>
      <c r="T85">
        <f>(S83+S84+S85)=N3</f>
        <v/>
      </c>
      <c r="X85" s="84">
        <f>MAX(S82-S85,0)</f>
        <v/>
      </c>
      <c r="Y85" s="83" t="n">
        <v>0</v>
      </c>
      <c r="AA85" s="84" t="n">
        <v>7</v>
      </c>
      <c r="AB85" s="84" t="inlineStr">
        <is>
          <t>E</t>
        </is>
      </c>
      <c r="AC85" s="84" t="inlineStr">
        <is>
          <t>E+</t>
        </is>
      </c>
      <c r="AD85" s="84" t="n">
        <v>13</v>
      </c>
      <c r="AE85" s="84" t="n">
        <v>10</v>
      </c>
      <c r="AF85" s="84" t="n">
        <v>0.76</v>
      </c>
      <c r="AG85" s="84" t="n">
        <v>0.84</v>
      </c>
      <c r="AH85" s="84" t="n">
        <v>0</v>
      </c>
      <c r="AI85" s="84" t="n">
        <v>0</v>
      </c>
      <c r="AJ85" s="84">
        <f>SUMIFS(AH$8:AH$1039,$O$8:$O$1039,O85,$AB$8:$AB$1039,AB85,$R$8:$R$1039,R85,$AA$8:$AA$1039,"&lt;="&amp;AA85)</f>
        <v/>
      </c>
      <c r="AK85" s="84">
        <f>E12</f>
        <v/>
      </c>
      <c r="AL85" s="84">
        <f>E18</f>
        <v/>
      </c>
      <c r="AM85" s="84">
        <f>MAX(0,AJ85-AK85)</f>
        <v/>
      </c>
      <c r="AN85" s="84">
        <f>IF(AM85=0,AH85,IF(AM85&gt;=AH85,0,AH85-AM85))</f>
        <v/>
      </c>
      <c r="AO85" s="84">
        <f>IF(AM85&gt;=AH85,AI85,AI85*AM85/AH85)</f>
        <v/>
      </c>
      <c r="AP85">
        <f t="array" ref="AP85">INDEX($AU$8:$BB$25,6*(R85-1)+MATCH(AB85,$AS$8:$AS$13,0),MATCH(O85,$AU$7:$BB$7,0))</f>
        <v/>
      </c>
    </row>
    <row r="86" ht="14.55" customHeight="1">
      <c r="B86" s="31" t="inlineStr">
        <is>
          <t>A+</t>
        </is>
      </c>
      <c r="C86" s="45" t="n">
        <v>0</v>
      </c>
      <c r="D86" s="45" t="n">
        <v>4</v>
      </c>
      <c r="E86" s="45" t="n">
        <v>5</v>
      </c>
      <c r="I86" s="64" t="n"/>
      <c r="O86" s="43" t="inlineStr">
        <is>
          <t>Q1’26</t>
        </is>
      </c>
      <c r="P86" s="43" t="n">
        <v>3</v>
      </c>
      <c r="Q86" s="43" t="n">
        <v>1</v>
      </c>
      <c r="R86" s="43" t="n">
        <v>1</v>
      </c>
      <c r="S86" s="45" t="n">
        <v>0</v>
      </c>
      <c r="T86">
        <f>(S86+S87+S88)=N4</f>
        <v/>
      </c>
      <c r="X86" s="84" t="n">
        <v>0</v>
      </c>
      <c r="Y86" s="83" t="n">
        <v>0</v>
      </c>
      <c r="AA86" s="84" t="n">
        <v>1</v>
      </c>
      <c r="AB86" s="84" t="inlineStr">
        <is>
          <t>C</t>
        </is>
      </c>
      <c r="AC86" s="84" t="inlineStr">
        <is>
          <t>C+</t>
        </is>
      </c>
      <c r="AD86" s="84" t="n">
        <v>21</v>
      </c>
      <c r="AE86" s="84" t="n">
        <v>20</v>
      </c>
      <c r="AF86" s="84" t="n">
        <v>0.8</v>
      </c>
      <c r="AG86" s="84" t="n">
        <v>0.86</v>
      </c>
      <c r="AH86" s="84" t="n">
        <v>0</v>
      </c>
      <c r="AI86" s="84" t="n">
        <v>0</v>
      </c>
      <c r="AJ86" s="84">
        <f>SUMIFS(AH$8:AH$1039,$O$8:$O$1039,O86,$AB$8:$AB$1039,AB86,$R$8:$R$1039,R86,$AA$8:$AA$1039,"&lt;="&amp;AA86)</f>
        <v/>
      </c>
      <c r="AK86" s="84">
        <f>C10</f>
        <v/>
      </c>
      <c r="AL86" s="84">
        <f>C16</f>
        <v/>
      </c>
      <c r="AM86" s="84">
        <f>MAX(0,AJ86-AK86)</f>
        <v/>
      </c>
      <c r="AN86" s="84">
        <f>IF(AM86=0,AH86,IF(AM86&gt;=AH86,0,AH86-AM86))</f>
        <v/>
      </c>
      <c r="AO86" s="84">
        <f>IF(AM86&gt;=AH86,AI86,AI86*AM86/AH86)</f>
        <v/>
      </c>
      <c r="AP86">
        <f t="array" ref="AP86">INDEX($AU$8:$BB$25,6*(R86-1)+MATCH(AB86,$AS$8:$AS$13,0),MATCH(O86,$AU$7:$BB$7,0))</f>
        <v/>
      </c>
    </row>
    <row r="87" ht="14.55" customHeight="1">
      <c r="B87" s="31" t="inlineStr">
        <is>
          <t>B+</t>
        </is>
      </c>
      <c r="C87" s="45" t="n">
        <v>34</v>
      </c>
      <c r="D87" s="45" t="n">
        <v>8</v>
      </c>
      <c r="E87" s="45" t="n">
        <v>0</v>
      </c>
      <c r="I87" s="64" t="n"/>
      <c r="O87" s="43" t="inlineStr">
        <is>
          <t>Q1’26</t>
        </is>
      </c>
      <c r="P87" s="43" t="n">
        <v>3</v>
      </c>
      <c r="Q87" s="43" t="n">
        <v>1</v>
      </c>
      <c r="R87" s="43" t="n">
        <v>2</v>
      </c>
      <c r="S87" s="45" t="n">
        <v>397.843649815043</v>
      </c>
      <c r="T87">
        <f>(S86+S87+S88)=N4</f>
        <v/>
      </c>
      <c r="X87" s="84" t="n">
        <v>0</v>
      </c>
      <c r="Y87" s="83" t="n">
        <v>0</v>
      </c>
      <c r="AA87" s="84" t="n">
        <v>1</v>
      </c>
      <c r="AB87" s="84" t="inlineStr">
        <is>
          <t>C</t>
        </is>
      </c>
      <c r="AC87" s="84" t="inlineStr">
        <is>
          <t>C+</t>
        </is>
      </c>
      <c r="AD87" s="84" t="n">
        <v>21</v>
      </c>
      <c r="AE87" s="84" t="n">
        <v>20</v>
      </c>
      <c r="AF87" s="84" t="n">
        <v>0.8</v>
      </c>
      <c r="AG87" s="84" t="n">
        <v>0.86</v>
      </c>
      <c r="AH87" s="84" t="n">
        <v>0</v>
      </c>
      <c r="AI87" s="84" t="n">
        <v>0</v>
      </c>
      <c r="AJ87" s="84">
        <f>SUMIFS(AH$8:AH$1039,$O$8:$O$1039,O87,$AB$8:$AB$1039,AB87,$R$8:$R$1039,R87,$AA$8:$AA$1039,"&lt;="&amp;AA87)</f>
        <v/>
      </c>
      <c r="AK87" s="84">
        <f>D10</f>
        <v/>
      </c>
      <c r="AL87" s="84">
        <f>D16</f>
        <v/>
      </c>
      <c r="AM87" s="84">
        <f>MAX(0,AJ87-AK87)</f>
        <v/>
      </c>
      <c r="AN87" s="84">
        <f>IF(AM87=0,AH87,IF(AM87&gt;=AH87,0,AH87-AM87))</f>
        <v/>
      </c>
      <c r="AO87" s="84">
        <f>IF(AM87&gt;=AH87,AI87,AI87*AM87/AH87)</f>
        <v/>
      </c>
      <c r="AP87">
        <f t="array" ref="AP87">INDEX($AU$8:$BB$25,6*(R87-1)+MATCH(AB87,$AS$8:$AS$13,0),MATCH(O87,$AU$7:$BB$7,0))</f>
        <v/>
      </c>
    </row>
    <row r="88" ht="14.55" customHeight="1">
      <c r="B88" s="31" t="inlineStr">
        <is>
          <t>C+</t>
        </is>
      </c>
      <c r="C88" s="45" t="n">
        <v>24</v>
      </c>
      <c r="D88" s="45" t="n">
        <v>65</v>
      </c>
      <c r="E88" s="45" t="n">
        <v>37</v>
      </c>
      <c r="I88" s="64" t="n"/>
      <c r="O88" s="43" t="inlineStr">
        <is>
          <t>Q1’26</t>
        </is>
      </c>
      <c r="P88" s="43" t="n">
        <v>3</v>
      </c>
      <c r="Q88" s="43" t="n">
        <v>1</v>
      </c>
      <c r="R88" s="43" t="n">
        <v>3</v>
      </c>
      <c r="S88" s="45" t="n">
        <v>2602.156350184957</v>
      </c>
      <c r="T88">
        <f>(S86+S87+S88)=N4</f>
        <v/>
      </c>
      <c r="X88" s="84" t="n">
        <v>0</v>
      </c>
      <c r="Y88" s="83" t="n">
        <v>0</v>
      </c>
      <c r="AA88" s="84" t="n">
        <v>1</v>
      </c>
      <c r="AB88" s="84" t="inlineStr">
        <is>
          <t>C</t>
        </is>
      </c>
      <c r="AC88" s="84" t="inlineStr">
        <is>
          <t>C+</t>
        </is>
      </c>
      <c r="AD88" s="84" t="n">
        <v>21</v>
      </c>
      <c r="AE88" s="84" t="n">
        <v>20</v>
      </c>
      <c r="AF88" s="84" t="n">
        <v>0.8</v>
      </c>
      <c r="AG88" s="84" t="n">
        <v>0.86</v>
      </c>
      <c r="AH88" s="84" t="n">
        <v>0</v>
      </c>
      <c r="AI88" s="84" t="n">
        <v>0</v>
      </c>
      <c r="AJ88" s="84">
        <f>SUMIFS(AH$8:AH$1039,$O$8:$O$1039,O88,$AB$8:$AB$1039,AB88,$R$8:$R$1039,R88,$AA$8:$AA$1039,"&lt;="&amp;AA88)</f>
        <v/>
      </c>
      <c r="AK88" s="84">
        <f>E10</f>
        <v/>
      </c>
      <c r="AL88" s="84">
        <f>E16</f>
        <v/>
      </c>
      <c r="AM88" s="84">
        <f>MAX(0,AJ88-AK88)</f>
        <v/>
      </c>
      <c r="AN88" s="84">
        <f>IF(AM88=0,AH88,IF(AM88&gt;=AH88,0,AH88-AM88))</f>
        <v/>
      </c>
      <c r="AO88" s="84">
        <f>IF(AM88&gt;=AH88,AI88,AI88*AM88/AH88)</f>
        <v/>
      </c>
      <c r="AP88">
        <f t="array" ref="AP88">INDEX($AU$8:$BB$25,6*(R88-1)+MATCH(AB88,$AS$8:$AS$13,0),MATCH(O88,$AU$7:$BB$7,0))</f>
        <v/>
      </c>
    </row>
    <row r="89" ht="14.55" customHeight="1">
      <c r="B89" s="31" t="inlineStr">
        <is>
          <t>D+</t>
        </is>
      </c>
      <c r="C89" s="45" t="n">
        <v>38</v>
      </c>
      <c r="D89" s="45" t="n">
        <v>52</v>
      </c>
      <c r="E89" s="45" t="n">
        <v>32</v>
      </c>
      <c r="I89" s="64" t="n"/>
      <c r="O89" s="43" t="inlineStr">
        <is>
          <t>Q1’26</t>
        </is>
      </c>
      <c r="P89" s="43" t="n">
        <v>3</v>
      </c>
      <c r="Q89" s="43" t="n">
        <v>2</v>
      </c>
      <c r="R89" s="43" t="n">
        <v>1</v>
      </c>
      <c r="S89" s="45" t="n">
        <v>0</v>
      </c>
      <c r="T89">
        <f>(S89+S90+S91)=N4</f>
        <v/>
      </c>
      <c r="X89" s="84">
        <f>MAX(S86-S89,0)</f>
        <v/>
      </c>
      <c r="Y89" s="83" t="n">
        <v>0</v>
      </c>
      <c r="AA89" s="84" t="n">
        <v>8</v>
      </c>
      <c r="AB89" s="84" t="inlineStr">
        <is>
          <t>D</t>
        </is>
      </c>
      <c r="AC89" s="84" t="inlineStr">
        <is>
          <t>D+</t>
        </is>
      </c>
      <c r="AD89" s="84" t="n">
        <v>9</v>
      </c>
      <c r="AE89" s="84" t="n">
        <v>7</v>
      </c>
      <c r="AF89" s="84" t="n">
        <v>0.8</v>
      </c>
      <c r="AG89" s="84" t="n">
        <v>0.88</v>
      </c>
      <c r="AH89" s="84" t="n">
        <v>0</v>
      </c>
      <c r="AI89" s="84" t="n">
        <v>0</v>
      </c>
      <c r="AJ89" s="84">
        <f>SUMIFS(AH$8:AH$1039,$O$8:$O$1039,O89,$AB$8:$AB$1039,AB89,$R$8:$R$1039,R89,$AA$8:$AA$1039,"&lt;="&amp;AA89)</f>
        <v/>
      </c>
      <c r="AK89" s="84">
        <f>C11</f>
        <v/>
      </c>
      <c r="AL89" s="84">
        <f>C17</f>
        <v/>
      </c>
      <c r="AM89" s="84">
        <f>MAX(0,AJ89-AK89)</f>
        <v/>
      </c>
      <c r="AN89" s="84">
        <f>IF(AM89=0,AH89,IF(AM89&gt;=AH89,0,AH89-AM89))</f>
        <v/>
      </c>
      <c r="AO89" s="84">
        <f>IF(AM89&gt;=AH89,AI89,AI89*AM89/AH89)</f>
        <v/>
      </c>
      <c r="AP89">
        <f t="array" ref="AP89">INDEX($AU$8:$BB$25,6*(R89-1)+MATCH(AB89,$AS$8:$AS$13,0),MATCH(O89,$AU$7:$BB$7,0))</f>
        <v/>
      </c>
    </row>
    <row r="90" ht="14.55" customHeight="1">
      <c r="B90" s="31" t="inlineStr">
        <is>
          <t>E+</t>
        </is>
      </c>
      <c r="C90" s="45" t="n">
        <v>32</v>
      </c>
      <c r="D90" s="45" t="n">
        <v>34</v>
      </c>
      <c r="E90" s="45" t="n">
        <v>18</v>
      </c>
      <c r="I90" s="64" t="n"/>
      <c r="O90" s="43" t="inlineStr">
        <is>
          <t>Q1’26</t>
        </is>
      </c>
      <c r="P90" s="43" t="n">
        <v>3</v>
      </c>
      <c r="Q90" s="43" t="n">
        <v>2</v>
      </c>
      <c r="R90" s="43" t="n">
        <v>2</v>
      </c>
      <c r="S90" s="45" t="n">
        <v>397.843649815043</v>
      </c>
      <c r="T90">
        <f>(S89+S90+S91)=N4</f>
        <v/>
      </c>
      <c r="X90" s="84">
        <f>MAX(S87-S90,0)</f>
        <v/>
      </c>
      <c r="Y90" s="83" t="n">
        <v>0</v>
      </c>
      <c r="AA90" s="84" t="n">
        <v>8</v>
      </c>
      <c r="AB90" s="84" t="inlineStr">
        <is>
          <t>D</t>
        </is>
      </c>
      <c r="AC90" s="84" t="inlineStr">
        <is>
          <t>D+</t>
        </is>
      </c>
      <c r="AD90" s="84" t="n">
        <v>9</v>
      </c>
      <c r="AE90" s="84" t="n">
        <v>7</v>
      </c>
      <c r="AF90" s="84" t="n">
        <v>0.8</v>
      </c>
      <c r="AG90" s="84" t="n">
        <v>0.88</v>
      </c>
      <c r="AH90" s="84" t="n">
        <v>0</v>
      </c>
      <c r="AI90" s="84" t="n">
        <v>0</v>
      </c>
      <c r="AJ90" s="84">
        <f>SUMIFS(AH$8:AH$1039,$O$8:$O$1039,O90,$AB$8:$AB$1039,AB90,$R$8:$R$1039,R90,$AA$8:$AA$1039,"&lt;="&amp;AA90)</f>
        <v/>
      </c>
      <c r="AK90" s="84">
        <f>D11</f>
        <v/>
      </c>
      <c r="AL90" s="84">
        <f>D17</f>
        <v/>
      </c>
      <c r="AM90" s="84">
        <f>MAX(0,AJ90-AK90)</f>
        <v/>
      </c>
      <c r="AN90" s="84">
        <f>IF(AM90=0,AH90,IF(AM90&gt;=AH90,0,AH90-AM90))</f>
        <v/>
      </c>
      <c r="AO90" s="84">
        <f>IF(AM90&gt;=AH90,AI90,AI90*AM90/AH90)</f>
        <v/>
      </c>
      <c r="AP90">
        <f t="array" ref="AP90">INDEX($AU$8:$BB$25,6*(R90-1)+MATCH(AB90,$AS$8:$AS$13,0),MATCH(O90,$AU$7:$BB$7,0))</f>
        <v/>
      </c>
    </row>
    <row r="91" ht="14.55" customHeight="1">
      <c r="B91" s="31" t="inlineStr">
        <is>
          <t>F+</t>
        </is>
      </c>
      <c r="C91" s="45" t="n">
        <v>3</v>
      </c>
      <c r="D91" s="45" t="n">
        <v>4</v>
      </c>
      <c r="E91" s="45" t="n">
        <v>0</v>
      </c>
      <c r="F91" s="44" t="inlineStr">
        <is>
          <t>Fab 1 space</t>
        </is>
      </c>
      <c r="G91" s="44" t="inlineStr">
        <is>
          <t>Fab 2 space</t>
        </is>
      </c>
      <c r="H91" s="44" t="inlineStr">
        <is>
          <t>Fab 3 space</t>
        </is>
      </c>
      <c r="I91" s="64" t="n"/>
      <c r="O91" s="43" t="inlineStr">
        <is>
          <t>Q1’26</t>
        </is>
      </c>
      <c r="P91" s="43" t="n">
        <v>3</v>
      </c>
      <c r="Q91" s="43" t="n">
        <v>2</v>
      </c>
      <c r="R91" s="43" t="n">
        <v>3</v>
      </c>
      <c r="S91" s="45" t="n">
        <v>2602.156350184957</v>
      </c>
      <c r="T91">
        <f>(S89+S90+S91)=N4</f>
        <v/>
      </c>
      <c r="X91" s="84">
        <f>MAX(S88-S91,0)</f>
        <v/>
      </c>
      <c r="Y91" s="83" t="n">
        <v>0</v>
      </c>
      <c r="AA91" s="84" t="n">
        <v>8</v>
      </c>
      <c r="AB91" s="84" t="inlineStr">
        <is>
          <t>D</t>
        </is>
      </c>
      <c r="AC91" s="84" t="inlineStr">
        <is>
          <t>D+</t>
        </is>
      </c>
      <c r="AD91" s="84" t="n">
        <v>9</v>
      </c>
      <c r="AE91" s="84" t="n">
        <v>7</v>
      </c>
      <c r="AF91" s="84" t="n">
        <v>0.8</v>
      </c>
      <c r="AG91" s="84" t="n">
        <v>0.88</v>
      </c>
      <c r="AH91" s="84" t="n">
        <v>0</v>
      </c>
      <c r="AI91" s="84" t="n">
        <v>0</v>
      </c>
      <c r="AJ91" s="84">
        <f>SUMIFS(AH$8:AH$1039,$O$8:$O$1039,O91,$AB$8:$AB$1039,AB91,$R$8:$R$1039,R91,$AA$8:$AA$1039,"&lt;="&amp;AA91)</f>
        <v/>
      </c>
      <c r="AK91" s="84">
        <f>E11</f>
        <v/>
      </c>
      <c r="AL91" s="84">
        <f>E17</f>
        <v/>
      </c>
      <c r="AM91" s="84">
        <f>MAX(0,AJ91-AK91)</f>
        <v/>
      </c>
      <c r="AN91" s="84">
        <f>IF(AM91=0,AH91,IF(AM91&gt;=AH91,0,AH91-AM91))</f>
        <v/>
      </c>
      <c r="AO91" s="84">
        <f>IF(AM91&gt;=AH91,AI91,AI91*AM91/AH91)</f>
        <v/>
      </c>
      <c r="AP91">
        <f t="array" ref="AP91">INDEX($AU$8:$BB$25,6*(R91-1)+MATCH(AB91,$AS$8:$AS$13,0),MATCH(O91,$AU$7:$BB$7,0))</f>
        <v/>
      </c>
    </row>
    <row r="92" ht="14.25" customHeight="1">
      <c r="A92" s="85" t="inlineStr">
        <is>
          <t>WS Component for Q4’27</t>
        </is>
      </c>
      <c r="B92" s="31" t="inlineStr">
        <is>
          <t>A</t>
        </is>
      </c>
      <c r="C92" s="45" t="n">
        <v>0</v>
      </c>
      <c r="D92" s="45" t="n">
        <v>2</v>
      </c>
      <c r="E92" s="45" t="n">
        <v>0</v>
      </c>
      <c r="F92">
        <f t="array" ref="F92">SUM(C92:C103*data!$B$3:$B$14)</f>
        <v/>
      </c>
      <c r="G92">
        <f t="array" ref="G92">SUM(D92:D103*data!$B$3:$B$14)</f>
        <v/>
      </c>
      <c r="H92">
        <f t="array" ref="H92">SUM(E92:E103*data!$B$3:$B$14)</f>
        <v/>
      </c>
      <c r="I92" s="64" t="inlineStr">
        <is>
          <t>&lt;- make sure its green</t>
        </is>
      </c>
      <c r="O92" s="43" t="inlineStr">
        <is>
          <t>Q1’26</t>
        </is>
      </c>
      <c r="P92" s="43" t="n">
        <v>3</v>
      </c>
      <c r="Q92" s="43" t="n">
        <v>3</v>
      </c>
      <c r="R92" s="43" t="n">
        <v>1</v>
      </c>
      <c r="S92" s="45" t="n">
        <v>0</v>
      </c>
      <c r="T92">
        <f>(S92+S93+S94)=N4</f>
        <v/>
      </c>
      <c r="X92" s="84">
        <f>MAX(S89-S92,0)</f>
        <v/>
      </c>
      <c r="Y92" s="83" t="n">
        <v>0</v>
      </c>
      <c r="AA92" s="84" t="n">
        <v>1</v>
      </c>
      <c r="AB92" s="84" t="inlineStr">
        <is>
          <t>E</t>
        </is>
      </c>
      <c r="AC92" s="84" t="inlineStr">
        <is>
          <t>E+</t>
        </is>
      </c>
      <c r="AD92" s="84" t="n">
        <v>24</v>
      </c>
      <c r="AE92" s="84" t="n">
        <v>23</v>
      </c>
      <c r="AF92" s="84" t="n">
        <v>0.76</v>
      </c>
      <c r="AG92" s="84" t="n">
        <v>0.84</v>
      </c>
      <c r="AH92" s="84" t="n">
        <v>0</v>
      </c>
      <c r="AI92" s="84" t="n">
        <v>0</v>
      </c>
      <c r="AJ92" s="84">
        <f>SUMIFS(AH$8:AH$1039,$O$8:$O$1039,O92,$AB$8:$AB$1039,AB92,$R$8:$R$1039,R92,$AA$8:$AA$1039,"&lt;="&amp;AA92)</f>
        <v/>
      </c>
      <c r="AK92" s="84">
        <f>C12</f>
        <v/>
      </c>
      <c r="AL92" s="84">
        <f>C18</f>
        <v/>
      </c>
      <c r="AM92" s="84">
        <f>MAX(0,AJ92-AK92)</f>
        <v/>
      </c>
      <c r="AN92" s="84">
        <f>IF(AM92=0,AH92,IF(AM92&gt;=AH92,0,AH92-AM92))</f>
        <v/>
      </c>
      <c r="AO92" s="84">
        <f>IF(AM92&gt;=AH92,AI92,AI92*AM92/AH92)</f>
        <v/>
      </c>
      <c r="AP92">
        <f t="array" ref="AP92">INDEX($AU$8:$BB$25,6*(R92-1)+MATCH(AB92,$AS$8:$AS$13,0),MATCH(O92,$AU$7:$BB$7,0))</f>
        <v/>
      </c>
    </row>
    <row r="93" ht="14.55" customHeight="1">
      <c r="B93" s="31" t="inlineStr">
        <is>
          <t>B</t>
        </is>
      </c>
      <c r="C93" s="45" t="n">
        <v>16</v>
      </c>
      <c r="D93" s="45" t="n">
        <v>4</v>
      </c>
      <c r="E93" s="45" t="n">
        <v>0</v>
      </c>
      <c r="I93" s="64" t="n"/>
      <c r="O93" s="43" t="inlineStr">
        <is>
          <t>Q1’26</t>
        </is>
      </c>
      <c r="P93" s="43" t="n">
        <v>3</v>
      </c>
      <c r="Q93" s="43" t="n">
        <v>3</v>
      </c>
      <c r="R93" s="43" t="n">
        <v>2</v>
      </c>
      <c r="S93" s="45" t="n">
        <v>397.843649815043</v>
      </c>
      <c r="T93">
        <f>(S92+S93+S94)=N4</f>
        <v/>
      </c>
      <c r="X93" s="84">
        <f>MAX(S90-S93,0)</f>
        <v/>
      </c>
      <c r="Y93" s="83" t="n">
        <v>0</v>
      </c>
      <c r="AA93" s="84" t="n">
        <v>1</v>
      </c>
      <c r="AB93" s="84" t="inlineStr">
        <is>
          <t>E</t>
        </is>
      </c>
      <c r="AC93" s="84" t="inlineStr">
        <is>
          <t>E+</t>
        </is>
      </c>
      <c r="AD93" s="84" t="n">
        <v>24</v>
      </c>
      <c r="AE93" s="84" t="n">
        <v>23</v>
      </c>
      <c r="AF93" s="84" t="n">
        <v>0.76</v>
      </c>
      <c r="AG93" s="84" t="n">
        <v>0.84</v>
      </c>
      <c r="AH93" s="84" t="n">
        <v>0</v>
      </c>
      <c r="AI93" s="84" t="n">
        <v>0</v>
      </c>
      <c r="AJ93" s="84">
        <f>SUMIFS(AH$8:AH$1039,$O$8:$O$1039,O93,$AB$8:$AB$1039,AB93,$R$8:$R$1039,R93,$AA$8:$AA$1039,"&lt;="&amp;AA93)</f>
        <v/>
      </c>
      <c r="AK93" s="84">
        <f>D12</f>
        <v/>
      </c>
      <c r="AL93" s="84">
        <f>D18</f>
        <v/>
      </c>
      <c r="AM93" s="84">
        <f>MAX(0,AJ93-AK93)</f>
        <v/>
      </c>
      <c r="AN93" s="84">
        <f>IF(AM93=0,AH93,IF(AM93&gt;=AH93,0,AH93-AM93))</f>
        <v/>
      </c>
      <c r="AO93" s="84">
        <f>IF(AM93&gt;=AH93,AI93,AI93*AM93/AH93)</f>
        <v/>
      </c>
      <c r="AP93">
        <f t="array" ref="AP93">INDEX($AU$8:$BB$25,6*(R93-1)+MATCH(AB93,$AS$8:$AS$13,0),MATCH(O93,$AU$7:$BB$7,0))</f>
        <v/>
      </c>
    </row>
    <row r="94" ht="14.55" customHeight="1">
      <c r="B94" s="31" t="inlineStr">
        <is>
          <t>C</t>
        </is>
      </c>
      <c r="C94" s="45" t="n">
        <v>0</v>
      </c>
      <c r="D94" s="45" t="n">
        <v>0</v>
      </c>
      <c r="E94" s="45" t="n">
        <v>1</v>
      </c>
      <c r="F94" s="84" t="inlineStr">
        <is>
          <t>New tool purchase cost</t>
        </is>
      </c>
      <c r="I94" s="64" t="n"/>
      <c r="O94" s="43" t="inlineStr">
        <is>
          <t>Q1’26</t>
        </is>
      </c>
      <c r="P94" s="43" t="n">
        <v>3</v>
      </c>
      <c r="Q94" s="43" t="n">
        <v>3</v>
      </c>
      <c r="R94" s="43" t="n">
        <v>3</v>
      </c>
      <c r="S94" s="45" t="n">
        <v>2602.156350184957</v>
      </c>
      <c r="T94">
        <f>(S92+S93+S94)=N4</f>
        <v/>
      </c>
      <c r="X94" s="84">
        <f>MAX(S91-S94,0)</f>
        <v/>
      </c>
      <c r="Y94" s="83" t="n">
        <v>0</v>
      </c>
      <c r="AA94" s="84" t="n">
        <v>1</v>
      </c>
      <c r="AB94" s="84" t="inlineStr">
        <is>
          <t>E</t>
        </is>
      </c>
      <c r="AC94" s="84" t="inlineStr">
        <is>
          <t>E+</t>
        </is>
      </c>
      <c r="AD94" s="84" t="n">
        <v>24</v>
      </c>
      <c r="AE94" s="84" t="n">
        <v>23</v>
      </c>
      <c r="AF94" s="84" t="n">
        <v>0.76</v>
      </c>
      <c r="AG94" s="84" t="n">
        <v>0.84</v>
      </c>
      <c r="AH94" s="84" t="n">
        <v>0</v>
      </c>
      <c r="AI94" s="84" t="n">
        <v>0</v>
      </c>
      <c r="AJ94" s="84">
        <f>SUMIFS(AH$8:AH$1039,$O$8:$O$1039,O94,$AB$8:$AB$1039,AB94,$R$8:$R$1039,R94,$AA$8:$AA$1039,"&lt;="&amp;AA94)</f>
        <v/>
      </c>
      <c r="AK94" s="84">
        <f>E12</f>
        <v/>
      </c>
      <c r="AL94" s="84">
        <f>E18</f>
        <v/>
      </c>
      <c r="AM94" s="84">
        <f>MAX(0,AJ94-AK94)</f>
        <v/>
      </c>
      <c r="AN94" s="84">
        <f>IF(AM94=0,AH94,IF(AM94&gt;=AH94,0,AH94-AM94))</f>
        <v/>
      </c>
      <c r="AO94" s="84">
        <f>IF(AM94&gt;=AH94,AI94,AI94*AM94/AH94)</f>
        <v/>
      </c>
      <c r="AP94">
        <f t="array" ref="AP94">INDEX($AU$8:$BB$25,6*(R94-1)+MATCH(AB94,$AS$8:$AS$13,0),MATCH(O94,$AU$7:$BB$7,0))</f>
        <v/>
      </c>
    </row>
    <row r="95" ht="14.55" customHeight="1">
      <c r="B95" s="31" t="inlineStr">
        <is>
          <t>D</t>
        </is>
      </c>
      <c r="C95" s="45" t="n">
        <v>0</v>
      </c>
      <c r="D95" s="45" t="n">
        <v>0</v>
      </c>
      <c r="E95" s="45" t="n">
        <v>0</v>
      </c>
      <c r="F95" s="83">
        <f t="array" ref="F95">SUM(
     _xlfn.BYROW(
           IF(C92:E103-C80:E91&gt;0, C92:E103-C80:E91, 0),
           _xleta.SUM)
     *data!$C$3:$C$14
)</f>
        <v/>
      </c>
      <c r="I95" s="64" t="n"/>
      <c r="O95" s="43" t="inlineStr">
        <is>
          <t>Q1’26</t>
        </is>
      </c>
      <c r="P95" s="43" t="n">
        <v>3</v>
      </c>
      <c r="Q95" s="43" t="n">
        <v>4</v>
      </c>
      <c r="R95" s="43" t="n">
        <v>1</v>
      </c>
      <c r="S95" s="45" t="n">
        <v>0</v>
      </c>
      <c r="T95">
        <f>(S95+S96+S97)=N4</f>
        <v/>
      </c>
      <c r="X95" s="84">
        <f>MAX(S92-S95,0)</f>
        <v/>
      </c>
      <c r="Y95" s="83" t="n">
        <v>0</v>
      </c>
      <c r="AA95" s="84" t="n">
        <v>9</v>
      </c>
      <c r="AB95" s="84" t="inlineStr">
        <is>
          <t>E</t>
        </is>
      </c>
      <c r="AC95" s="84" t="inlineStr">
        <is>
          <t>E+</t>
        </is>
      </c>
      <c r="AD95" s="84" t="n">
        <v>15</v>
      </c>
      <c r="AE95" s="84" t="n">
        <v>11</v>
      </c>
      <c r="AF95" s="84" t="n">
        <v>0.76</v>
      </c>
      <c r="AG95" s="84" t="n">
        <v>0.84</v>
      </c>
      <c r="AH95" s="84" t="n">
        <v>0</v>
      </c>
      <c r="AI95" s="84" t="n">
        <v>0</v>
      </c>
      <c r="AJ95" s="84">
        <f>SUMIFS(AH$8:AH$1039,$O$8:$O$1039,O95,$AB$8:$AB$1039,AB95,$R$8:$R$1039,R95,$AA$8:$AA$1039,"&lt;="&amp;AA95)</f>
        <v/>
      </c>
      <c r="AK95" s="84">
        <f>C12</f>
        <v/>
      </c>
      <c r="AL95" s="84">
        <f>C18</f>
        <v/>
      </c>
      <c r="AM95" s="84">
        <f>MAX(0,AJ95-AK95)</f>
        <v/>
      </c>
      <c r="AN95" s="84">
        <f>IF(AM95=0,AH95,IF(AM95&gt;=AH95,0,AH95-AM95))</f>
        <v/>
      </c>
      <c r="AO95" s="84">
        <f>IF(AM95&gt;=AH95,AI95,AI95*AM95/AH95)</f>
        <v/>
      </c>
      <c r="AP95">
        <f t="array" ref="AP95">INDEX($AU$8:$BB$25,6*(R95-1)+MATCH(AB95,$AS$8:$AS$13,0),MATCH(O95,$AU$7:$BB$7,0))</f>
        <v/>
      </c>
    </row>
    <row r="96" ht="14.55" customHeight="1">
      <c r="B96" s="31" t="inlineStr">
        <is>
          <t>E</t>
        </is>
      </c>
      <c r="C96" s="45" t="n">
        <v>40</v>
      </c>
      <c r="D96" s="45" t="n">
        <v>19</v>
      </c>
      <c r="E96" s="45" t="n">
        <v>12</v>
      </c>
      <c r="F96" s="84" t="inlineStr">
        <is>
          <t>Moveout cost</t>
        </is>
      </c>
      <c r="I96" s="64" t="n"/>
      <c r="O96" s="43" t="inlineStr">
        <is>
          <t>Q1’26</t>
        </is>
      </c>
      <c r="P96" s="43" t="n">
        <v>3</v>
      </c>
      <c r="Q96" s="43" t="n">
        <v>4</v>
      </c>
      <c r="R96" s="43" t="n">
        <v>2</v>
      </c>
      <c r="S96" s="45" t="n">
        <v>397.843649815043</v>
      </c>
      <c r="T96">
        <f>(S95+S96+S97)=N4</f>
        <v/>
      </c>
      <c r="X96" s="84">
        <f>MAX(S93-S96,0)</f>
        <v/>
      </c>
      <c r="Y96" s="83" t="n">
        <v>0</v>
      </c>
      <c r="AA96" s="84" t="n">
        <v>9</v>
      </c>
      <c r="AB96" s="84" t="inlineStr">
        <is>
          <t>E</t>
        </is>
      </c>
      <c r="AC96" s="84" t="inlineStr">
        <is>
          <t>E+</t>
        </is>
      </c>
      <c r="AD96" s="84" t="n">
        <v>15</v>
      </c>
      <c r="AE96" s="84" t="n">
        <v>11</v>
      </c>
      <c r="AF96" s="84" t="n">
        <v>0.76</v>
      </c>
      <c r="AG96" s="84" t="n">
        <v>0.84</v>
      </c>
      <c r="AH96" s="84" t="n">
        <v>0</v>
      </c>
      <c r="AI96" s="84" t="n">
        <v>0</v>
      </c>
      <c r="AJ96" s="84">
        <f>SUMIFS(AH$8:AH$1039,$O$8:$O$1039,O96,$AB$8:$AB$1039,AB96,$R$8:$R$1039,R96,$AA$8:$AA$1039,"&lt;="&amp;AA96)</f>
        <v/>
      </c>
      <c r="AK96" s="84">
        <f>D12</f>
        <v/>
      </c>
      <c r="AL96" s="84">
        <f>D18</f>
        <v/>
      </c>
      <c r="AM96" s="84">
        <f>MAX(0,AJ96-AK96)</f>
        <v/>
      </c>
      <c r="AN96" s="84">
        <f>IF(AM96=0,AH96,IF(AM96&gt;=AH96,0,AH96-AM96))</f>
        <v/>
      </c>
      <c r="AO96" s="84">
        <f>IF(AM96&gt;=AH96,AI96,AI96*AM96/AH96)</f>
        <v/>
      </c>
      <c r="AP96">
        <f t="array" ref="AP96">INDEX($AU$8:$BB$25,6*(R96-1)+MATCH(AB96,$AS$8:$AS$13,0),MATCH(O96,$AU$7:$BB$7,0))</f>
        <v/>
      </c>
    </row>
    <row r="97" ht="14.55" customHeight="1">
      <c r="B97" s="31" t="inlineStr">
        <is>
          <t>F</t>
        </is>
      </c>
      <c r="C97" s="45" t="n">
        <v>85</v>
      </c>
      <c r="D97" s="45" t="n">
        <v>60</v>
      </c>
      <c r="E97" s="45" t="n">
        <v>29</v>
      </c>
      <c r="F97" s="83">
        <f t="array" ref="F97">SUM(
     _xlfn.BYROW(
           IF(C92:E103-C80:E91&lt;0, C92:E103-C80:E91, 0),
           _xleta.SUM)
     * -1000000
)</f>
        <v/>
      </c>
      <c r="I97" s="64" t="n"/>
      <c r="O97" s="43" t="inlineStr">
        <is>
          <t>Q1’26</t>
        </is>
      </c>
      <c r="P97" s="43" t="n">
        <v>3</v>
      </c>
      <c r="Q97" s="43" t="n">
        <v>4</v>
      </c>
      <c r="R97" s="43" t="n">
        <v>3</v>
      </c>
      <c r="S97" s="45" t="n">
        <v>2602.156350184957</v>
      </c>
      <c r="T97">
        <f>(S95+S96+S97)=N4</f>
        <v/>
      </c>
      <c r="X97" s="84">
        <f>MAX(S94-S97,0)</f>
        <v/>
      </c>
      <c r="Y97" s="83" t="n">
        <v>0</v>
      </c>
      <c r="AA97" s="84" t="n">
        <v>9</v>
      </c>
      <c r="AB97" s="84" t="inlineStr">
        <is>
          <t>E</t>
        </is>
      </c>
      <c r="AC97" s="84" t="inlineStr">
        <is>
          <t>E+</t>
        </is>
      </c>
      <c r="AD97" s="84" t="n">
        <v>15</v>
      </c>
      <c r="AE97" s="84" t="n">
        <v>11</v>
      </c>
      <c r="AF97" s="84" t="n">
        <v>0.76</v>
      </c>
      <c r="AG97" s="84" t="n">
        <v>0.84</v>
      </c>
      <c r="AH97" s="84" t="n">
        <v>0</v>
      </c>
      <c r="AI97" s="84" t="n">
        <v>0</v>
      </c>
      <c r="AJ97" s="84">
        <f>SUMIFS(AH$8:AH$1039,$O$8:$O$1039,O97,$AB$8:$AB$1039,AB97,$R$8:$R$1039,R97,$AA$8:$AA$1039,"&lt;="&amp;AA97)</f>
        <v/>
      </c>
      <c r="AK97" s="84">
        <f>E12</f>
        <v/>
      </c>
      <c r="AL97" s="84">
        <f>E18</f>
        <v/>
      </c>
      <c r="AM97" s="84">
        <f>MAX(0,AJ97-AK97)</f>
        <v/>
      </c>
      <c r="AN97" s="84">
        <f>IF(AM97=0,AH97,IF(AM97&gt;=AH97,0,AH97-AM97))</f>
        <v/>
      </c>
      <c r="AO97" s="84">
        <f>IF(AM97&gt;=AH97,AI97,AI97*AM97/AH97)</f>
        <v/>
      </c>
      <c r="AP97">
        <f t="array" ref="AP97">INDEX($AU$8:$BB$25,6*(R97-1)+MATCH(AB97,$AS$8:$AS$13,0),MATCH(O97,$AU$7:$BB$7,0))</f>
        <v/>
      </c>
    </row>
    <row r="98" ht="14.55" customHeight="1">
      <c r="B98" s="31" t="inlineStr">
        <is>
          <t>A+</t>
        </is>
      </c>
      <c r="C98" s="45" t="n">
        <v>0</v>
      </c>
      <c r="D98" s="45" t="n">
        <v>4</v>
      </c>
      <c r="E98" s="45" t="n">
        <v>5</v>
      </c>
      <c r="I98" s="64" t="n"/>
      <c r="O98" s="43" t="inlineStr">
        <is>
          <t>Q1’26</t>
        </is>
      </c>
      <c r="P98" s="43" t="n">
        <v>3</v>
      </c>
      <c r="Q98" s="43" t="n">
        <v>5</v>
      </c>
      <c r="R98" s="43" t="n">
        <v>1</v>
      </c>
      <c r="S98" s="45" t="n">
        <v>0</v>
      </c>
      <c r="T98">
        <f>(S98+S99+S100)=N4</f>
        <v/>
      </c>
      <c r="X98" s="84">
        <f>MAX(S95-S98,0)</f>
        <v/>
      </c>
      <c r="Y98" s="83" t="n">
        <v>0</v>
      </c>
      <c r="AA98" s="84" t="n">
        <v>6</v>
      </c>
      <c r="AB98" s="84" t="inlineStr">
        <is>
          <t>F</t>
        </is>
      </c>
      <c r="AC98" s="84" t="inlineStr">
        <is>
          <t>F+</t>
        </is>
      </c>
      <c r="AD98" s="84" t="n">
        <v>16</v>
      </c>
      <c r="AE98" s="84" t="n">
        <v>14</v>
      </c>
      <c r="AF98" s="84" t="n">
        <v>0.8</v>
      </c>
      <c r="AG98" s="84" t="n">
        <v>0.9</v>
      </c>
      <c r="AH98" s="84" t="n">
        <v>0</v>
      </c>
      <c r="AI98" s="84" t="n">
        <v>0</v>
      </c>
      <c r="AJ98" s="84">
        <f>SUMIFS(AH$8:AH$1039,$O$8:$O$1039,O98,$AB$8:$AB$1039,AB98,$R$8:$R$1039,R98,$AA$8:$AA$1039,"&lt;="&amp;AA98)</f>
        <v/>
      </c>
      <c r="AK98" s="84">
        <f>C13</f>
        <v/>
      </c>
      <c r="AL98" s="84">
        <f>C19</f>
        <v/>
      </c>
      <c r="AM98" s="84">
        <f>MAX(0,AJ98-AK98)</f>
        <v/>
      </c>
      <c r="AN98" s="84">
        <f>IF(AM98=0,AH98,IF(AM98&gt;=AH98,0,AH98-AM98))</f>
        <v/>
      </c>
      <c r="AO98" s="84">
        <f>IF(AM98&gt;=AH98,AI98,AI98*AM98/AH98)</f>
        <v/>
      </c>
      <c r="AP98">
        <f t="array" ref="AP98">INDEX($AU$8:$BB$25,6*(R98-1)+MATCH(AB98,$AS$8:$AS$13,0),MATCH(O98,$AU$7:$BB$7,0))</f>
        <v/>
      </c>
    </row>
    <row r="99" ht="14.55" customHeight="1">
      <c r="B99" s="31" t="inlineStr">
        <is>
          <t>B+</t>
        </is>
      </c>
      <c r="C99" s="45" t="n">
        <v>34</v>
      </c>
      <c r="D99" s="45" t="n">
        <v>8</v>
      </c>
      <c r="E99" s="45" t="n">
        <v>0</v>
      </c>
      <c r="I99" s="64" t="n"/>
      <c r="O99" s="43" t="inlineStr">
        <is>
          <t>Q1’26</t>
        </is>
      </c>
      <c r="P99" s="43" t="n">
        <v>3</v>
      </c>
      <c r="Q99" s="43" t="n">
        <v>5</v>
      </c>
      <c r="R99" s="43" t="n">
        <v>2</v>
      </c>
      <c r="S99" s="45" t="n">
        <v>397.843649815043</v>
      </c>
      <c r="T99">
        <f>(S98+S99+S100)=N4</f>
        <v/>
      </c>
      <c r="X99" s="84">
        <f>MAX(S96-S99,0)</f>
        <v/>
      </c>
      <c r="Y99" s="83" t="n">
        <v>0</v>
      </c>
      <c r="AA99" s="84" t="n">
        <v>6</v>
      </c>
      <c r="AB99" s="84" t="inlineStr">
        <is>
          <t>F</t>
        </is>
      </c>
      <c r="AC99" s="84" t="inlineStr">
        <is>
          <t>F+</t>
        </is>
      </c>
      <c r="AD99" s="84" t="n">
        <v>16</v>
      </c>
      <c r="AE99" s="84" t="n">
        <v>14</v>
      </c>
      <c r="AF99" s="84" t="n">
        <v>0.8</v>
      </c>
      <c r="AG99" s="84" t="n">
        <v>0.9</v>
      </c>
      <c r="AH99" s="84" t="n">
        <v>0</v>
      </c>
      <c r="AI99" s="84" t="n">
        <v>0</v>
      </c>
      <c r="AJ99" s="84">
        <f>SUMIFS(AH$8:AH$1039,$O$8:$O$1039,O99,$AB$8:$AB$1039,AB99,$R$8:$R$1039,R99,$AA$8:$AA$1039,"&lt;="&amp;AA99)</f>
        <v/>
      </c>
      <c r="AK99" s="84">
        <f>D13</f>
        <v/>
      </c>
      <c r="AL99" s="84">
        <f>D19</f>
        <v/>
      </c>
      <c r="AM99" s="84">
        <f>MAX(0,AJ99-AK99)</f>
        <v/>
      </c>
      <c r="AN99" s="84">
        <f>IF(AM99=0,AH99,IF(AM99&gt;=AH99,0,AH99-AM99))</f>
        <v/>
      </c>
      <c r="AO99" s="84">
        <f>IF(AM99&gt;=AH99,AI99,AI99*AM99/AH99)</f>
        <v/>
      </c>
      <c r="AP99">
        <f t="array" ref="AP99">INDEX($AU$8:$BB$25,6*(R99-1)+MATCH(AB99,$AS$8:$AS$13,0),MATCH(O99,$AU$7:$BB$7,0))</f>
        <v/>
      </c>
    </row>
    <row r="100" ht="14.55" customHeight="1">
      <c r="B100" s="31" t="inlineStr">
        <is>
          <t>C+</t>
        </is>
      </c>
      <c r="C100" s="45" t="n">
        <v>54</v>
      </c>
      <c r="D100" s="45" t="n">
        <v>65</v>
      </c>
      <c r="E100" s="45" t="n">
        <v>37</v>
      </c>
      <c r="I100" s="64" t="n"/>
      <c r="O100" s="43" t="inlineStr">
        <is>
          <t>Q1’26</t>
        </is>
      </c>
      <c r="P100" s="43" t="n">
        <v>3</v>
      </c>
      <c r="Q100" s="43" t="n">
        <v>5</v>
      </c>
      <c r="R100" s="43" t="n">
        <v>3</v>
      </c>
      <c r="S100" s="45" t="n">
        <v>2602.156350184957</v>
      </c>
      <c r="T100">
        <f>(S98+S99+S100)=N4</f>
        <v/>
      </c>
      <c r="X100" s="84">
        <f>MAX(S97-S100,0)</f>
        <v/>
      </c>
      <c r="Y100" s="83" t="n">
        <v>0</v>
      </c>
      <c r="AA100" s="84" t="n">
        <v>6</v>
      </c>
      <c r="AB100" s="84" t="inlineStr">
        <is>
          <t>F</t>
        </is>
      </c>
      <c r="AC100" s="84" t="inlineStr">
        <is>
          <t>F+</t>
        </is>
      </c>
      <c r="AD100" s="84" t="n">
        <v>16</v>
      </c>
      <c r="AE100" s="84" t="n">
        <v>14</v>
      </c>
      <c r="AF100" s="84" t="n">
        <v>0.8</v>
      </c>
      <c r="AG100" s="84" t="n">
        <v>0.9</v>
      </c>
      <c r="AH100" s="84" t="n">
        <v>0</v>
      </c>
      <c r="AI100" s="84" t="n">
        <v>0</v>
      </c>
      <c r="AJ100" s="84">
        <f>SUMIFS(AH$8:AH$1039,$O$8:$O$1039,O100,$AB$8:$AB$1039,AB100,$R$8:$R$1039,R100,$AA$8:$AA$1039,"&lt;="&amp;AA100)</f>
        <v/>
      </c>
      <c r="AK100" s="84">
        <f>E13</f>
        <v/>
      </c>
      <c r="AL100" s="84">
        <f>E19</f>
        <v/>
      </c>
      <c r="AM100" s="84">
        <f>MAX(0,AJ100-AK100)</f>
        <v/>
      </c>
      <c r="AN100" s="84">
        <f>IF(AM100=0,AH100,IF(AM100&gt;=AH100,0,AH100-AM100))</f>
        <v/>
      </c>
      <c r="AO100" s="84">
        <f>IF(AM100&gt;=AH100,AI100,AI100*AM100/AH100)</f>
        <v/>
      </c>
      <c r="AP100">
        <f t="array" ref="AP100">INDEX($AU$8:$BB$25,6*(R100-1)+MATCH(AB100,$AS$8:$AS$13,0),MATCH(O100,$AU$7:$BB$7,0))</f>
        <v/>
      </c>
    </row>
    <row r="101" ht="14.55" customHeight="1">
      <c r="B101" s="31" t="inlineStr">
        <is>
          <t>D+</t>
        </is>
      </c>
      <c r="C101" s="45" t="n">
        <v>38</v>
      </c>
      <c r="D101" s="45" t="n">
        <v>53</v>
      </c>
      <c r="E101" s="45" t="n">
        <v>32</v>
      </c>
      <c r="I101" s="64" t="n"/>
      <c r="O101" s="43" t="inlineStr">
        <is>
          <t>Q1’26</t>
        </is>
      </c>
      <c r="P101" s="43" t="n">
        <v>3</v>
      </c>
      <c r="Q101" s="43" t="n">
        <v>6</v>
      </c>
      <c r="R101" s="43" t="n">
        <v>1</v>
      </c>
      <c r="S101" s="45" t="n">
        <v>0</v>
      </c>
      <c r="T101">
        <f>(S101+S102+S103)=N4</f>
        <v/>
      </c>
      <c r="X101" s="84">
        <f>MAX(S98-S101,0)</f>
        <v/>
      </c>
      <c r="Y101" s="83" t="n">
        <v>0</v>
      </c>
      <c r="AA101" s="84" t="n">
        <v>1</v>
      </c>
      <c r="AB101" s="84" t="inlineStr">
        <is>
          <t>D</t>
        </is>
      </c>
      <c r="AC101" s="84" t="inlineStr">
        <is>
          <t>D+</t>
        </is>
      </c>
      <c r="AD101" s="84" t="n">
        <v>12</v>
      </c>
      <c r="AE101" s="84" t="n">
        <v>11</v>
      </c>
      <c r="AF101" s="84" t="n">
        <v>0.8</v>
      </c>
      <c r="AG101" s="84" t="n">
        <v>0.88</v>
      </c>
      <c r="AH101" s="84" t="n">
        <v>0</v>
      </c>
      <c r="AI101" s="84" t="n">
        <v>0</v>
      </c>
      <c r="AJ101" s="84">
        <f>SUMIFS(AH$8:AH$1039,$O$8:$O$1039,O101,$AB$8:$AB$1039,AB101,$R$8:$R$1039,R101,$AA$8:$AA$1039,"&lt;="&amp;AA101)</f>
        <v/>
      </c>
      <c r="AK101" s="84">
        <f>C11</f>
        <v/>
      </c>
      <c r="AL101" s="84">
        <f>C17</f>
        <v/>
      </c>
      <c r="AM101" s="84">
        <f>MAX(0,AJ101-AK101)</f>
        <v/>
      </c>
      <c r="AN101" s="84">
        <f>IF(AM101=0,AH101,IF(AM101&gt;=AH101,0,AH101-AM101))</f>
        <v/>
      </c>
      <c r="AO101" s="84">
        <f>IF(AM101&gt;=AH101,AI101,AI101*AM101/AH101)</f>
        <v/>
      </c>
      <c r="AP101">
        <f t="array" ref="AP101">INDEX($AU$8:$BB$25,6*(R101-1)+MATCH(AB101,$AS$8:$AS$13,0),MATCH(O101,$AU$7:$BB$7,0))</f>
        <v/>
      </c>
    </row>
    <row r="102" ht="14.55" customHeight="1">
      <c r="B102" s="31" t="inlineStr">
        <is>
          <t>E+</t>
        </is>
      </c>
      <c r="C102" s="45" t="n">
        <v>56</v>
      </c>
      <c r="D102" s="45" t="n">
        <v>44</v>
      </c>
      <c r="E102" s="45" t="n">
        <v>18</v>
      </c>
      <c r="I102" s="64" t="n"/>
      <c r="O102" s="43" t="inlineStr">
        <is>
          <t>Q1’26</t>
        </is>
      </c>
      <c r="P102" s="43" t="n">
        <v>3</v>
      </c>
      <c r="Q102" s="43" t="n">
        <v>6</v>
      </c>
      <c r="R102" s="43" t="n">
        <v>2</v>
      </c>
      <c r="S102" s="45" t="n">
        <v>397.843649815043</v>
      </c>
      <c r="T102">
        <f>(S101+S102+S103)=N4</f>
        <v/>
      </c>
      <c r="X102" s="84">
        <f>MAX(S99-S102,0)</f>
        <v/>
      </c>
      <c r="Y102" s="83" t="n">
        <v>0</v>
      </c>
      <c r="AA102" s="84" t="n">
        <v>1</v>
      </c>
      <c r="AB102" s="84" t="inlineStr">
        <is>
          <t>D</t>
        </is>
      </c>
      <c r="AC102" s="84" t="inlineStr">
        <is>
          <t>D+</t>
        </is>
      </c>
      <c r="AD102" s="84" t="n">
        <v>12</v>
      </c>
      <c r="AE102" s="84" t="n">
        <v>11</v>
      </c>
      <c r="AF102" s="84" t="n">
        <v>0.8</v>
      </c>
      <c r="AG102" s="84" t="n">
        <v>0.88</v>
      </c>
      <c r="AH102" s="84" t="n">
        <v>0</v>
      </c>
      <c r="AI102" s="84" t="n">
        <v>0</v>
      </c>
      <c r="AJ102" s="84">
        <f>SUMIFS(AH$8:AH$1039,$O$8:$O$1039,O102,$AB$8:$AB$1039,AB102,$R$8:$R$1039,R102,$AA$8:$AA$1039,"&lt;="&amp;AA102)</f>
        <v/>
      </c>
      <c r="AK102" s="84">
        <f>D11</f>
        <v/>
      </c>
      <c r="AL102" s="84">
        <f>D17</f>
        <v/>
      </c>
      <c r="AM102" s="84">
        <f>MAX(0,AJ102-AK102)</f>
        <v/>
      </c>
      <c r="AN102" s="84">
        <f>IF(AM102=0,AH102,IF(AM102&gt;=AH102,0,AH102-AM102))</f>
        <v/>
      </c>
      <c r="AO102" s="84">
        <f>IF(AM102&gt;=AH102,AI102,AI102*AM102/AH102)</f>
        <v/>
      </c>
      <c r="AP102">
        <f t="array" ref="AP102">INDEX($AU$8:$BB$25,6*(R102-1)+MATCH(AB102,$AS$8:$AS$13,0),MATCH(O102,$AU$7:$BB$7,0))</f>
        <v/>
      </c>
    </row>
    <row r="103" ht="14.55" customHeight="1">
      <c r="B103" s="31" t="inlineStr">
        <is>
          <t>F+</t>
        </is>
      </c>
      <c r="C103" s="45" t="n">
        <v>3</v>
      </c>
      <c r="D103" s="45" t="n">
        <v>4</v>
      </c>
      <c r="E103" s="45" t="n">
        <v>3</v>
      </c>
      <c r="I103" s="64" t="n"/>
      <c r="O103" s="43" t="inlineStr">
        <is>
          <t>Q1’26</t>
        </is>
      </c>
      <c r="P103" s="43" t="n">
        <v>3</v>
      </c>
      <c r="Q103" s="43" t="n">
        <v>6</v>
      </c>
      <c r="R103" s="43" t="n">
        <v>3</v>
      </c>
      <c r="S103" s="45" t="n">
        <v>2602.156350184957</v>
      </c>
      <c r="T103">
        <f>(S101+S102+S103)=N4</f>
        <v/>
      </c>
      <c r="X103" s="84">
        <f>MAX(S100-S103,0)</f>
        <v/>
      </c>
      <c r="Y103" s="83" t="n">
        <v>0</v>
      </c>
      <c r="AA103" s="84" t="n">
        <v>1</v>
      </c>
      <c r="AB103" s="84" t="inlineStr">
        <is>
          <t>D</t>
        </is>
      </c>
      <c r="AC103" s="84" t="inlineStr">
        <is>
          <t>D+</t>
        </is>
      </c>
      <c r="AD103" s="84" t="n">
        <v>12</v>
      </c>
      <c r="AE103" s="84" t="n">
        <v>11</v>
      </c>
      <c r="AF103" s="84" t="n">
        <v>0.8</v>
      </c>
      <c r="AG103" s="84" t="n">
        <v>0.88</v>
      </c>
      <c r="AH103" s="84" t="n">
        <v>0</v>
      </c>
      <c r="AI103" s="84" t="n">
        <v>0</v>
      </c>
      <c r="AJ103" s="84">
        <f>SUMIFS(AH$8:AH$1039,$O$8:$O$1039,O103,$AB$8:$AB$1039,AB103,$R$8:$R$1039,R103,$AA$8:$AA$1039,"&lt;="&amp;AA103)</f>
        <v/>
      </c>
      <c r="AK103" s="84">
        <f>E11</f>
        <v/>
      </c>
      <c r="AL103" s="84">
        <f>E17</f>
        <v/>
      </c>
      <c r="AM103" s="84">
        <f>MAX(0,AJ103-AK103)</f>
        <v/>
      </c>
      <c r="AN103" s="84">
        <f>IF(AM103=0,AH103,IF(AM103&gt;=AH103,0,AH103-AM103))</f>
        <v/>
      </c>
      <c r="AO103" s="84">
        <f>IF(AM103&gt;=AH103,AI103,AI103*AM103/AH103)</f>
        <v/>
      </c>
      <c r="AP103">
        <f t="array" ref="AP103">INDEX($AU$8:$BB$25,6*(R103-1)+MATCH(AB103,$AS$8:$AS$13,0),MATCH(O103,$AU$7:$BB$7,0))</f>
        <v/>
      </c>
    </row>
    <row r="104" ht="14.25" customHeight="1">
      <c r="O104" s="43" t="inlineStr">
        <is>
          <t>Q1’26</t>
        </is>
      </c>
      <c r="P104" s="43" t="n">
        <v>3</v>
      </c>
      <c r="Q104" s="43" t="n">
        <v>7</v>
      </c>
      <c r="R104" s="43" t="n">
        <v>1</v>
      </c>
      <c r="S104" s="45" t="n">
        <v>0</v>
      </c>
      <c r="T104">
        <f>(S104+S105+S106)=N4</f>
        <v/>
      </c>
      <c r="X104" s="84">
        <f>MAX(S101-S104,0)</f>
        <v/>
      </c>
      <c r="Y104" s="83" t="n">
        <v>0</v>
      </c>
      <c r="AA104" s="84" t="n">
        <v>3</v>
      </c>
      <c r="AB104" s="84" t="inlineStr">
        <is>
          <t>C</t>
        </is>
      </c>
      <c r="AC104" s="84" t="inlineStr">
        <is>
          <t>C+</t>
        </is>
      </c>
      <c r="AD104" s="84" t="n">
        <v>24</v>
      </c>
      <c r="AE104" s="84" t="n">
        <v>21</v>
      </c>
      <c r="AF104" s="84" t="n">
        <v>0.8</v>
      </c>
      <c r="AG104" s="84" t="n">
        <v>0.86</v>
      </c>
      <c r="AH104" s="84" t="n">
        <v>0</v>
      </c>
      <c r="AI104" s="84" t="n">
        <v>0</v>
      </c>
      <c r="AJ104" s="84">
        <f>SUMIFS(AH$8:AH$1039,$O$8:$O$1039,O104,$AB$8:$AB$1039,AB104,$R$8:$R$1039,R104,$AA$8:$AA$1039,"&lt;="&amp;AA104)</f>
        <v/>
      </c>
      <c r="AK104" s="84">
        <f>C10</f>
        <v/>
      </c>
      <c r="AL104" s="84">
        <f>C16</f>
        <v/>
      </c>
      <c r="AM104" s="84">
        <f>MAX(0,AJ104-AK104)</f>
        <v/>
      </c>
      <c r="AN104" s="84">
        <f>IF(AM104=0,AH104,IF(AM104&gt;=AH104,0,AH104-AM104))</f>
        <v/>
      </c>
      <c r="AO104" s="84">
        <f>IF(AM104&gt;=AH104,AI104,AI104*AM104/AH104)</f>
        <v/>
      </c>
      <c r="AP104">
        <f t="array" ref="AP104">INDEX($AU$8:$BB$25,6*(R104-1)+MATCH(AB104,$AS$8:$AS$13,0),MATCH(O104,$AU$7:$BB$7,0))</f>
        <v/>
      </c>
    </row>
    <row r="105" ht="14.25" customHeight="1">
      <c r="O105" s="43" t="inlineStr">
        <is>
          <t>Q1’26</t>
        </is>
      </c>
      <c r="P105" s="43" t="n">
        <v>3</v>
      </c>
      <c r="Q105" s="43" t="n">
        <v>7</v>
      </c>
      <c r="R105" s="43" t="n">
        <v>2</v>
      </c>
      <c r="S105" s="45" t="n">
        <v>397.843649815043</v>
      </c>
      <c r="T105">
        <f>(S104+S105+S106)=N4</f>
        <v/>
      </c>
      <c r="X105" s="84">
        <f>MAX(S102-S105,0)</f>
        <v/>
      </c>
      <c r="Y105" s="83" t="n">
        <v>0</v>
      </c>
      <c r="AA105" s="84" t="n">
        <v>3</v>
      </c>
      <c r="AB105" s="84" t="inlineStr">
        <is>
          <t>C</t>
        </is>
      </c>
      <c r="AC105" s="84" t="inlineStr">
        <is>
          <t>C+</t>
        </is>
      </c>
      <c r="AD105" s="84" t="n">
        <v>24</v>
      </c>
      <c r="AE105" s="84" t="n">
        <v>21</v>
      </c>
      <c r="AF105" s="84" t="n">
        <v>0.8</v>
      </c>
      <c r="AG105" s="84" t="n">
        <v>0.86</v>
      </c>
      <c r="AH105" s="84" t="n">
        <v>0</v>
      </c>
      <c r="AI105" s="84" t="n">
        <v>0</v>
      </c>
      <c r="AJ105" s="84">
        <f>SUMIFS(AH$8:AH$1039,$O$8:$O$1039,O105,$AB$8:$AB$1039,AB105,$R$8:$R$1039,R105,$AA$8:$AA$1039,"&lt;="&amp;AA105)</f>
        <v/>
      </c>
      <c r="AK105" s="84">
        <f>D10</f>
        <v/>
      </c>
      <c r="AL105" s="84">
        <f>D16</f>
        <v/>
      </c>
      <c r="AM105" s="84">
        <f>MAX(0,AJ105-AK105)</f>
        <v/>
      </c>
      <c r="AN105" s="84">
        <f>IF(AM105=0,AH105,IF(AM105&gt;=AH105,0,AH105-AM105))</f>
        <v/>
      </c>
      <c r="AO105" s="84">
        <f>IF(AM105&gt;=AH105,AI105,AI105*AM105/AH105)</f>
        <v/>
      </c>
      <c r="AP105">
        <f t="array" ref="AP105">INDEX($AU$8:$BB$25,6*(R105-1)+MATCH(AB105,$AS$8:$AS$13,0),MATCH(O105,$AU$7:$BB$7,0))</f>
        <v/>
      </c>
    </row>
    <row r="106" ht="14.25" customHeight="1">
      <c r="O106" s="43" t="inlineStr">
        <is>
          <t>Q1’26</t>
        </is>
      </c>
      <c r="P106" s="43" t="n">
        <v>3</v>
      </c>
      <c r="Q106" s="43" t="n">
        <v>7</v>
      </c>
      <c r="R106" s="43" t="n">
        <v>3</v>
      </c>
      <c r="S106" s="45" t="n">
        <v>2602.156350184957</v>
      </c>
      <c r="T106">
        <f>(S104+S105+S106)=N4</f>
        <v/>
      </c>
      <c r="X106" s="84">
        <f>MAX(S103-S106,0)</f>
        <v/>
      </c>
      <c r="Y106" s="83" t="n">
        <v>0</v>
      </c>
      <c r="AA106" s="84" t="n">
        <v>3</v>
      </c>
      <c r="AB106" s="84" t="inlineStr">
        <is>
          <t>C</t>
        </is>
      </c>
      <c r="AC106" s="84" t="inlineStr">
        <is>
          <t>C+</t>
        </is>
      </c>
      <c r="AD106" s="84" t="n">
        <v>24</v>
      </c>
      <c r="AE106" s="84" t="n">
        <v>21</v>
      </c>
      <c r="AF106" s="84" t="n">
        <v>0.8</v>
      </c>
      <c r="AG106" s="84" t="n">
        <v>0.86</v>
      </c>
      <c r="AH106" s="84" t="n">
        <v>0</v>
      </c>
      <c r="AI106" s="84" t="n">
        <v>0</v>
      </c>
      <c r="AJ106" s="84">
        <f>SUMIFS(AH$8:AH$1039,$O$8:$O$1039,O106,$AB$8:$AB$1039,AB106,$R$8:$R$1039,R106,$AA$8:$AA$1039,"&lt;="&amp;AA106)</f>
        <v/>
      </c>
      <c r="AK106" s="84">
        <f>E10</f>
        <v/>
      </c>
      <c r="AL106" s="84">
        <f>E16</f>
        <v/>
      </c>
      <c r="AM106" s="84">
        <f>MAX(0,AJ106-AK106)</f>
        <v/>
      </c>
      <c r="AN106" s="84">
        <f>IF(AM106=0,AH106,IF(AM106&gt;=AH106,0,AH106-AM106))</f>
        <v/>
      </c>
      <c r="AO106" s="84">
        <f>IF(AM106&gt;=AH106,AI106,AI106*AM106/AH106)</f>
        <v/>
      </c>
      <c r="AP106">
        <f t="array" ref="AP106">INDEX($AU$8:$BB$25,6*(R106-1)+MATCH(AB106,$AS$8:$AS$13,0),MATCH(O106,$AU$7:$BB$7,0))</f>
        <v/>
      </c>
    </row>
    <row r="107" ht="14.25" customHeight="1">
      <c r="O107" s="43" t="inlineStr">
        <is>
          <t>Q1’26</t>
        </is>
      </c>
      <c r="P107" s="43" t="n">
        <v>3</v>
      </c>
      <c r="Q107" s="43" t="n">
        <v>8</v>
      </c>
      <c r="R107" s="43" t="n">
        <v>1</v>
      </c>
      <c r="S107" s="45" t="n">
        <v>0</v>
      </c>
      <c r="T107">
        <f>(S107+S108+S109)=N4</f>
        <v/>
      </c>
      <c r="X107" s="84">
        <f>MAX(S104-S107,0)</f>
        <v/>
      </c>
      <c r="Y107" s="83" t="n">
        <v>0</v>
      </c>
      <c r="AA107" s="84" t="n">
        <v>5</v>
      </c>
      <c r="AB107" s="84" t="inlineStr">
        <is>
          <t>C</t>
        </is>
      </c>
      <c r="AC107" s="84" t="inlineStr">
        <is>
          <t>C+</t>
        </is>
      </c>
      <c r="AD107" s="84" t="n">
        <v>19</v>
      </c>
      <c r="AE107" s="84" t="n">
        <v>13</v>
      </c>
      <c r="AF107" s="84" t="n">
        <v>0.8</v>
      </c>
      <c r="AG107" s="84" t="n">
        <v>0.86</v>
      </c>
      <c r="AH107" s="84" t="n">
        <v>0</v>
      </c>
      <c r="AI107" s="84" t="n">
        <v>0</v>
      </c>
      <c r="AJ107" s="84">
        <f>SUMIFS(AH$8:AH$1039,$O$8:$O$1039,O107,$AB$8:$AB$1039,AB107,$R$8:$R$1039,R107,$AA$8:$AA$1039,"&lt;="&amp;AA107)</f>
        <v/>
      </c>
      <c r="AK107" s="84">
        <f>C10</f>
        <v/>
      </c>
      <c r="AL107" s="84">
        <f>C16</f>
        <v/>
      </c>
      <c r="AM107" s="84">
        <f>MAX(0,AJ107-AK107)</f>
        <v/>
      </c>
      <c r="AN107" s="84">
        <f>IF(AM107=0,AH107,IF(AM107&gt;=AH107,0,AH107-AM107))</f>
        <v/>
      </c>
      <c r="AO107" s="84">
        <f>IF(AM107&gt;=AH107,AI107,AI107*AM107/AH107)</f>
        <v/>
      </c>
      <c r="AP107">
        <f t="array" ref="AP107">INDEX($AU$8:$BB$25,6*(R107-1)+MATCH(AB107,$AS$8:$AS$13,0),MATCH(O107,$AU$7:$BB$7,0))</f>
        <v/>
      </c>
    </row>
    <row r="108" ht="14.25" customHeight="1">
      <c r="O108" s="43" t="inlineStr">
        <is>
          <t>Q1’26</t>
        </is>
      </c>
      <c r="P108" s="43" t="n">
        <v>3</v>
      </c>
      <c r="Q108" s="43" t="n">
        <v>8</v>
      </c>
      <c r="R108" s="43" t="n">
        <v>2</v>
      </c>
      <c r="S108" s="45" t="n">
        <v>397.843649815043</v>
      </c>
      <c r="T108">
        <f>(S107+S108+S109)=N4</f>
        <v/>
      </c>
      <c r="X108" s="84">
        <f>MAX(S105-S108,0)</f>
        <v/>
      </c>
      <c r="Y108" s="83" t="n">
        <v>0</v>
      </c>
      <c r="AA108" s="84" t="n">
        <v>5</v>
      </c>
      <c r="AB108" s="84" t="inlineStr">
        <is>
          <t>C</t>
        </is>
      </c>
      <c r="AC108" s="84" t="inlineStr">
        <is>
          <t>C+</t>
        </is>
      </c>
      <c r="AD108" s="84" t="n">
        <v>19</v>
      </c>
      <c r="AE108" s="84" t="n">
        <v>13</v>
      </c>
      <c r="AF108" s="84" t="n">
        <v>0.8</v>
      </c>
      <c r="AG108" s="84" t="n">
        <v>0.86</v>
      </c>
      <c r="AH108" s="84" t="n">
        <v>0</v>
      </c>
      <c r="AI108" s="84" t="n">
        <v>0</v>
      </c>
      <c r="AJ108" s="84">
        <f>SUMIFS(AH$8:AH$1039,$O$8:$O$1039,O108,$AB$8:$AB$1039,AB108,$R$8:$R$1039,R108,$AA$8:$AA$1039,"&lt;="&amp;AA108)</f>
        <v/>
      </c>
      <c r="AK108" s="84">
        <f>D10</f>
        <v/>
      </c>
      <c r="AL108" s="84">
        <f>D16</f>
        <v/>
      </c>
      <c r="AM108" s="84">
        <f>MAX(0,AJ108-AK108)</f>
        <v/>
      </c>
      <c r="AN108" s="84">
        <f>IF(AM108=0,AH108,IF(AM108&gt;=AH108,0,AH108-AM108))</f>
        <v/>
      </c>
      <c r="AO108" s="84">
        <f>IF(AM108&gt;=AH108,AI108,AI108*AM108/AH108)</f>
        <v/>
      </c>
      <c r="AP108">
        <f t="array" ref="AP108">INDEX($AU$8:$BB$25,6*(R108-1)+MATCH(AB108,$AS$8:$AS$13,0),MATCH(O108,$AU$7:$BB$7,0))</f>
        <v/>
      </c>
    </row>
    <row r="109" ht="14.25" customHeight="1">
      <c r="O109" s="43" t="inlineStr">
        <is>
          <t>Q1’26</t>
        </is>
      </c>
      <c r="P109" s="43" t="n">
        <v>3</v>
      </c>
      <c r="Q109" s="43" t="n">
        <v>8</v>
      </c>
      <c r="R109" s="43" t="n">
        <v>3</v>
      </c>
      <c r="S109" s="45" t="n">
        <v>2602.156350184957</v>
      </c>
      <c r="T109">
        <f>(S107+S108+S109)=N4</f>
        <v/>
      </c>
      <c r="X109" s="84">
        <f>MAX(S106-S109,0)</f>
        <v/>
      </c>
      <c r="Y109" s="83" t="n">
        <v>0</v>
      </c>
      <c r="AA109" s="84" t="n">
        <v>5</v>
      </c>
      <c r="AB109" s="84" t="inlineStr">
        <is>
          <t>C</t>
        </is>
      </c>
      <c r="AC109" s="84" t="inlineStr">
        <is>
          <t>C+</t>
        </is>
      </c>
      <c r="AD109" s="84" t="n">
        <v>19</v>
      </c>
      <c r="AE109" s="84" t="n">
        <v>13</v>
      </c>
      <c r="AF109" s="84" t="n">
        <v>0.8</v>
      </c>
      <c r="AG109" s="84" t="n">
        <v>0.86</v>
      </c>
      <c r="AH109" s="84" t="n">
        <v>0</v>
      </c>
      <c r="AI109" s="84" t="n">
        <v>0</v>
      </c>
      <c r="AJ109" s="84">
        <f>SUMIFS(AH$8:AH$1039,$O$8:$O$1039,O109,$AB$8:$AB$1039,AB109,$R$8:$R$1039,R109,$AA$8:$AA$1039,"&lt;="&amp;AA109)</f>
        <v/>
      </c>
      <c r="AK109" s="84">
        <f>E10</f>
        <v/>
      </c>
      <c r="AL109" s="84">
        <f>E16</f>
        <v/>
      </c>
      <c r="AM109" s="84">
        <f>MAX(0,AJ109-AK109)</f>
        <v/>
      </c>
      <c r="AN109" s="84">
        <f>IF(AM109=0,AH109,IF(AM109&gt;=AH109,0,AH109-AM109))</f>
        <v/>
      </c>
      <c r="AO109" s="84">
        <f>IF(AM109&gt;=AH109,AI109,AI109*AM109/AH109)</f>
        <v/>
      </c>
      <c r="AP109">
        <f t="array" ref="AP109">INDEX($AU$8:$BB$25,6*(R109-1)+MATCH(AB109,$AS$8:$AS$13,0),MATCH(O109,$AU$7:$BB$7,0))</f>
        <v/>
      </c>
    </row>
    <row r="110" ht="14.25" customHeight="1">
      <c r="O110" s="43" t="inlineStr">
        <is>
          <t>Q1’26</t>
        </is>
      </c>
      <c r="P110" s="43" t="n">
        <v>3</v>
      </c>
      <c r="Q110" s="43" t="n">
        <v>9</v>
      </c>
      <c r="R110" s="43" t="n">
        <v>1</v>
      </c>
      <c r="S110" s="45" t="n">
        <v>0</v>
      </c>
      <c r="T110">
        <f>(S110+S111+S112)=N4</f>
        <v/>
      </c>
      <c r="X110" s="84">
        <f>MAX(S107-S110,0)</f>
        <v/>
      </c>
      <c r="Y110" s="83" t="n">
        <v>0</v>
      </c>
      <c r="AA110" s="84" t="n">
        <v>3</v>
      </c>
      <c r="AB110" s="84" t="inlineStr">
        <is>
          <t>D</t>
        </is>
      </c>
      <c r="AC110" s="84" t="inlineStr">
        <is>
          <t>D+</t>
        </is>
      </c>
      <c r="AD110" s="84" t="n">
        <v>15</v>
      </c>
      <c r="AE110" s="84" t="n">
        <v>13</v>
      </c>
      <c r="AF110" s="84" t="n">
        <v>0.8</v>
      </c>
      <c r="AG110" s="84" t="n">
        <v>0.88</v>
      </c>
      <c r="AH110" s="84" t="n">
        <v>0</v>
      </c>
      <c r="AI110" s="84" t="n">
        <v>0</v>
      </c>
      <c r="AJ110" s="84">
        <f>SUMIFS(AH$8:AH$1039,$O$8:$O$1039,O110,$AB$8:$AB$1039,AB110,$R$8:$R$1039,R110,$AA$8:$AA$1039,"&lt;="&amp;AA110)</f>
        <v/>
      </c>
      <c r="AK110" s="84">
        <f>C11</f>
        <v/>
      </c>
      <c r="AL110" s="84">
        <f>C17</f>
        <v/>
      </c>
      <c r="AM110" s="84">
        <f>MAX(0,AJ110-AK110)</f>
        <v/>
      </c>
      <c r="AN110" s="84">
        <f>IF(AM110=0,AH110,IF(AM110&gt;=AH110,0,AH110-AM110))</f>
        <v/>
      </c>
      <c r="AO110" s="84">
        <f>IF(AM110&gt;=AH110,AI110,AI110*AM110/AH110)</f>
        <v/>
      </c>
      <c r="AP110">
        <f t="array" ref="AP110">INDEX($AU$8:$BB$25,6*(R110-1)+MATCH(AB110,$AS$8:$AS$13,0),MATCH(O110,$AU$7:$BB$7,0))</f>
        <v/>
      </c>
    </row>
    <row r="111" ht="14.25" customHeight="1">
      <c r="O111" s="43" t="inlineStr">
        <is>
          <t>Q1’26</t>
        </is>
      </c>
      <c r="P111" s="43" t="n">
        <v>3</v>
      </c>
      <c r="Q111" s="43" t="n">
        <v>9</v>
      </c>
      <c r="R111" s="43" t="n">
        <v>2</v>
      </c>
      <c r="S111" s="45" t="n">
        <v>397.843649815043</v>
      </c>
      <c r="T111">
        <f>(S110+S111+S112)=N4</f>
        <v/>
      </c>
      <c r="X111" s="84">
        <f>MAX(S108-S111,0)</f>
        <v/>
      </c>
      <c r="Y111" s="83" t="n">
        <v>0</v>
      </c>
      <c r="AA111" s="84" t="n">
        <v>3</v>
      </c>
      <c r="AB111" s="84" t="inlineStr">
        <is>
          <t>D</t>
        </is>
      </c>
      <c r="AC111" s="84" t="inlineStr">
        <is>
          <t>D+</t>
        </is>
      </c>
      <c r="AD111" s="84" t="n">
        <v>15</v>
      </c>
      <c r="AE111" s="84" t="n">
        <v>13</v>
      </c>
      <c r="AF111" s="84" t="n">
        <v>0.8</v>
      </c>
      <c r="AG111" s="84" t="n">
        <v>0.88</v>
      </c>
      <c r="AH111" s="84" t="n">
        <v>0</v>
      </c>
      <c r="AI111" s="84" t="n">
        <v>0</v>
      </c>
      <c r="AJ111" s="84">
        <f>SUMIFS(AH$8:AH$1039,$O$8:$O$1039,O111,$AB$8:$AB$1039,AB111,$R$8:$R$1039,R111,$AA$8:$AA$1039,"&lt;="&amp;AA111)</f>
        <v/>
      </c>
      <c r="AK111" s="84">
        <f>D11</f>
        <v/>
      </c>
      <c r="AL111" s="84">
        <f>D17</f>
        <v/>
      </c>
      <c r="AM111" s="84">
        <f>MAX(0,AJ111-AK111)</f>
        <v/>
      </c>
      <c r="AN111" s="84">
        <f>IF(AM111=0,AH111,IF(AM111&gt;=AH111,0,AH111-AM111))</f>
        <v/>
      </c>
      <c r="AO111" s="84">
        <f>IF(AM111&gt;=AH111,AI111,AI111*AM111/AH111)</f>
        <v/>
      </c>
      <c r="AP111">
        <f t="array" ref="AP111">INDEX($AU$8:$BB$25,6*(R111-1)+MATCH(AB111,$AS$8:$AS$13,0),MATCH(O111,$AU$7:$BB$7,0))</f>
        <v/>
      </c>
    </row>
    <row r="112" ht="14.25" customHeight="1">
      <c r="O112" s="43" t="inlineStr">
        <is>
          <t>Q1’26</t>
        </is>
      </c>
      <c r="P112" s="43" t="n">
        <v>3</v>
      </c>
      <c r="Q112" s="43" t="n">
        <v>9</v>
      </c>
      <c r="R112" s="43" t="n">
        <v>3</v>
      </c>
      <c r="S112" s="45" t="n">
        <v>2602.156350184957</v>
      </c>
      <c r="T112">
        <f>(S110+S111+S112)=N4</f>
        <v/>
      </c>
      <c r="X112" s="84">
        <f>MAX(S109-S112,0)</f>
        <v/>
      </c>
      <c r="Y112" s="83" t="n">
        <v>0</v>
      </c>
      <c r="AA112" s="84" t="n">
        <v>3</v>
      </c>
      <c r="AB112" s="84" t="inlineStr">
        <is>
          <t>D</t>
        </is>
      </c>
      <c r="AC112" s="84" t="inlineStr">
        <is>
          <t>D+</t>
        </is>
      </c>
      <c r="AD112" s="84" t="n">
        <v>15</v>
      </c>
      <c r="AE112" s="84" t="n">
        <v>13</v>
      </c>
      <c r="AF112" s="84" t="n">
        <v>0.8</v>
      </c>
      <c r="AG112" s="84" t="n">
        <v>0.88</v>
      </c>
      <c r="AH112" s="84" t="n">
        <v>0</v>
      </c>
      <c r="AI112" s="84" t="n">
        <v>0</v>
      </c>
      <c r="AJ112" s="84">
        <f>SUMIFS(AH$8:AH$1039,$O$8:$O$1039,O112,$AB$8:$AB$1039,AB112,$R$8:$R$1039,R112,$AA$8:$AA$1039,"&lt;="&amp;AA112)</f>
        <v/>
      </c>
      <c r="AK112" s="84">
        <f>E11</f>
        <v/>
      </c>
      <c r="AL112" s="84">
        <f>E17</f>
        <v/>
      </c>
      <c r="AM112" s="84">
        <f>MAX(0,AJ112-AK112)</f>
        <v/>
      </c>
      <c r="AN112" s="84">
        <f>IF(AM112=0,AH112,IF(AM112&gt;=AH112,0,AH112-AM112))</f>
        <v/>
      </c>
      <c r="AO112" s="84">
        <f>IF(AM112&gt;=AH112,AI112,AI112*AM112/AH112)</f>
        <v/>
      </c>
      <c r="AP112">
        <f t="array" ref="AP112">INDEX($AU$8:$BB$25,6*(R112-1)+MATCH(AB112,$AS$8:$AS$13,0),MATCH(O112,$AU$7:$BB$7,0))</f>
        <v/>
      </c>
    </row>
    <row r="113" ht="14.25" customHeight="1">
      <c r="O113" s="43" t="inlineStr">
        <is>
          <t>Q1’26</t>
        </is>
      </c>
      <c r="P113" s="43" t="n">
        <v>3</v>
      </c>
      <c r="Q113" s="43" t="n">
        <v>10</v>
      </c>
      <c r="R113" s="43" t="n">
        <v>1</v>
      </c>
      <c r="S113" s="45" t="n">
        <v>0</v>
      </c>
      <c r="T113">
        <f>(S113+S114+S115)=N4</f>
        <v/>
      </c>
      <c r="X113" s="84">
        <f>MAX(S110-S113,0)</f>
        <v/>
      </c>
      <c r="Y113" s="83" t="n">
        <v>0</v>
      </c>
      <c r="AA113" s="84" t="n">
        <v>5</v>
      </c>
      <c r="AB113" s="84" t="inlineStr">
        <is>
          <t>D</t>
        </is>
      </c>
      <c r="AC113" s="84" t="inlineStr">
        <is>
          <t>D+</t>
        </is>
      </c>
      <c r="AD113" s="84" t="n">
        <v>24</v>
      </c>
      <c r="AE113" s="84" t="n">
        <v>20</v>
      </c>
      <c r="AF113" s="84" t="n">
        <v>0.8</v>
      </c>
      <c r="AG113" s="84" t="n">
        <v>0.88</v>
      </c>
      <c r="AH113" s="84" t="n">
        <v>0</v>
      </c>
      <c r="AI113" s="84" t="n">
        <v>0</v>
      </c>
      <c r="AJ113" s="84">
        <f>SUMIFS(AH$8:AH$1039,$O$8:$O$1039,O113,$AB$8:$AB$1039,AB113,$R$8:$R$1039,R113,$AA$8:$AA$1039,"&lt;="&amp;AA113)</f>
        <v/>
      </c>
      <c r="AK113" s="84">
        <f>C11</f>
        <v/>
      </c>
      <c r="AL113" s="84">
        <f>C17</f>
        <v/>
      </c>
      <c r="AM113" s="84">
        <f>MAX(0,AJ113-AK113)</f>
        <v/>
      </c>
      <c r="AN113" s="84">
        <f>IF(AM113=0,AH113,IF(AM113&gt;=AH113,0,AH113-AM113))</f>
        <v/>
      </c>
      <c r="AO113" s="84">
        <f>IF(AM113&gt;=AH113,AI113,AI113*AM113/AH113)</f>
        <v/>
      </c>
      <c r="AP113">
        <f t="array" ref="AP113">INDEX($AU$8:$BB$25,6*(R113-1)+MATCH(AB113,$AS$8:$AS$13,0),MATCH(O113,$AU$7:$BB$7,0))</f>
        <v/>
      </c>
    </row>
    <row r="114" ht="14.25" customHeight="1">
      <c r="O114" s="43" t="inlineStr">
        <is>
          <t>Q1’26</t>
        </is>
      </c>
      <c r="P114" s="43" t="n">
        <v>3</v>
      </c>
      <c r="Q114" s="43" t="n">
        <v>10</v>
      </c>
      <c r="R114" s="43" t="n">
        <v>2</v>
      </c>
      <c r="S114" s="45" t="n">
        <v>397.843649815043</v>
      </c>
      <c r="T114">
        <f>(S113+S114+S115)=N4</f>
        <v/>
      </c>
      <c r="X114" s="84">
        <f>MAX(S111-S114,0)</f>
        <v/>
      </c>
      <c r="Y114" s="83" t="n">
        <v>0</v>
      </c>
      <c r="AA114" s="84" t="n">
        <v>5</v>
      </c>
      <c r="AB114" s="84" t="inlineStr">
        <is>
          <t>D</t>
        </is>
      </c>
      <c r="AC114" s="84" t="inlineStr">
        <is>
          <t>D+</t>
        </is>
      </c>
      <c r="AD114" s="84" t="n">
        <v>24</v>
      </c>
      <c r="AE114" s="84" t="n">
        <v>20</v>
      </c>
      <c r="AF114" s="84" t="n">
        <v>0.8</v>
      </c>
      <c r="AG114" s="84" t="n">
        <v>0.88</v>
      </c>
      <c r="AH114" s="84" t="n">
        <v>0</v>
      </c>
      <c r="AI114" s="84" t="n">
        <v>0</v>
      </c>
      <c r="AJ114" s="84">
        <f>SUMIFS(AH$8:AH$1039,$O$8:$O$1039,O114,$AB$8:$AB$1039,AB114,$R$8:$R$1039,R114,$AA$8:$AA$1039,"&lt;="&amp;AA114)</f>
        <v/>
      </c>
      <c r="AK114" s="84">
        <f>D11</f>
        <v/>
      </c>
      <c r="AL114" s="84">
        <f>D17</f>
        <v/>
      </c>
      <c r="AM114" s="84">
        <f>MAX(0,AJ114-AK114)</f>
        <v/>
      </c>
      <c r="AN114" s="84">
        <f>IF(AM114=0,AH114,IF(AM114&gt;=AH114,0,AH114-AM114))</f>
        <v/>
      </c>
      <c r="AO114" s="84">
        <f>IF(AM114&gt;=AH114,AI114,AI114*AM114/AH114)</f>
        <v/>
      </c>
      <c r="AP114">
        <f t="array" ref="AP114">INDEX($AU$8:$BB$25,6*(R114-1)+MATCH(AB114,$AS$8:$AS$13,0),MATCH(O114,$AU$7:$BB$7,0))</f>
        <v/>
      </c>
    </row>
    <row r="115" ht="14.25" customHeight="1">
      <c r="O115" s="43" t="inlineStr">
        <is>
          <t>Q1’26</t>
        </is>
      </c>
      <c r="P115" s="43" t="n">
        <v>3</v>
      </c>
      <c r="Q115" s="43" t="n">
        <v>10</v>
      </c>
      <c r="R115" s="43" t="n">
        <v>3</v>
      </c>
      <c r="S115" s="45" t="n">
        <v>2602.156350184957</v>
      </c>
      <c r="T115">
        <f>(S113+S114+S115)=N4</f>
        <v/>
      </c>
      <c r="X115" s="84">
        <f>MAX(S112-S115,0)</f>
        <v/>
      </c>
      <c r="Y115" s="83" t="n">
        <v>0</v>
      </c>
      <c r="AA115" s="84" t="n">
        <v>5</v>
      </c>
      <c r="AB115" s="84" t="inlineStr">
        <is>
          <t>D</t>
        </is>
      </c>
      <c r="AC115" s="84" t="inlineStr">
        <is>
          <t>D+</t>
        </is>
      </c>
      <c r="AD115" s="84" t="n">
        <v>24</v>
      </c>
      <c r="AE115" s="84" t="n">
        <v>20</v>
      </c>
      <c r="AF115" s="84" t="n">
        <v>0.8</v>
      </c>
      <c r="AG115" s="84" t="n">
        <v>0.88</v>
      </c>
      <c r="AH115" s="84" t="n">
        <v>0</v>
      </c>
      <c r="AI115" s="84" t="n">
        <v>0</v>
      </c>
      <c r="AJ115" s="84">
        <f>SUMIFS(AH$8:AH$1039,$O$8:$O$1039,O115,$AB$8:$AB$1039,AB115,$R$8:$R$1039,R115,$AA$8:$AA$1039,"&lt;="&amp;AA115)</f>
        <v/>
      </c>
      <c r="AK115" s="84">
        <f>E11</f>
        <v/>
      </c>
      <c r="AL115" s="84">
        <f>E17</f>
        <v/>
      </c>
      <c r="AM115" s="84">
        <f>MAX(0,AJ115-AK115)</f>
        <v/>
      </c>
      <c r="AN115" s="84">
        <f>IF(AM115=0,AH115,IF(AM115&gt;=AH115,0,AH115-AM115))</f>
        <v/>
      </c>
      <c r="AO115" s="84">
        <f>IF(AM115&gt;=AH115,AI115,AI115*AM115/AH115)</f>
        <v/>
      </c>
      <c r="AP115">
        <f t="array" ref="AP115">INDEX($AU$8:$BB$25,6*(R115-1)+MATCH(AB115,$AS$8:$AS$13,0),MATCH(O115,$AU$7:$BB$7,0))</f>
        <v/>
      </c>
    </row>
    <row r="116" ht="14.25" customHeight="1">
      <c r="O116" s="43" t="inlineStr">
        <is>
          <t>Q1’26</t>
        </is>
      </c>
      <c r="P116" s="43" t="n">
        <v>3</v>
      </c>
      <c r="Q116" s="43" t="n">
        <v>11</v>
      </c>
      <c r="R116" s="43" t="n">
        <v>1</v>
      </c>
      <c r="S116" s="45" t="n">
        <v>0</v>
      </c>
      <c r="T116">
        <f>(S116+S117+S118)=N4</f>
        <v/>
      </c>
      <c r="X116" s="84">
        <f>MAX(S113-S116,0)</f>
        <v/>
      </c>
      <c r="Y116" s="83" t="n">
        <v>0</v>
      </c>
      <c r="AA116" s="84" t="n">
        <v>3</v>
      </c>
      <c r="AB116" s="84" t="inlineStr">
        <is>
          <t>E</t>
        </is>
      </c>
      <c r="AC116" s="84" t="inlineStr">
        <is>
          <t>E+</t>
        </is>
      </c>
      <c r="AD116" s="84" t="n">
        <v>17</v>
      </c>
      <c r="AE116" s="84" t="n">
        <v>15</v>
      </c>
      <c r="AF116" s="84" t="n">
        <v>0.76</v>
      </c>
      <c r="AG116" s="84" t="n">
        <v>0.84</v>
      </c>
      <c r="AH116" s="84" t="n">
        <v>0</v>
      </c>
      <c r="AI116" s="84" t="n">
        <v>0</v>
      </c>
      <c r="AJ116" s="84">
        <f>SUMIFS(AH$8:AH$1039,$O$8:$O$1039,O116,$AB$8:$AB$1039,AB116,$R$8:$R$1039,R116,$AA$8:$AA$1039,"&lt;="&amp;AA116)</f>
        <v/>
      </c>
      <c r="AK116" s="84">
        <f>C12</f>
        <v/>
      </c>
      <c r="AL116" s="84">
        <f>C18</f>
        <v/>
      </c>
      <c r="AM116" s="84">
        <f>MAX(0,AJ116-AK116)</f>
        <v/>
      </c>
      <c r="AN116" s="84">
        <f>IF(AM116=0,AH116,IF(AM116&gt;=AH116,0,AH116-AM116))</f>
        <v/>
      </c>
      <c r="AO116" s="84">
        <f>IF(AM116&gt;=AH116,AI116,AI116*AM116/AH116)</f>
        <v/>
      </c>
      <c r="AP116">
        <f t="array" ref="AP116">INDEX($AU$8:$BB$25,6*(R116-1)+MATCH(AB116,$AS$8:$AS$13,0),MATCH(O116,$AU$7:$BB$7,0))</f>
        <v/>
      </c>
    </row>
    <row r="117" ht="14.25" customHeight="1">
      <c r="O117" s="43" t="inlineStr">
        <is>
          <t>Q1’26</t>
        </is>
      </c>
      <c r="P117" s="43" t="n">
        <v>3</v>
      </c>
      <c r="Q117" s="43" t="n">
        <v>11</v>
      </c>
      <c r="R117" s="43" t="n">
        <v>2</v>
      </c>
      <c r="S117" s="45" t="n">
        <v>397.843649815043</v>
      </c>
      <c r="T117">
        <f>(S116+S117+S118)=N4</f>
        <v/>
      </c>
      <c r="X117" s="84">
        <f>MAX(S114-S117,0)</f>
        <v/>
      </c>
      <c r="Y117" s="83" t="n">
        <v>0</v>
      </c>
      <c r="AA117" s="84" t="n">
        <v>3</v>
      </c>
      <c r="AB117" s="84" t="inlineStr">
        <is>
          <t>E</t>
        </is>
      </c>
      <c r="AC117" s="84" t="inlineStr">
        <is>
          <t>E+</t>
        </is>
      </c>
      <c r="AD117" s="84" t="n">
        <v>17</v>
      </c>
      <c r="AE117" s="84" t="n">
        <v>15</v>
      </c>
      <c r="AF117" s="84" t="n">
        <v>0.76</v>
      </c>
      <c r="AG117" s="84" t="n">
        <v>0.84</v>
      </c>
      <c r="AH117" s="84" t="n">
        <v>0</v>
      </c>
      <c r="AI117" s="84" t="n">
        <v>0</v>
      </c>
      <c r="AJ117" s="84">
        <f>SUMIFS(AH$8:AH$1039,$O$8:$O$1039,O117,$AB$8:$AB$1039,AB117,$R$8:$R$1039,R117,$AA$8:$AA$1039,"&lt;="&amp;AA117)</f>
        <v/>
      </c>
      <c r="AK117" s="84">
        <f>D12</f>
        <v/>
      </c>
      <c r="AL117" s="84">
        <f>D18</f>
        <v/>
      </c>
      <c r="AM117" s="84">
        <f>MAX(0,AJ117-AK117)</f>
        <v/>
      </c>
      <c r="AN117" s="84">
        <f>IF(AM117=0,AH117,IF(AM117&gt;=AH117,0,AH117-AM117))</f>
        <v/>
      </c>
      <c r="AO117" s="84">
        <f>IF(AM117&gt;=AH117,AI117,AI117*AM117/AH117)</f>
        <v/>
      </c>
      <c r="AP117">
        <f t="array" ref="AP117">INDEX($AU$8:$BB$25,6*(R117-1)+MATCH(AB117,$AS$8:$AS$13,0),MATCH(O117,$AU$7:$BB$7,0))</f>
        <v/>
      </c>
    </row>
    <row r="118" ht="14.25" customHeight="1">
      <c r="O118" s="43" t="inlineStr">
        <is>
          <t>Q1’26</t>
        </is>
      </c>
      <c r="P118" s="43" t="n">
        <v>3</v>
      </c>
      <c r="Q118" s="43" t="n">
        <v>11</v>
      </c>
      <c r="R118" s="43" t="n">
        <v>3</v>
      </c>
      <c r="S118" s="45" t="n">
        <v>2602.156350184957</v>
      </c>
      <c r="T118">
        <f>(S116+S117+S118)=N4</f>
        <v/>
      </c>
      <c r="X118" s="84">
        <f>MAX(S115-S118,0)</f>
        <v/>
      </c>
      <c r="Y118" s="83" t="n">
        <v>0</v>
      </c>
      <c r="AA118" s="84" t="n">
        <v>3</v>
      </c>
      <c r="AB118" s="84" t="inlineStr">
        <is>
          <t>E</t>
        </is>
      </c>
      <c r="AC118" s="84" t="inlineStr">
        <is>
          <t>E+</t>
        </is>
      </c>
      <c r="AD118" s="84" t="n">
        <v>17</v>
      </c>
      <c r="AE118" s="84" t="n">
        <v>15</v>
      </c>
      <c r="AF118" s="84" t="n">
        <v>0.76</v>
      </c>
      <c r="AG118" s="84" t="n">
        <v>0.84</v>
      </c>
      <c r="AH118" s="84" t="n">
        <v>0</v>
      </c>
      <c r="AI118" s="84" t="n">
        <v>0</v>
      </c>
      <c r="AJ118" s="84">
        <f>SUMIFS(AH$8:AH$1039,$O$8:$O$1039,O118,$AB$8:$AB$1039,AB118,$R$8:$R$1039,R118,$AA$8:$AA$1039,"&lt;="&amp;AA118)</f>
        <v/>
      </c>
      <c r="AK118" s="84">
        <f>E12</f>
        <v/>
      </c>
      <c r="AL118" s="84">
        <f>E18</f>
        <v/>
      </c>
      <c r="AM118" s="84">
        <f>MAX(0,AJ118-AK118)</f>
        <v/>
      </c>
      <c r="AN118" s="84">
        <f>IF(AM118=0,AH118,IF(AM118&gt;=AH118,0,AH118-AM118))</f>
        <v/>
      </c>
      <c r="AO118" s="84">
        <f>IF(AM118&gt;=AH118,AI118,AI118*AM118/AH118)</f>
        <v/>
      </c>
      <c r="AP118">
        <f t="array" ref="AP118">INDEX($AU$8:$BB$25,6*(R118-1)+MATCH(AB118,$AS$8:$AS$13,0),MATCH(O118,$AU$7:$BB$7,0))</f>
        <v/>
      </c>
    </row>
    <row r="119" ht="14.25" customHeight="1">
      <c r="O119" s="43" t="inlineStr">
        <is>
          <t>Q1’26</t>
        </is>
      </c>
      <c r="P119" s="43" t="n">
        <v>3</v>
      </c>
      <c r="Q119" s="43" t="n">
        <v>12</v>
      </c>
      <c r="R119" s="43" t="n">
        <v>1</v>
      </c>
      <c r="S119" s="45" t="n">
        <v>1.909020633880013e-12</v>
      </c>
      <c r="T119">
        <f>(S119+S120+S121)=N4</f>
        <v/>
      </c>
      <c r="X119" s="84">
        <f>MAX(S116-S119,0)</f>
        <v/>
      </c>
      <c r="Y119" s="83" t="n">
        <v>0</v>
      </c>
      <c r="AA119" s="84" t="n">
        <v>10</v>
      </c>
      <c r="AB119" s="84" t="inlineStr">
        <is>
          <t>E</t>
        </is>
      </c>
      <c r="AC119" s="84" t="inlineStr">
        <is>
          <t>E+</t>
        </is>
      </c>
      <c r="AD119" s="84" t="n">
        <v>18</v>
      </c>
      <c r="AE119" s="84" t="n">
        <v>13</v>
      </c>
      <c r="AF119" s="84" t="n">
        <v>0.76</v>
      </c>
      <c r="AG119" s="84" t="n">
        <v>0.84</v>
      </c>
      <c r="AH119" s="84" t="n">
        <v>0</v>
      </c>
      <c r="AI119" s="84" t="n">
        <v>0</v>
      </c>
      <c r="AJ119" s="84">
        <f>SUMIFS(AH$8:AH$1039,$O$8:$O$1039,O119,$AB$8:$AB$1039,AB119,$R$8:$R$1039,R119,$AA$8:$AA$1039,"&lt;="&amp;AA119)</f>
        <v/>
      </c>
      <c r="AK119" s="84">
        <f>C12</f>
        <v/>
      </c>
      <c r="AL119" s="84">
        <f>C18</f>
        <v/>
      </c>
      <c r="AM119" s="84">
        <f>MAX(0,AJ119-AK119)</f>
        <v/>
      </c>
      <c r="AN119" s="84">
        <f>IF(AM119=0,AH119,IF(AM119&gt;=AH119,0,AH119-AM119))</f>
        <v/>
      </c>
      <c r="AO119" s="84">
        <f>IF(AM119&gt;=AH119,AI119,AI119*AM119/AH119)</f>
        <v/>
      </c>
      <c r="AP119">
        <f t="array" ref="AP119">INDEX($AU$8:$BB$25,6*(R119-1)+MATCH(AB119,$AS$8:$AS$13,0),MATCH(O119,$AU$7:$BB$7,0))</f>
        <v/>
      </c>
    </row>
    <row r="120" ht="14.25" customHeight="1">
      <c r="O120" s="43" t="inlineStr">
        <is>
          <t>Q1’26</t>
        </is>
      </c>
      <c r="P120" s="43" t="n">
        <v>3</v>
      </c>
      <c r="Q120" s="43" t="n">
        <v>12</v>
      </c>
      <c r="R120" s="43" t="n">
        <v>2</v>
      </c>
      <c r="S120" s="45" t="n">
        <v>397.843649815043</v>
      </c>
      <c r="T120">
        <f>(S119+S120+S121)=N4</f>
        <v/>
      </c>
      <c r="X120" s="84">
        <f>MAX(S117-S120,0)</f>
        <v/>
      </c>
      <c r="Y120" s="83" t="n">
        <v>0</v>
      </c>
      <c r="AA120" s="84" t="n">
        <v>10</v>
      </c>
      <c r="AB120" s="84" t="inlineStr">
        <is>
          <t>E</t>
        </is>
      </c>
      <c r="AC120" s="84" t="inlineStr">
        <is>
          <t>E+</t>
        </is>
      </c>
      <c r="AD120" s="84" t="n">
        <v>18</v>
      </c>
      <c r="AE120" s="84" t="n">
        <v>13</v>
      </c>
      <c r="AF120" s="84" t="n">
        <v>0.76</v>
      </c>
      <c r="AG120" s="84" t="n">
        <v>0.84</v>
      </c>
      <c r="AH120" s="84" t="n">
        <v>0</v>
      </c>
      <c r="AI120" s="84" t="n">
        <v>0</v>
      </c>
      <c r="AJ120" s="84">
        <f>SUMIFS(AH$8:AH$1039,$O$8:$O$1039,O120,$AB$8:$AB$1039,AB120,$R$8:$R$1039,R120,$AA$8:$AA$1039,"&lt;="&amp;AA120)</f>
        <v/>
      </c>
      <c r="AK120" s="84">
        <f>D12</f>
        <v/>
      </c>
      <c r="AL120" s="84">
        <f>D18</f>
        <v/>
      </c>
      <c r="AM120" s="84">
        <f>MAX(0,AJ120-AK120)</f>
        <v/>
      </c>
      <c r="AN120" s="84">
        <f>IF(AM120=0,AH120,IF(AM120&gt;=AH120,0,AH120-AM120))</f>
        <v/>
      </c>
      <c r="AO120" s="84">
        <f>IF(AM120&gt;=AH120,AI120,AI120*AM120/AH120)</f>
        <v/>
      </c>
      <c r="AP120">
        <f t="array" ref="AP120">INDEX($AU$8:$BB$25,6*(R120-1)+MATCH(AB120,$AS$8:$AS$13,0),MATCH(O120,$AU$7:$BB$7,0))</f>
        <v/>
      </c>
    </row>
    <row r="121" ht="14.25" customHeight="1">
      <c r="O121" s="43" t="inlineStr">
        <is>
          <t>Q1’26</t>
        </is>
      </c>
      <c r="P121" s="43" t="n">
        <v>3</v>
      </c>
      <c r="Q121" s="43" t="n">
        <v>12</v>
      </c>
      <c r="R121" s="43" t="n">
        <v>3</v>
      </c>
      <c r="S121" s="45" t="n">
        <v>2602.156350184955</v>
      </c>
      <c r="T121">
        <f>(S119+S120+S121)=N4</f>
        <v/>
      </c>
      <c r="X121" s="84">
        <f>MAX(S118-S121,0)</f>
        <v/>
      </c>
      <c r="Y121" s="83" t="n">
        <v>0</v>
      </c>
      <c r="AA121" s="84" t="n">
        <v>10</v>
      </c>
      <c r="AB121" s="84" t="inlineStr">
        <is>
          <t>E</t>
        </is>
      </c>
      <c r="AC121" s="84" t="inlineStr">
        <is>
          <t>E+</t>
        </is>
      </c>
      <c r="AD121" s="84" t="n">
        <v>18</v>
      </c>
      <c r="AE121" s="84" t="n">
        <v>13</v>
      </c>
      <c r="AF121" s="84" t="n">
        <v>0.76</v>
      </c>
      <c r="AG121" s="84" t="n">
        <v>0.84</v>
      </c>
      <c r="AH121" s="84" t="n">
        <v>0</v>
      </c>
      <c r="AI121" s="84" t="n">
        <v>0</v>
      </c>
      <c r="AJ121" s="84">
        <f>SUMIFS(AH$8:AH$1039,$O$8:$O$1039,O121,$AB$8:$AB$1039,AB121,$R$8:$R$1039,R121,$AA$8:$AA$1039,"&lt;="&amp;AA121)</f>
        <v/>
      </c>
      <c r="AK121" s="84">
        <f>E12</f>
        <v/>
      </c>
      <c r="AL121" s="84">
        <f>E18</f>
        <v/>
      </c>
      <c r="AM121" s="84">
        <f>MAX(0,AJ121-AK121)</f>
        <v/>
      </c>
      <c r="AN121" s="84">
        <f>IF(AM121=0,AH121,IF(AM121&gt;=AH121,0,AH121-AM121))</f>
        <v/>
      </c>
      <c r="AO121" s="84">
        <f>IF(AM121&gt;=AH121,AI121,AI121*AM121/AH121)</f>
        <v/>
      </c>
      <c r="AP121">
        <f t="array" ref="AP121">INDEX($AU$8:$BB$25,6*(R121-1)+MATCH(AB121,$AS$8:$AS$13,0),MATCH(O121,$AU$7:$BB$7,0))</f>
        <v/>
      </c>
    </row>
    <row r="122" ht="14.25" customHeight="1">
      <c r="O122" s="43" t="inlineStr">
        <is>
          <t>Q1’26</t>
        </is>
      </c>
      <c r="P122" s="43" t="n">
        <v>3</v>
      </c>
      <c r="Q122" s="43" t="n">
        <v>13</v>
      </c>
      <c r="R122" s="43" t="n">
        <v>1</v>
      </c>
      <c r="S122" s="45" t="n">
        <v>0</v>
      </c>
      <c r="T122">
        <f>(S122+S123+S124)=N4</f>
        <v/>
      </c>
      <c r="X122" s="84">
        <f>MAX(S119-S122,0)</f>
        <v/>
      </c>
      <c r="Y122" s="83" t="n">
        <v>0</v>
      </c>
      <c r="AA122" s="84" t="n">
        <v>2</v>
      </c>
      <c r="AB122" s="84" t="inlineStr">
        <is>
          <t>F</t>
        </is>
      </c>
      <c r="AC122" s="84" t="inlineStr">
        <is>
          <t>F+</t>
        </is>
      </c>
      <c r="AD122" s="84" t="n">
        <v>20</v>
      </c>
      <c r="AE122" s="84" t="n">
        <v>18</v>
      </c>
      <c r="AF122" s="84" t="n">
        <v>0.8</v>
      </c>
      <c r="AG122" s="84" t="n">
        <v>0.9</v>
      </c>
      <c r="AH122" s="84" t="n">
        <v>0</v>
      </c>
      <c r="AI122" s="84" t="n">
        <v>0</v>
      </c>
      <c r="AJ122" s="84">
        <f>SUMIFS(AH$8:AH$1039,$O$8:$O$1039,O122,$AB$8:$AB$1039,AB122,$R$8:$R$1039,R122,$AA$8:$AA$1039,"&lt;="&amp;AA122)</f>
        <v/>
      </c>
      <c r="AK122" s="84">
        <f>C13</f>
        <v/>
      </c>
      <c r="AL122" s="84">
        <f>C19</f>
        <v/>
      </c>
      <c r="AM122" s="84">
        <f>MAX(0,AJ122-AK122)</f>
        <v/>
      </c>
      <c r="AN122" s="84">
        <f>IF(AM122=0,AH122,IF(AM122&gt;=AH122,0,AH122-AM122))</f>
        <v/>
      </c>
      <c r="AO122" s="84">
        <f>IF(AM122&gt;=AH122,AI122,AI122*AM122/AH122)</f>
        <v/>
      </c>
      <c r="AP122">
        <f t="array" ref="AP122">INDEX($AU$8:$BB$25,6*(R122-1)+MATCH(AB122,$AS$8:$AS$13,0),MATCH(O122,$AU$7:$BB$7,0))</f>
        <v/>
      </c>
    </row>
    <row r="123" ht="14.25" customHeight="1">
      <c r="O123" s="43" t="inlineStr">
        <is>
          <t>Q1’26</t>
        </is>
      </c>
      <c r="P123" s="43" t="n">
        <v>3</v>
      </c>
      <c r="Q123" s="43" t="n">
        <v>13</v>
      </c>
      <c r="R123" s="43" t="n">
        <v>2</v>
      </c>
      <c r="S123" s="45" t="n">
        <v>397.843649815043</v>
      </c>
      <c r="T123">
        <f>(S122+S123+S124)=N4</f>
        <v/>
      </c>
      <c r="X123" s="84">
        <f>MAX(S120-S123,0)</f>
        <v/>
      </c>
      <c r="Y123" s="83" t="n">
        <v>0</v>
      </c>
      <c r="AA123" s="84" t="n">
        <v>2</v>
      </c>
      <c r="AB123" s="84" t="inlineStr">
        <is>
          <t>F</t>
        </is>
      </c>
      <c r="AC123" s="84" t="inlineStr">
        <is>
          <t>F+</t>
        </is>
      </c>
      <c r="AD123" s="84" t="n">
        <v>20</v>
      </c>
      <c r="AE123" s="84" t="n">
        <v>18</v>
      </c>
      <c r="AF123" s="84" t="n">
        <v>0.8</v>
      </c>
      <c r="AG123" s="84" t="n">
        <v>0.9</v>
      </c>
      <c r="AH123" s="84" t="n">
        <v>0</v>
      </c>
      <c r="AI123" s="84" t="n">
        <v>0</v>
      </c>
      <c r="AJ123" s="84">
        <f>SUMIFS(AH$8:AH$1039,$O$8:$O$1039,O123,$AB$8:$AB$1039,AB123,$R$8:$R$1039,R123,$AA$8:$AA$1039,"&lt;="&amp;AA123)</f>
        <v/>
      </c>
      <c r="AK123" s="84">
        <f>D13</f>
        <v/>
      </c>
      <c r="AL123" s="84">
        <f>D19</f>
        <v/>
      </c>
      <c r="AM123" s="84">
        <f>MAX(0,AJ123-AK123)</f>
        <v/>
      </c>
      <c r="AN123" s="84">
        <f>IF(AM123=0,AH123,IF(AM123&gt;=AH123,0,AH123-AM123))</f>
        <v/>
      </c>
      <c r="AO123" s="84">
        <f>IF(AM123&gt;=AH123,AI123,AI123*AM123/AH123)</f>
        <v/>
      </c>
      <c r="AP123">
        <f t="array" ref="AP123">INDEX($AU$8:$BB$25,6*(R123-1)+MATCH(AB123,$AS$8:$AS$13,0),MATCH(O123,$AU$7:$BB$7,0))</f>
        <v/>
      </c>
    </row>
    <row r="124" ht="14.25" customHeight="1">
      <c r="O124" s="43" t="inlineStr">
        <is>
          <t>Q1’26</t>
        </is>
      </c>
      <c r="P124" s="43" t="n">
        <v>3</v>
      </c>
      <c r="Q124" s="43" t="n">
        <v>13</v>
      </c>
      <c r="R124" s="43" t="n">
        <v>3</v>
      </c>
      <c r="S124" s="45" t="n">
        <v>2602.156350184957</v>
      </c>
      <c r="T124">
        <f>(S122+S123+S124)=N4</f>
        <v/>
      </c>
      <c r="X124" s="84">
        <f>MAX(S121-S124,0)</f>
        <v/>
      </c>
      <c r="Y124" s="83" t="n">
        <v>0</v>
      </c>
      <c r="AA124" s="84" t="n">
        <v>2</v>
      </c>
      <c r="AB124" s="84" t="inlineStr">
        <is>
          <t>F</t>
        </is>
      </c>
      <c r="AC124" s="84" t="inlineStr">
        <is>
          <t>F+</t>
        </is>
      </c>
      <c r="AD124" s="84" t="n">
        <v>20</v>
      </c>
      <c r="AE124" s="84" t="n">
        <v>18</v>
      </c>
      <c r="AF124" s="84" t="n">
        <v>0.8</v>
      </c>
      <c r="AG124" s="84" t="n">
        <v>0.9</v>
      </c>
      <c r="AH124" s="84" t="n">
        <v>0</v>
      </c>
      <c r="AI124" s="84" t="n">
        <v>0</v>
      </c>
      <c r="AJ124" s="84">
        <f>SUMIFS(AH$8:AH$1039,$O$8:$O$1039,O124,$AB$8:$AB$1039,AB124,$R$8:$R$1039,R124,$AA$8:$AA$1039,"&lt;="&amp;AA124)</f>
        <v/>
      </c>
      <c r="AK124" s="84">
        <f>E13</f>
        <v/>
      </c>
      <c r="AL124" s="84">
        <f>E19</f>
        <v/>
      </c>
      <c r="AM124" s="84">
        <f>MAX(0,AJ124-AK124)</f>
        <v/>
      </c>
      <c r="AN124" s="84">
        <f>IF(AM124=0,AH124,IF(AM124&gt;=AH124,0,AH124-AM124))</f>
        <v/>
      </c>
      <c r="AO124" s="84">
        <f>IF(AM124&gt;=AH124,AI124,AI124*AM124/AH124)</f>
        <v/>
      </c>
      <c r="AP124">
        <f t="array" ref="AP124">INDEX($AU$8:$BB$25,6*(R124-1)+MATCH(AB124,$AS$8:$AS$13,0),MATCH(O124,$AU$7:$BB$7,0))</f>
        <v/>
      </c>
    </row>
    <row r="125" ht="14.25" customHeight="1">
      <c r="O125" s="43" t="inlineStr">
        <is>
          <t>Q1’26</t>
        </is>
      </c>
      <c r="P125" s="43" t="n">
        <v>3</v>
      </c>
      <c r="Q125" s="43" t="n">
        <v>14</v>
      </c>
      <c r="R125" s="43" t="n">
        <v>1</v>
      </c>
      <c r="S125" s="45" t="n">
        <v>0</v>
      </c>
      <c r="T125">
        <f>(S125+S126+S127)=N4</f>
        <v/>
      </c>
      <c r="X125" s="84">
        <f>MAX(S122-S125,0)</f>
        <v/>
      </c>
      <c r="Y125" s="83" t="n">
        <v>0</v>
      </c>
      <c r="AA125" s="84" t="n">
        <v>2</v>
      </c>
      <c r="AB125" s="84" t="inlineStr">
        <is>
          <t>C</t>
        </is>
      </c>
      <c r="AC125" s="84" t="inlineStr">
        <is>
          <t>C+</t>
        </is>
      </c>
      <c r="AD125" s="84" t="n">
        <v>12</v>
      </c>
      <c r="AE125" s="84" t="n">
        <v>11</v>
      </c>
      <c r="AF125" s="84" t="n">
        <v>0.8</v>
      </c>
      <c r="AG125" s="84" t="n">
        <v>0.86</v>
      </c>
      <c r="AH125" s="84" t="n">
        <v>0</v>
      </c>
      <c r="AI125" s="84" t="n">
        <v>0</v>
      </c>
      <c r="AJ125" s="84">
        <f>SUMIFS(AH$8:AH$1039,$O$8:$O$1039,O125,$AB$8:$AB$1039,AB125,$R$8:$R$1039,R125,$AA$8:$AA$1039,"&lt;="&amp;AA125)</f>
        <v/>
      </c>
      <c r="AK125" s="84">
        <f>C10</f>
        <v/>
      </c>
      <c r="AL125" s="84">
        <f>C16</f>
        <v/>
      </c>
      <c r="AM125" s="84">
        <f>MAX(0,AJ125-AK125)</f>
        <v/>
      </c>
      <c r="AN125" s="84">
        <f>IF(AM125=0,AH125,IF(AM125&gt;=AH125,0,AH125-AM125))</f>
        <v/>
      </c>
      <c r="AO125" s="84">
        <f>IF(AM125&gt;=AH125,AI125,AI125*AM125/AH125)</f>
        <v/>
      </c>
      <c r="AP125">
        <f t="array" ref="AP125">INDEX($AU$8:$BB$25,6*(R125-1)+MATCH(AB125,$AS$8:$AS$13,0),MATCH(O125,$AU$7:$BB$7,0))</f>
        <v/>
      </c>
    </row>
    <row r="126" ht="14.25" customHeight="1">
      <c r="O126" s="43" t="inlineStr">
        <is>
          <t>Q1’26</t>
        </is>
      </c>
      <c r="P126" s="43" t="n">
        <v>3</v>
      </c>
      <c r="Q126" s="43" t="n">
        <v>14</v>
      </c>
      <c r="R126" s="43" t="n">
        <v>2</v>
      </c>
      <c r="S126" s="45" t="n">
        <v>397.843649815043</v>
      </c>
      <c r="T126">
        <f>(S125+S126+S127)=N4</f>
        <v/>
      </c>
      <c r="X126" s="84">
        <f>MAX(S123-S126,0)</f>
        <v/>
      </c>
      <c r="Y126" s="83" t="n">
        <v>0</v>
      </c>
      <c r="AA126" s="84" t="n">
        <v>2</v>
      </c>
      <c r="AB126" s="84" t="inlineStr">
        <is>
          <t>C</t>
        </is>
      </c>
      <c r="AC126" s="84" t="inlineStr">
        <is>
          <t>C+</t>
        </is>
      </c>
      <c r="AD126" s="84" t="n">
        <v>12</v>
      </c>
      <c r="AE126" s="84" t="n">
        <v>11</v>
      </c>
      <c r="AF126" s="84" t="n">
        <v>0.8</v>
      </c>
      <c r="AG126" s="84" t="n">
        <v>0.86</v>
      </c>
      <c r="AH126" s="84" t="n">
        <v>0</v>
      </c>
      <c r="AI126" s="84" t="n">
        <v>0</v>
      </c>
      <c r="AJ126" s="84">
        <f>SUMIFS(AH$8:AH$1039,$O$8:$O$1039,O126,$AB$8:$AB$1039,AB126,$R$8:$R$1039,R126,$AA$8:$AA$1039,"&lt;="&amp;AA126)</f>
        <v/>
      </c>
      <c r="AK126" s="84">
        <f>D10</f>
        <v/>
      </c>
      <c r="AL126" s="84">
        <f>D16</f>
        <v/>
      </c>
      <c r="AM126" s="84">
        <f>MAX(0,AJ126-AK126)</f>
        <v/>
      </c>
      <c r="AN126" s="84">
        <f>IF(AM126=0,AH126,IF(AM126&gt;=AH126,0,AH126-AM126))</f>
        <v/>
      </c>
      <c r="AO126" s="84">
        <f>IF(AM126&gt;=AH126,AI126,AI126*AM126/AH126)</f>
        <v/>
      </c>
      <c r="AP126">
        <f t="array" ref="AP126">INDEX($AU$8:$BB$25,6*(R126-1)+MATCH(AB126,$AS$8:$AS$13,0),MATCH(O126,$AU$7:$BB$7,0))</f>
        <v/>
      </c>
    </row>
    <row r="127" ht="14.25" customHeight="1">
      <c r="O127" s="43" t="inlineStr">
        <is>
          <t>Q1’26</t>
        </is>
      </c>
      <c r="P127" s="43" t="n">
        <v>3</v>
      </c>
      <c r="Q127" s="43" t="n">
        <v>14</v>
      </c>
      <c r="R127" s="43" t="n">
        <v>3</v>
      </c>
      <c r="S127" s="45" t="n">
        <v>2602.156350184957</v>
      </c>
      <c r="T127">
        <f>(S125+S126+S127)=N4</f>
        <v/>
      </c>
      <c r="X127" s="84">
        <f>MAX(S124-S127,0)</f>
        <v/>
      </c>
      <c r="Y127" s="83" t="n">
        <v>0</v>
      </c>
      <c r="AA127" s="84" t="n">
        <v>2</v>
      </c>
      <c r="AB127" s="84" t="inlineStr">
        <is>
          <t>C</t>
        </is>
      </c>
      <c r="AC127" s="84" t="inlineStr">
        <is>
          <t>C+</t>
        </is>
      </c>
      <c r="AD127" s="84" t="n">
        <v>12</v>
      </c>
      <c r="AE127" s="84" t="n">
        <v>11</v>
      </c>
      <c r="AF127" s="84" t="n">
        <v>0.8</v>
      </c>
      <c r="AG127" s="84" t="n">
        <v>0.86</v>
      </c>
      <c r="AH127" s="84" t="n">
        <v>0</v>
      </c>
      <c r="AI127" s="84" t="n">
        <v>0</v>
      </c>
      <c r="AJ127" s="84">
        <f>SUMIFS(AH$8:AH$1039,$O$8:$O$1039,O127,$AB$8:$AB$1039,AB127,$R$8:$R$1039,R127,$AA$8:$AA$1039,"&lt;="&amp;AA127)</f>
        <v/>
      </c>
      <c r="AK127" s="84">
        <f>E10</f>
        <v/>
      </c>
      <c r="AL127" s="84">
        <f>E16</f>
        <v/>
      </c>
      <c r="AM127" s="84">
        <f>MAX(0,AJ127-AK127)</f>
        <v/>
      </c>
      <c r="AN127" s="84">
        <f>IF(AM127=0,AH127,IF(AM127&gt;=AH127,0,AH127-AM127))</f>
        <v/>
      </c>
      <c r="AO127" s="84">
        <f>IF(AM127&gt;=AH127,AI127,AI127*AM127/AH127)</f>
        <v/>
      </c>
      <c r="AP127">
        <f t="array" ref="AP127">INDEX($AU$8:$BB$25,6*(R127-1)+MATCH(AB127,$AS$8:$AS$13,0),MATCH(O127,$AU$7:$BB$7,0))</f>
        <v/>
      </c>
    </row>
    <row r="128" ht="14.25" customHeight="1">
      <c r="O128" s="43" t="inlineStr">
        <is>
          <t>Q1’26</t>
        </is>
      </c>
      <c r="P128" s="43" t="n">
        <v>3</v>
      </c>
      <c r="Q128" s="43" t="n">
        <v>15</v>
      </c>
      <c r="R128" s="43" t="n">
        <v>1</v>
      </c>
      <c r="S128" s="45" t="n">
        <v>0</v>
      </c>
      <c r="T128">
        <f>(S128+S129+S130)=N4</f>
        <v/>
      </c>
      <c r="X128" s="84">
        <f>MAX(S125-S128,0)</f>
        <v/>
      </c>
      <c r="Y128" s="83" t="n">
        <v>0</v>
      </c>
      <c r="AA128" s="84" t="n">
        <v>2</v>
      </c>
      <c r="AB128" s="84" t="inlineStr">
        <is>
          <t>D</t>
        </is>
      </c>
      <c r="AC128" s="84" t="inlineStr">
        <is>
          <t>D+</t>
        </is>
      </c>
      <c r="AD128" s="84" t="n">
        <v>11</v>
      </c>
      <c r="AE128" s="84" t="n">
        <v>10</v>
      </c>
      <c r="AF128" s="84" t="n">
        <v>0.8</v>
      </c>
      <c r="AG128" s="84" t="n">
        <v>0.88</v>
      </c>
      <c r="AH128" s="84" t="n">
        <v>0</v>
      </c>
      <c r="AI128" s="84" t="n">
        <v>0</v>
      </c>
      <c r="AJ128" s="84">
        <f>SUMIFS(AH$8:AH$1039,$O$8:$O$1039,O128,$AB$8:$AB$1039,AB128,$R$8:$R$1039,R128,$AA$8:$AA$1039,"&lt;="&amp;AA128)</f>
        <v/>
      </c>
      <c r="AK128" s="84">
        <f>C11</f>
        <v/>
      </c>
      <c r="AL128" s="84">
        <f>C17</f>
        <v/>
      </c>
      <c r="AM128" s="84">
        <f>MAX(0,AJ128-AK128)</f>
        <v/>
      </c>
      <c r="AN128" s="84">
        <f>IF(AM128=0,AH128,IF(AM128&gt;=AH128,0,AH128-AM128))</f>
        <v/>
      </c>
      <c r="AO128" s="84">
        <f>IF(AM128&gt;=AH128,AI128,AI128*AM128/AH128)</f>
        <v/>
      </c>
      <c r="AP128">
        <f t="array" ref="AP128">INDEX($AU$8:$BB$25,6*(R128-1)+MATCH(AB128,$AS$8:$AS$13,0),MATCH(O128,$AU$7:$BB$7,0))</f>
        <v/>
      </c>
    </row>
    <row r="129" ht="14.25" customHeight="1">
      <c r="O129" s="43" t="inlineStr">
        <is>
          <t>Q1’26</t>
        </is>
      </c>
      <c r="P129" s="43" t="n">
        <v>3</v>
      </c>
      <c r="Q129" s="43" t="n">
        <v>15</v>
      </c>
      <c r="R129" s="43" t="n">
        <v>2</v>
      </c>
      <c r="S129" s="45" t="n">
        <v>397.843649815043</v>
      </c>
      <c r="T129">
        <f>(S128+S129+S130)=N4</f>
        <v/>
      </c>
      <c r="X129" s="84">
        <f>MAX(S126-S129,0)</f>
        <v/>
      </c>
      <c r="Y129" s="83" t="n">
        <v>0</v>
      </c>
      <c r="AA129" s="84" t="n">
        <v>2</v>
      </c>
      <c r="AB129" s="84" t="inlineStr">
        <is>
          <t>D</t>
        </is>
      </c>
      <c r="AC129" s="84" t="inlineStr">
        <is>
          <t>D+</t>
        </is>
      </c>
      <c r="AD129" s="84" t="n">
        <v>11</v>
      </c>
      <c r="AE129" s="84" t="n">
        <v>10</v>
      </c>
      <c r="AF129" s="84" t="n">
        <v>0.8</v>
      </c>
      <c r="AG129" s="84" t="n">
        <v>0.88</v>
      </c>
      <c r="AH129" s="84" t="n">
        <v>0</v>
      </c>
      <c r="AI129" s="84" t="n">
        <v>0</v>
      </c>
      <c r="AJ129" s="84">
        <f>SUMIFS(AH$8:AH$1039,$O$8:$O$1039,O129,$AB$8:$AB$1039,AB129,$R$8:$R$1039,R129,$AA$8:$AA$1039,"&lt;="&amp;AA129)</f>
        <v/>
      </c>
      <c r="AK129" s="84">
        <f>D11</f>
        <v/>
      </c>
      <c r="AL129" s="84">
        <f>D17</f>
        <v/>
      </c>
      <c r="AM129" s="84">
        <f>MAX(0,AJ129-AK129)</f>
        <v/>
      </c>
      <c r="AN129" s="84">
        <f>IF(AM129=0,AH129,IF(AM129&gt;=AH129,0,AH129-AM129))</f>
        <v/>
      </c>
      <c r="AO129" s="84">
        <f>IF(AM129&gt;=AH129,AI129,AI129*AM129/AH129)</f>
        <v/>
      </c>
      <c r="AP129">
        <f t="array" ref="AP129">INDEX($AU$8:$BB$25,6*(R129-1)+MATCH(AB129,$AS$8:$AS$13,0),MATCH(O129,$AU$7:$BB$7,0))</f>
        <v/>
      </c>
    </row>
    <row r="130" ht="14.25" customHeight="1">
      <c r="O130" s="43" t="inlineStr">
        <is>
          <t>Q1’26</t>
        </is>
      </c>
      <c r="P130" s="43" t="n">
        <v>3</v>
      </c>
      <c r="Q130" s="43" t="n">
        <v>15</v>
      </c>
      <c r="R130" s="43" t="n">
        <v>3</v>
      </c>
      <c r="S130" s="45" t="n">
        <v>2602.156350184957</v>
      </c>
      <c r="T130">
        <f>(S128+S129+S130)=N4</f>
        <v/>
      </c>
      <c r="X130" s="84">
        <f>MAX(S127-S130,0)</f>
        <v/>
      </c>
      <c r="Y130" s="83" t="n">
        <v>0</v>
      </c>
      <c r="AA130" s="84" t="n">
        <v>2</v>
      </c>
      <c r="AB130" s="84" t="inlineStr">
        <is>
          <t>D</t>
        </is>
      </c>
      <c r="AC130" s="84" t="inlineStr">
        <is>
          <t>D+</t>
        </is>
      </c>
      <c r="AD130" s="84" t="n">
        <v>11</v>
      </c>
      <c r="AE130" s="84" t="n">
        <v>10</v>
      </c>
      <c r="AF130" s="84" t="n">
        <v>0.8</v>
      </c>
      <c r="AG130" s="84" t="n">
        <v>0.88</v>
      </c>
      <c r="AH130" s="84" t="n">
        <v>0</v>
      </c>
      <c r="AI130" s="84" t="n">
        <v>0</v>
      </c>
      <c r="AJ130" s="84">
        <f>SUMIFS(AH$8:AH$1039,$O$8:$O$1039,O130,$AB$8:$AB$1039,AB130,$R$8:$R$1039,R130,$AA$8:$AA$1039,"&lt;="&amp;AA130)</f>
        <v/>
      </c>
      <c r="AK130" s="84">
        <f>E11</f>
        <v/>
      </c>
      <c r="AL130" s="84">
        <f>E17</f>
        <v/>
      </c>
      <c r="AM130" s="84">
        <f>MAX(0,AJ130-AK130)</f>
        <v/>
      </c>
      <c r="AN130" s="84">
        <f>IF(AM130=0,AH130,IF(AM130&gt;=AH130,0,AH130-AM130))</f>
        <v/>
      </c>
      <c r="AO130" s="84">
        <f>IF(AM130&gt;=AH130,AI130,AI130*AM130/AH130)</f>
        <v/>
      </c>
      <c r="AP130">
        <f t="array" ref="AP130">INDEX($AU$8:$BB$25,6*(R130-1)+MATCH(AB130,$AS$8:$AS$13,0),MATCH(O130,$AU$7:$BB$7,0))</f>
        <v/>
      </c>
    </row>
    <row r="131" ht="14.25" customHeight="1">
      <c r="O131" s="43" t="inlineStr">
        <is>
          <t>Q1’26</t>
        </is>
      </c>
      <c r="P131" s="43" t="n">
        <v>3</v>
      </c>
      <c r="Q131" s="43" t="n">
        <v>16</v>
      </c>
      <c r="R131" s="43" t="n">
        <v>1</v>
      </c>
      <c r="S131" s="45" t="n">
        <v>0</v>
      </c>
      <c r="T131">
        <f>(S131+S132+S133)=N4</f>
        <v/>
      </c>
      <c r="X131" s="84">
        <f>MAX(S128-S131,0)</f>
        <v/>
      </c>
      <c r="Y131" s="83" t="n">
        <v>0</v>
      </c>
      <c r="AA131" s="84" t="n">
        <v>4</v>
      </c>
      <c r="AB131" s="84" t="inlineStr">
        <is>
          <t>C</t>
        </is>
      </c>
      <c r="AC131" s="84" t="inlineStr">
        <is>
          <t>C+</t>
        </is>
      </c>
      <c r="AD131" s="84" t="n">
        <v>25</v>
      </c>
      <c r="AE131" s="84" t="n">
        <v>20</v>
      </c>
      <c r="AF131" s="84" t="n">
        <v>0.8</v>
      </c>
      <c r="AG131" s="84" t="n">
        <v>0.86</v>
      </c>
      <c r="AH131" s="84" t="n">
        <v>0</v>
      </c>
      <c r="AI131" s="84" t="n">
        <v>0</v>
      </c>
      <c r="AJ131" s="84">
        <f>SUMIFS(AH$8:AH$1039,$O$8:$O$1039,O131,$AB$8:$AB$1039,AB131,$R$8:$R$1039,R131,$AA$8:$AA$1039,"&lt;="&amp;AA131)</f>
        <v/>
      </c>
      <c r="AK131" s="84">
        <f>C10</f>
        <v/>
      </c>
      <c r="AL131" s="84">
        <f>C16</f>
        <v/>
      </c>
      <c r="AM131" s="84">
        <f>MAX(0,AJ131-AK131)</f>
        <v/>
      </c>
      <c r="AN131" s="84">
        <f>IF(AM131=0,AH131,IF(AM131&gt;=AH131,0,AH131-AM131))</f>
        <v/>
      </c>
      <c r="AO131" s="84">
        <f>IF(AM131&gt;=AH131,AI131,AI131*AM131/AH131)</f>
        <v/>
      </c>
      <c r="AP131">
        <f t="array" ref="AP131">INDEX($AU$8:$BB$25,6*(R131-1)+MATCH(AB131,$AS$8:$AS$13,0),MATCH(O131,$AU$7:$BB$7,0))</f>
        <v/>
      </c>
    </row>
    <row r="132" ht="14.25" customHeight="1">
      <c r="O132" s="43" t="inlineStr">
        <is>
          <t>Q1’26</t>
        </is>
      </c>
      <c r="P132" s="43" t="n">
        <v>3</v>
      </c>
      <c r="Q132" s="43" t="n">
        <v>16</v>
      </c>
      <c r="R132" s="43" t="n">
        <v>2</v>
      </c>
      <c r="S132" s="45" t="n">
        <v>397.843649815043</v>
      </c>
      <c r="T132">
        <f>(S131+S132+S133)=N4</f>
        <v/>
      </c>
      <c r="X132" s="84">
        <f>MAX(S129-S132,0)</f>
        <v/>
      </c>
      <c r="Y132" s="83" t="n">
        <v>0</v>
      </c>
      <c r="AA132" s="84" t="n">
        <v>4</v>
      </c>
      <c r="AB132" s="84" t="inlineStr">
        <is>
          <t>C</t>
        </is>
      </c>
      <c r="AC132" s="84" t="inlineStr">
        <is>
          <t>C+</t>
        </is>
      </c>
      <c r="AD132" s="84" t="n">
        <v>25</v>
      </c>
      <c r="AE132" s="84" t="n">
        <v>20</v>
      </c>
      <c r="AF132" s="84" t="n">
        <v>0.8</v>
      </c>
      <c r="AG132" s="84" t="n">
        <v>0.86</v>
      </c>
      <c r="AH132" s="84" t="n">
        <v>0</v>
      </c>
      <c r="AI132" s="84" t="n">
        <v>0</v>
      </c>
      <c r="AJ132" s="84">
        <f>SUMIFS(AH$8:AH$1039,$O$8:$O$1039,O132,$AB$8:$AB$1039,AB132,$R$8:$R$1039,R132,$AA$8:$AA$1039,"&lt;="&amp;AA132)</f>
        <v/>
      </c>
      <c r="AK132" s="84">
        <f>D10</f>
        <v/>
      </c>
      <c r="AL132" s="84">
        <f>D16</f>
        <v/>
      </c>
      <c r="AM132" s="84">
        <f>MAX(0,AJ132-AK132)</f>
        <v/>
      </c>
      <c r="AN132" s="84">
        <f>IF(AM132=0,AH132,IF(AM132&gt;=AH132,0,AH132-AM132))</f>
        <v/>
      </c>
      <c r="AO132" s="84">
        <f>IF(AM132&gt;=AH132,AI132,AI132*AM132/AH132)</f>
        <v/>
      </c>
      <c r="AP132">
        <f t="array" ref="AP132">INDEX($AU$8:$BB$25,6*(R132-1)+MATCH(AB132,$AS$8:$AS$13,0),MATCH(O132,$AU$7:$BB$7,0))</f>
        <v/>
      </c>
    </row>
    <row r="133" ht="14.25" customHeight="1">
      <c r="O133" s="43" t="inlineStr">
        <is>
          <t>Q1’26</t>
        </is>
      </c>
      <c r="P133" s="43" t="n">
        <v>3</v>
      </c>
      <c r="Q133" s="43" t="n">
        <v>16</v>
      </c>
      <c r="R133" s="43" t="n">
        <v>3</v>
      </c>
      <c r="S133" s="45" t="n">
        <v>2602.156350184957</v>
      </c>
      <c r="T133">
        <f>(S131+S132+S133)=N4</f>
        <v/>
      </c>
      <c r="X133" s="84">
        <f>MAX(S130-S133,0)</f>
        <v/>
      </c>
      <c r="Y133" s="83" t="n">
        <v>0</v>
      </c>
      <c r="AA133" s="84" t="n">
        <v>4</v>
      </c>
      <c r="AB133" s="84" t="inlineStr">
        <is>
          <t>C</t>
        </is>
      </c>
      <c r="AC133" s="84" t="inlineStr">
        <is>
          <t>C+</t>
        </is>
      </c>
      <c r="AD133" s="84" t="n">
        <v>25</v>
      </c>
      <c r="AE133" s="84" t="n">
        <v>20</v>
      </c>
      <c r="AF133" s="84" t="n">
        <v>0.8</v>
      </c>
      <c r="AG133" s="84" t="n">
        <v>0.86</v>
      </c>
      <c r="AH133" s="84" t="n">
        <v>0</v>
      </c>
      <c r="AI133" s="84" t="n">
        <v>0</v>
      </c>
      <c r="AJ133" s="84">
        <f>SUMIFS(AH$8:AH$1039,$O$8:$O$1039,O133,$AB$8:$AB$1039,AB133,$R$8:$R$1039,R133,$AA$8:$AA$1039,"&lt;="&amp;AA133)</f>
        <v/>
      </c>
      <c r="AK133" s="84">
        <f>E10</f>
        <v/>
      </c>
      <c r="AL133" s="84">
        <f>E16</f>
        <v/>
      </c>
      <c r="AM133" s="84">
        <f>MAX(0,AJ133-AK133)</f>
        <v/>
      </c>
      <c r="AN133" s="84">
        <f>IF(AM133=0,AH133,IF(AM133&gt;=AH133,0,AH133-AM133))</f>
        <v/>
      </c>
      <c r="AO133" s="84">
        <f>IF(AM133&gt;=AH133,AI133,AI133*AM133/AH133)</f>
        <v/>
      </c>
      <c r="AP133">
        <f t="array" ref="AP133">INDEX($AU$8:$BB$25,6*(R133-1)+MATCH(AB133,$AS$8:$AS$13,0),MATCH(O133,$AU$7:$BB$7,0))</f>
        <v/>
      </c>
    </row>
    <row r="134" ht="14.25" customHeight="1">
      <c r="O134" s="43" t="inlineStr">
        <is>
          <t>Q1’26</t>
        </is>
      </c>
      <c r="P134" s="43" t="n">
        <v>3</v>
      </c>
      <c r="Q134" s="43" t="n">
        <v>17</v>
      </c>
      <c r="R134" s="43" t="n">
        <v>1</v>
      </c>
      <c r="S134" s="45" t="n">
        <v>0</v>
      </c>
      <c r="T134">
        <f>(S134+S135+S136)=N4</f>
        <v/>
      </c>
      <c r="X134" s="84">
        <f>MAX(S131-S134,0)</f>
        <v/>
      </c>
      <c r="Y134" s="83" t="n">
        <v>0</v>
      </c>
      <c r="AA134" s="84" t="n">
        <v>1</v>
      </c>
      <c r="AB134" s="84" t="inlineStr">
        <is>
          <t>F</t>
        </is>
      </c>
      <c r="AC134" s="84" t="inlineStr">
        <is>
          <t>F+</t>
        </is>
      </c>
      <c r="AD134" s="84" t="n">
        <v>14</v>
      </c>
      <c r="AE134" s="84" t="n">
        <v>13</v>
      </c>
      <c r="AF134" s="84" t="n">
        <v>0.8</v>
      </c>
      <c r="AG134" s="84" t="n">
        <v>0.9</v>
      </c>
      <c r="AH134" s="84" t="n">
        <v>0</v>
      </c>
      <c r="AI134" s="84" t="n">
        <v>0</v>
      </c>
      <c r="AJ134" s="84">
        <f>SUMIFS(AH$8:AH$1039,$O$8:$O$1039,O134,$AB$8:$AB$1039,AB134,$R$8:$R$1039,R134,$AA$8:$AA$1039,"&lt;="&amp;AA134)</f>
        <v/>
      </c>
      <c r="AK134" s="84">
        <f>C13</f>
        <v/>
      </c>
      <c r="AL134" s="84">
        <f>C19</f>
        <v/>
      </c>
      <c r="AM134" s="84">
        <f>MAX(0,AJ134-AK134)</f>
        <v/>
      </c>
      <c r="AN134" s="84">
        <f>IF(AM134=0,AH134,IF(AM134&gt;=AH134,0,AH134-AM134))</f>
        <v/>
      </c>
      <c r="AO134" s="84">
        <f>IF(AM134&gt;=AH134,AI134,AI134*AM134/AH134)</f>
        <v/>
      </c>
      <c r="AP134">
        <f t="array" ref="AP134">INDEX($AU$8:$BB$25,6*(R134-1)+MATCH(AB134,$AS$8:$AS$13,0),MATCH(O134,$AU$7:$BB$7,0))</f>
        <v/>
      </c>
    </row>
    <row r="135" ht="14.25" customHeight="1">
      <c r="O135" s="43" t="inlineStr">
        <is>
          <t>Q1’26</t>
        </is>
      </c>
      <c r="P135" s="43" t="n">
        <v>3</v>
      </c>
      <c r="Q135" s="43" t="n">
        <v>17</v>
      </c>
      <c r="R135" s="43" t="n">
        <v>2</v>
      </c>
      <c r="S135" s="45" t="n">
        <v>397.843649815043</v>
      </c>
      <c r="T135">
        <f>(S134+S135+S136)=N4</f>
        <v/>
      </c>
      <c r="X135" s="84">
        <f>MAX(S132-S135,0)</f>
        <v/>
      </c>
      <c r="Y135" s="83" t="n">
        <v>0</v>
      </c>
      <c r="AA135" s="84" t="n">
        <v>1</v>
      </c>
      <c r="AB135" s="84" t="inlineStr">
        <is>
          <t>F</t>
        </is>
      </c>
      <c r="AC135" s="84" t="inlineStr">
        <is>
          <t>F+</t>
        </is>
      </c>
      <c r="AD135" s="84" t="n">
        <v>14</v>
      </c>
      <c r="AE135" s="84" t="n">
        <v>13</v>
      </c>
      <c r="AF135" s="84" t="n">
        <v>0.8</v>
      </c>
      <c r="AG135" s="84" t="n">
        <v>0.9</v>
      </c>
      <c r="AH135" s="84" t="n">
        <v>0</v>
      </c>
      <c r="AI135" s="84" t="n">
        <v>0</v>
      </c>
      <c r="AJ135" s="84">
        <f>SUMIFS(AH$8:AH$1039,$O$8:$O$1039,O135,$AB$8:$AB$1039,AB135,$R$8:$R$1039,R135,$AA$8:$AA$1039,"&lt;="&amp;AA135)</f>
        <v/>
      </c>
      <c r="AK135" s="84">
        <f>D13</f>
        <v/>
      </c>
      <c r="AL135" s="84">
        <f>D19</f>
        <v/>
      </c>
      <c r="AM135" s="84">
        <f>MAX(0,AJ135-AK135)</f>
        <v/>
      </c>
      <c r="AN135" s="84">
        <f>IF(AM135=0,AH135,IF(AM135&gt;=AH135,0,AH135-AM135))</f>
        <v/>
      </c>
      <c r="AO135" s="84">
        <f>IF(AM135&gt;=AH135,AI135,AI135*AM135/AH135)</f>
        <v/>
      </c>
      <c r="AP135">
        <f t="array" ref="AP135">INDEX($AU$8:$BB$25,6*(R135-1)+MATCH(AB135,$AS$8:$AS$13,0),MATCH(O135,$AU$7:$BB$7,0))</f>
        <v/>
      </c>
    </row>
    <row r="136" ht="14.25" customHeight="1">
      <c r="O136" s="43" t="inlineStr">
        <is>
          <t>Q1’26</t>
        </is>
      </c>
      <c r="P136" s="43" t="n">
        <v>3</v>
      </c>
      <c r="Q136" s="43" t="n">
        <v>17</v>
      </c>
      <c r="R136" s="43" t="n">
        <v>3</v>
      </c>
      <c r="S136" s="45" t="n">
        <v>2602.156350184957</v>
      </c>
      <c r="T136">
        <f>(S134+S135+S136)=N4</f>
        <v/>
      </c>
      <c r="X136" s="84">
        <f>MAX(S133-S136,0)</f>
        <v/>
      </c>
      <c r="Y136" s="83" t="n">
        <v>0</v>
      </c>
      <c r="AA136" s="84" t="n">
        <v>1</v>
      </c>
      <c r="AB136" s="84" t="inlineStr">
        <is>
          <t>F</t>
        </is>
      </c>
      <c r="AC136" s="84" t="inlineStr">
        <is>
          <t>F+</t>
        </is>
      </c>
      <c r="AD136" s="84" t="n">
        <v>14</v>
      </c>
      <c r="AE136" s="84" t="n">
        <v>13</v>
      </c>
      <c r="AF136" s="84" t="n">
        <v>0.8</v>
      </c>
      <c r="AG136" s="84" t="n">
        <v>0.9</v>
      </c>
      <c r="AH136" s="84" t="n">
        <v>0</v>
      </c>
      <c r="AI136" s="84" t="n">
        <v>0</v>
      </c>
      <c r="AJ136" s="84">
        <f>SUMIFS(AH$8:AH$1039,$O$8:$O$1039,O136,$AB$8:$AB$1039,AB136,$R$8:$R$1039,R136,$AA$8:$AA$1039,"&lt;="&amp;AA136)</f>
        <v/>
      </c>
      <c r="AK136" s="84">
        <f>E13</f>
        <v/>
      </c>
      <c r="AL136" s="84">
        <f>E19</f>
        <v/>
      </c>
      <c r="AM136" s="84">
        <f>MAX(0,AJ136-AK136)</f>
        <v/>
      </c>
      <c r="AN136" s="84">
        <f>IF(AM136=0,AH136,IF(AM136&gt;=AH136,0,AH136-AM136))</f>
        <v/>
      </c>
      <c r="AO136" s="84">
        <f>IF(AM136&gt;=AH136,AI136,AI136*AM136/AH136)</f>
        <v/>
      </c>
      <c r="AP136">
        <f t="array" ref="AP136">INDEX($AU$8:$BB$25,6*(R136-1)+MATCH(AB136,$AS$8:$AS$13,0),MATCH(O136,$AU$7:$BB$7,0))</f>
        <v/>
      </c>
    </row>
    <row r="137" ht="14.25" customHeight="1">
      <c r="O137" s="43" t="inlineStr">
        <is>
          <t>Q2’26</t>
        </is>
      </c>
      <c r="P137" s="43" t="n">
        <v>1</v>
      </c>
      <c r="Q137" s="43" t="n">
        <v>1</v>
      </c>
      <c r="R137" s="43" t="n">
        <v>1</v>
      </c>
      <c r="S137" s="45" t="n">
        <v>7159.114812611544</v>
      </c>
      <c r="T137">
        <f>(S137+S138+S139)=O2</f>
        <v/>
      </c>
      <c r="X137" s="84" t="n">
        <v>0</v>
      </c>
      <c r="Y137" s="83" t="n">
        <v>0</v>
      </c>
      <c r="AA137" s="84" t="n">
        <v>4</v>
      </c>
      <c r="AB137" s="84" t="inlineStr">
        <is>
          <t>D</t>
        </is>
      </c>
      <c r="AC137" s="84" t="inlineStr">
        <is>
          <t>D+</t>
        </is>
      </c>
      <c r="AD137" s="84" t="n">
        <v>14</v>
      </c>
      <c r="AE137" s="84" t="n">
        <v>12</v>
      </c>
      <c r="AF137" s="84" t="n">
        <v>0.8</v>
      </c>
      <c r="AG137" s="84" t="n">
        <v>0.88</v>
      </c>
      <c r="AH137" s="84" t="n">
        <v>0</v>
      </c>
      <c r="AI137" s="84" t="n">
        <v>0</v>
      </c>
      <c r="AJ137" s="84">
        <f>SUMIFS(AH$8:AH$1039,$O$8:$O$1039,O137,$AB$8:$AB$1039,AB137,$R$8:$R$1039,R137,$AA$8:$AA$1039,"&lt;="&amp;AA137)</f>
        <v/>
      </c>
      <c r="AK137" s="84">
        <f>C23</f>
        <v/>
      </c>
      <c r="AL137" s="84">
        <f>C29</f>
        <v/>
      </c>
      <c r="AM137" s="84">
        <f>MAX(0,AJ137-AK137)</f>
        <v/>
      </c>
      <c r="AN137" s="84">
        <f>IF(AM137=0,AH137,IF(AM137&gt;=AH137,0,AH137-AM137))</f>
        <v/>
      </c>
      <c r="AO137" s="84">
        <f>IF(AM137&gt;=AH137,AI137,AI137*AM137/AH137)</f>
        <v/>
      </c>
      <c r="AP137">
        <f t="array" ref="AP137">INDEX($AU$8:$BB$25,6*(R137-1)+MATCH(AB137,$AS$8:$AS$13,0),MATCH(O137,$AU$7:$BB$7,0))</f>
        <v/>
      </c>
    </row>
    <row r="138" ht="14.25" customHeight="1">
      <c r="O138" s="43" t="inlineStr">
        <is>
          <t>Q2’26</t>
        </is>
      </c>
      <c r="P138" s="43" t="n">
        <v>1</v>
      </c>
      <c r="Q138" s="43" t="n">
        <v>1</v>
      </c>
      <c r="R138" s="43" t="n">
        <v>2</v>
      </c>
      <c r="S138" s="45" t="n">
        <v>1900.085187388455</v>
      </c>
      <c r="T138">
        <f>(S137+S138+S139)=O2</f>
        <v/>
      </c>
      <c r="X138" s="84" t="n">
        <v>0</v>
      </c>
      <c r="Y138" s="83" t="n">
        <v>0</v>
      </c>
      <c r="AA138" s="84" t="n">
        <v>4</v>
      </c>
      <c r="AB138" s="84" t="inlineStr">
        <is>
          <t>D</t>
        </is>
      </c>
      <c r="AC138" s="84" t="inlineStr">
        <is>
          <t>D+</t>
        </is>
      </c>
      <c r="AD138" s="84" t="n">
        <v>14</v>
      </c>
      <c r="AE138" s="84" t="n">
        <v>12</v>
      </c>
      <c r="AF138" s="84" t="n">
        <v>0.8</v>
      </c>
      <c r="AG138" s="84" t="n">
        <v>0.88</v>
      </c>
      <c r="AH138" s="84" t="n">
        <v>0</v>
      </c>
      <c r="AI138" s="84" t="n">
        <v>0</v>
      </c>
      <c r="AJ138" s="84">
        <f>SUMIFS(AH$8:AH$1039,$O$8:$O$1039,O138,$AB$8:$AB$1039,AB138,$R$8:$R$1039,R138,$AA$8:$AA$1039,"&lt;="&amp;AA138)</f>
        <v/>
      </c>
      <c r="AK138" s="84">
        <f>D23</f>
        <v/>
      </c>
      <c r="AL138" s="84">
        <f>D29</f>
        <v/>
      </c>
      <c r="AM138" s="84">
        <f>MAX(0,AJ138-AK138)</f>
        <v/>
      </c>
      <c r="AN138" s="84">
        <f>IF(AM138=0,AH138,IF(AM138&gt;=AH138,0,AH138-AM138))</f>
        <v/>
      </c>
      <c r="AO138" s="84">
        <f>IF(AM138&gt;=AH138,AI138,AI138*AM138/AH138)</f>
        <v/>
      </c>
      <c r="AP138">
        <f t="array" ref="AP138">INDEX($AU$8:$BB$25,6*(R138-1)+MATCH(AB138,$AS$8:$AS$13,0),MATCH(O138,$AU$7:$BB$7,0))</f>
        <v/>
      </c>
    </row>
    <row r="139" ht="14.25" customHeight="1">
      <c r="O139" s="43" t="inlineStr">
        <is>
          <t>Q2’26</t>
        </is>
      </c>
      <c r="P139" s="43" t="n">
        <v>1</v>
      </c>
      <c r="Q139" s="43" t="n">
        <v>1</v>
      </c>
      <c r="R139" s="43" t="n">
        <v>3</v>
      </c>
      <c r="S139" s="45" t="n">
        <v>940.8000000000011</v>
      </c>
      <c r="T139">
        <f>(S137+S138+S139)=O2</f>
        <v/>
      </c>
      <c r="X139" s="84" t="n">
        <v>0</v>
      </c>
      <c r="Y139" s="83" t="n">
        <v>0</v>
      </c>
      <c r="AA139" s="84" t="n">
        <v>4</v>
      </c>
      <c r="AB139" s="84" t="inlineStr">
        <is>
          <t>D</t>
        </is>
      </c>
      <c r="AC139" s="84" t="inlineStr">
        <is>
          <t>D+</t>
        </is>
      </c>
      <c r="AD139" s="84" t="n">
        <v>14</v>
      </c>
      <c r="AE139" s="84" t="n">
        <v>12</v>
      </c>
      <c r="AF139" s="84" t="n">
        <v>0.8</v>
      </c>
      <c r="AG139" s="84" t="n">
        <v>0.88</v>
      </c>
      <c r="AH139" s="84" t="n">
        <v>0</v>
      </c>
      <c r="AI139" s="84" t="n">
        <v>0</v>
      </c>
      <c r="AJ139" s="84">
        <f>SUMIFS(AH$8:AH$1039,$O$8:$O$1039,O139,$AB$8:$AB$1039,AB139,$R$8:$R$1039,R139,$AA$8:$AA$1039,"&lt;="&amp;AA139)</f>
        <v/>
      </c>
      <c r="AK139" s="84">
        <f>E23</f>
        <v/>
      </c>
      <c r="AL139" s="84">
        <f>E29</f>
        <v/>
      </c>
      <c r="AM139" s="84">
        <f>MAX(0,AJ139-AK139)</f>
        <v/>
      </c>
      <c r="AN139" s="84">
        <f>IF(AM139=0,AH139,IF(AM139&gt;=AH139,0,AH139-AM139))</f>
        <v/>
      </c>
      <c r="AO139" s="84">
        <f>IF(AM139&gt;=AH139,AI139,AI139*AM139/AH139)</f>
        <v/>
      </c>
      <c r="AP139">
        <f t="array" ref="AP139">INDEX($AU$8:$BB$25,6*(R139-1)+MATCH(AB139,$AS$8:$AS$13,0),MATCH(O139,$AU$7:$BB$7,0))</f>
        <v/>
      </c>
    </row>
    <row r="140" ht="14.25" customHeight="1">
      <c r="O140" s="43" t="inlineStr">
        <is>
          <t>Q2’26</t>
        </is>
      </c>
      <c r="P140" s="43" t="n">
        <v>1</v>
      </c>
      <c r="Q140" s="43" t="n">
        <v>2</v>
      </c>
      <c r="R140" s="43" t="n">
        <v>1</v>
      </c>
      <c r="S140" s="45" t="n">
        <v>7159.114812611544</v>
      </c>
      <c r="T140">
        <f>(S140+S141+S142)=O2</f>
        <v/>
      </c>
      <c r="X140" s="84">
        <f>MAX(S137-S140,0)</f>
        <v/>
      </c>
      <c r="Y140" s="83" t="n">
        <v>0</v>
      </c>
      <c r="AA140" s="84" t="n">
        <v>10</v>
      </c>
      <c r="AB140" s="84" t="inlineStr">
        <is>
          <t>F</t>
        </is>
      </c>
      <c r="AC140" s="84" t="inlineStr">
        <is>
          <t>F+</t>
        </is>
      </c>
      <c r="AD140" s="84" t="n">
        <v>25</v>
      </c>
      <c r="AE140" s="84" t="n">
        <v>21</v>
      </c>
      <c r="AF140" s="84" t="n">
        <v>0.8</v>
      </c>
      <c r="AG140" s="84" t="n">
        <v>0.9</v>
      </c>
      <c r="AH140" s="84" t="n">
        <v>0</v>
      </c>
      <c r="AI140" s="84" t="n">
        <v>0</v>
      </c>
      <c r="AJ140" s="84">
        <f>SUMIFS(AH$8:AH$1039,$O$8:$O$1039,O140,$AB$8:$AB$1039,AB140,$R$8:$R$1039,R140,$AA$8:$AA$1039,"&lt;="&amp;AA140)</f>
        <v/>
      </c>
      <c r="AK140" s="84">
        <f>C25</f>
        <v/>
      </c>
      <c r="AL140" s="84">
        <f>C31</f>
        <v/>
      </c>
      <c r="AM140" s="84">
        <f>MAX(0,AJ140-AK140)</f>
        <v/>
      </c>
      <c r="AN140" s="84">
        <f>IF(AM140=0,AH140,IF(AM140&gt;=AH140,0,AH140-AM140))</f>
        <v/>
      </c>
      <c r="AO140" s="84">
        <f>IF(AM140&gt;=AH140,AI140,AI140*AM140/AH140)</f>
        <v/>
      </c>
      <c r="AP140">
        <f t="array" ref="AP140">INDEX($AU$8:$BB$25,6*(R140-1)+MATCH(AB140,$AS$8:$AS$13,0),MATCH(O140,$AU$7:$BB$7,0))</f>
        <v/>
      </c>
    </row>
    <row r="141" ht="14.25" customHeight="1">
      <c r="O141" s="43" t="inlineStr">
        <is>
          <t>Q2’26</t>
        </is>
      </c>
      <c r="P141" s="43" t="n">
        <v>1</v>
      </c>
      <c r="Q141" s="43" t="n">
        <v>2</v>
      </c>
      <c r="R141" s="43" t="n">
        <v>2</v>
      </c>
      <c r="S141" s="45" t="n">
        <v>1900.085187388455</v>
      </c>
      <c r="T141">
        <f>(S140+S141+S142)=O2</f>
        <v/>
      </c>
      <c r="X141" s="84">
        <f>MAX(S138-S141,0)</f>
        <v/>
      </c>
      <c r="Y141" s="83" t="n">
        <v>0</v>
      </c>
      <c r="AA141" s="84" t="n">
        <v>10</v>
      </c>
      <c r="AB141" s="84" t="inlineStr">
        <is>
          <t>F</t>
        </is>
      </c>
      <c r="AC141" s="84" t="inlineStr">
        <is>
          <t>F+</t>
        </is>
      </c>
      <c r="AD141" s="84" t="n">
        <v>25</v>
      </c>
      <c r="AE141" s="84" t="n">
        <v>21</v>
      </c>
      <c r="AF141" s="84" t="n">
        <v>0.8</v>
      </c>
      <c r="AG141" s="84" t="n">
        <v>0.9</v>
      </c>
      <c r="AH141" s="84" t="n">
        <v>0</v>
      </c>
      <c r="AI141" s="84" t="n">
        <v>0</v>
      </c>
      <c r="AJ141" s="84">
        <f>SUMIFS(AH$8:AH$1039,$O$8:$O$1039,O141,$AB$8:$AB$1039,AB141,$R$8:$R$1039,R141,$AA$8:$AA$1039,"&lt;="&amp;AA141)</f>
        <v/>
      </c>
      <c r="AK141" s="84">
        <f>D25</f>
        <v/>
      </c>
      <c r="AL141" s="84">
        <f>D31</f>
        <v/>
      </c>
      <c r="AM141" s="84">
        <f>MAX(0,AJ141-AK141)</f>
        <v/>
      </c>
      <c r="AN141" s="84">
        <f>IF(AM141=0,AH141,IF(AM141&gt;=AH141,0,AH141-AM141))</f>
        <v/>
      </c>
      <c r="AO141" s="84">
        <f>IF(AM141&gt;=AH141,AI141,AI141*AM141/AH141)</f>
        <v/>
      </c>
      <c r="AP141">
        <f t="array" ref="AP141">INDEX($AU$8:$BB$25,6*(R141-1)+MATCH(AB141,$AS$8:$AS$13,0),MATCH(O141,$AU$7:$BB$7,0))</f>
        <v/>
      </c>
    </row>
    <row r="142" ht="14.25" customHeight="1">
      <c r="O142" s="43" t="inlineStr">
        <is>
          <t>Q2’26</t>
        </is>
      </c>
      <c r="P142" s="43" t="n">
        <v>1</v>
      </c>
      <c r="Q142" s="43" t="n">
        <v>2</v>
      </c>
      <c r="R142" s="43" t="n">
        <v>3</v>
      </c>
      <c r="S142" s="45" t="n">
        <v>940.8000000000011</v>
      </c>
      <c r="T142">
        <f>(S140+S141+S142)=O2</f>
        <v/>
      </c>
      <c r="X142" s="84">
        <f>MAX(S139-S142,0)</f>
        <v/>
      </c>
      <c r="Y142" s="83" t="n">
        <v>0</v>
      </c>
      <c r="AA142" s="84" t="n">
        <v>10</v>
      </c>
      <c r="AB142" s="84" t="inlineStr">
        <is>
          <t>F</t>
        </is>
      </c>
      <c r="AC142" s="84" t="inlineStr">
        <is>
          <t>F+</t>
        </is>
      </c>
      <c r="AD142" s="84" t="n">
        <v>25</v>
      </c>
      <c r="AE142" s="84" t="n">
        <v>21</v>
      </c>
      <c r="AF142" s="84" t="n">
        <v>0.8</v>
      </c>
      <c r="AG142" s="84" t="n">
        <v>0.9</v>
      </c>
      <c r="AH142" s="84" t="n">
        <v>0</v>
      </c>
      <c r="AI142" s="84" t="n">
        <v>0</v>
      </c>
      <c r="AJ142" s="84">
        <f>SUMIFS(AH$8:AH$1039,$O$8:$O$1039,O142,$AB$8:$AB$1039,AB142,$R$8:$R$1039,R142,$AA$8:$AA$1039,"&lt;="&amp;AA142)</f>
        <v/>
      </c>
      <c r="AK142" s="84">
        <f>E25</f>
        <v/>
      </c>
      <c r="AL142" s="84">
        <f>E31</f>
        <v/>
      </c>
      <c r="AM142" s="84">
        <f>MAX(0,AJ142-AK142)</f>
        <v/>
      </c>
      <c r="AN142" s="84">
        <f>IF(AM142=0,AH142,IF(AM142&gt;=AH142,0,AH142-AM142))</f>
        <v/>
      </c>
      <c r="AO142" s="84">
        <f>IF(AM142&gt;=AH142,AI142,AI142*AM142/AH142)</f>
        <v/>
      </c>
      <c r="AP142">
        <f t="array" ref="AP142">INDEX($AU$8:$BB$25,6*(R142-1)+MATCH(AB142,$AS$8:$AS$13,0),MATCH(O142,$AU$7:$BB$7,0))</f>
        <v/>
      </c>
    </row>
    <row r="143" ht="14.25" customHeight="1">
      <c r="O143" s="43" t="inlineStr">
        <is>
          <t>Q2’26</t>
        </is>
      </c>
      <c r="P143" s="43" t="n">
        <v>1</v>
      </c>
      <c r="Q143" s="43" t="n">
        <v>3</v>
      </c>
      <c r="R143" s="43" t="n">
        <v>1</v>
      </c>
      <c r="S143" s="45" t="n">
        <v>7159.114812611545</v>
      </c>
      <c r="T143">
        <f>(S143+S144+S145)=O2</f>
        <v/>
      </c>
      <c r="X143" s="84">
        <f>MAX(S140-S143,0)</f>
        <v/>
      </c>
      <c r="Y143" s="83" t="n">
        <v>0</v>
      </c>
      <c r="AA143" s="84" t="n">
        <v>8</v>
      </c>
      <c r="AB143" s="84" t="inlineStr">
        <is>
          <t>F</t>
        </is>
      </c>
      <c r="AC143" s="84" t="inlineStr">
        <is>
          <t>F+</t>
        </is>
      </c>
      <c r="AD143" s="84" t="n">
        <v>27</v>
      </c>
      <c r="AE143" s="84" t="n">
        <v>23</v>
      </c>
      <c r="AF143" s="84" t="n">
        <v>0.8</v>
      </c>
      <c r="AG143" s="84" t="n">
        <v>0.9</v>
      </c>
      <c r="AH143" s="84" t="n">
        <v>0</v>
      </c>
      <c r="AI143" s="84" t="n">
        <v>0</v>
      </c>
      <c r="AJ143" s="84">
        <f>SUMIFS(AH$8:AH$1039,$O$8:$O$1039,O143,$AB$8:$AB$1039,AB143,$R$8:$R$1039,R143,$AA$8:$AA$1039,"&lt;="&amp;AA143)</f>
        <v/>
      </c>
      <c r="AK143" s="84">
        <f>C25</f>
        <v/>
      </c>
      <c r="AL143" s="84">
        <f>C31</f>
        <v/>
      </c>
      <c r="AM143" s="84">
        <f>MAX(0,AJ143-AK143)</f>
        <v/>
      </c>
      <c r="AN143" s="84">
        <f>IF(AM143=0,AH143,IF(AM143&gt;=AH143,0,AH143-AM143))</f>
        <v/>
      </c>
      <c r="AO143" s="84">
        <f>IF(AM143&gt;=AH143,AI143,AI143*AM143/AH143)</f>
        <v/>
      </c>
      <c r="AP143">
        <f t="array" ref="AP143">INDEX($AU$8:$BB$25,6*(R143-1)+MATCH(AB143,$AS$8:$AS$13,0),MATCH(O143,$AU$7:$BB$7,0))</f>
        <v/>
      </c>
    </row>
    <row r="144" ht="14.25" customHeight="1">
      <c r="O144" s="43" t="inlineStr">
        <is>
          <t>Q2’26</t>
        </is>
      </c>
      <c r="P144" s="43" t="n">
        <v>1</v>
      </c>
      <c r="Q144" s="43" t="n">
        <v>3</v>
      </c>
      <c r="R144" s="43" t="n">
        <v>2</v>
      </c>
      <c r="S144" s="45" t="n">
        <v>1900.085187388455</v>
      </c>
      <c r="T144">
        <f>(S143+S144+S145)=O2</f>
        <v/>
      </c>
      <c r="X144" s="84">
        <f>MAX(S141-S144,0)</f>
        <v/>
      </c>
      <c r="Y144" s="83" t="n">
        <v>0</v>
      </c>
      <c r="AA144" s="84" t="n">
        <v>8</v>
      </c>
      <c r="AB144" s="84" t="inlineStr">
        <is>
          <t>F</t>
        </is>
      </c>
      <c r="AC144" s="84" t="inlineStr">
        <is>
          <t>F+</t>
        </is>
      </c>
      <c r="AD144" s="84" t="n">
        <v>27</v>
      </c>
      <c r="AE144" s="84" t="n">
        <v>23</v>
      </c>
      <c r="AF144" s="84" t="n">
        <v>0.8</v>
      </c>
      <c r="AG144" s="84" t="n">
        <v>0.9</v>
      </c>
      <c r="AH144" s="84" t="n">
        <v>0</v>
      </c>
      <c r="AI144" s="84" t="n">
        <v>0</v>
      </c>
      <c r="AJ144" s="84">
        <f>SUMIFS(AH$8:AH$1039,$O$8:$O$1039,O144,$AB$8:$AB$1039,AB144,$R$8:$R$1039,R144,$AA$8:$AA$1039,"&lt;="&amp;AA144)</f>
        <v/>
      </c>
      <c r="AK144" s="84">
        <f>D25</f>
        <v/>
      </c>
      <c r="AL144" s="84">
        <f>D31</f>
        <v/>
      </c>
      <c r="AM144" s="84">
        <f>MAX(0,AJ144-AK144)</f>
        <v/>
      </c>
      <c r="AN144" s="84">
        <f>IF(AM144=0,AH144,IF(AM144&gt;=AH144,0,AH144-AM144))</f>
        <v/>
      </c>
      <c r="AO144" s="84">
        <f>IF(AM144&gt;=AH144,AI144,AI144*AM144/AH144)</f>
        <v/>
      </c>
      <c r="AP144">
        <f t="array" ref="AP144">INDEX($AU$8:$BB$25,6*(R144-1)+MATCH(AB144,$AS$8:$AS$13,0),MATCH(O144,$AU$7:$BB$7,0))</f>
        <v/>
      </c>
    </row>
    <row r="145" ht="14.25" customHeight="1">
      <c r="O145" s="43" t="inlineStr">
        <is>
          <t>Q2’26</t>
        </is>
      </c>
      <c r="P145" s="43" t="n">
        <v>1</v>
      </c>
      <c r="Q145" s="43" t="n">
        <v>3</v>
      </c>
      <c r="R145" s="43" t="n">
        <v>3</v>
      </c>
      <c r="S145" s="45" t="n">
        <v>940.8</v>
      </c>
      <c r="T145">
        <f>(S143+S144+S145)=O2</f>
        <v/>
      </c>
      <c r="X145" s="84">
        <f>MAX(S142-S145,0)</f>
        <v/>
      </c>
      <c r="Y145" s="83" t="n">
        <v>0</v>
      </c>
      <c r="AA145" s="84" t="n">
        <v>8</v>
      </c>
      <c r="AB145" s="84" t="inlineStr">
        <is>
          <t>F</t>
        </is>
      </c>
      <c r="AC145" s="84" t="inlineStr">
        <is>
          <t>F+</t>
        </is>
      </c>
      <c r="AD145" s="84" t="n">
        <v>27</v>
      </c>
      <c r="AE145" s="84" t="n">
        <v>23</v>
      </c>
      <c r="AF145" s="84" t="n">
        <v>0.8</v>
      </c>
      <c r="AG145" s="84" t="n">
        <v>0.9</v>
      </c>
      <c r="AH145" s="84" t="n">
        <v>0</v>
      </c>
      <c r="AI145" s="84" t="n">
        <v>0</v>
      </c>
      <c r="AJ145" s="84">
        <f>SUMIFS(AH$8:AH$1039,$O$8:$O$1039,O145,$AB$8:$AB$1039,AB145,$R$8:$R$1039,R145,$AA$8:$AA$1039,"&lt;="&amp;AA145)</f>
        <v/>
      </c>
      <c r="AK145" s="84">
        <f>E25</f>
        <v/>
      </c>
      <c r="AL145" s="84">
        <f>E31</f>
        <v/>
      </c>
      <c r="AM145" s="84">
        <f>MAX(0,AJ145-AK145)</f>
        <v/>
      </c>
      <c r="AN145" s="84">
        <f>IF(AM145=0,AH145,IF(AM145&gt;=AH145,0,AH145-AM145))</f>
        <v/>
      </c>
      <c r="AO145" s="84">
        <f>IF(AM145&gt;=AH145,AI145,AI145*AM145/AH145)</f>
        <v/>
      </c>
      <c r="AP145">
        <f t="array" ref="AP145">INDEX($AU$8:$BB$25,6*(R145-1)+MATCH(AB145,$AS$8:$AS$13,0),MATCH(O145,$AU$7:$BB$7,0))</f>
        <v/>
      </c>
    </row>
    <row r="146" ht="14.25" customHeight="1">
      <c r="O146" s="43" t="inlineStr">
        <is>
          <t>Q2’26</t>
        </is>
      </c>
      <c r="P146" s="43" t="n">
        <v>1</v>
      </c>
      <c r="Q146" s="43" t="n">
        <v>4</v>
      </c>
      <c r="R146" s="43" t="n">
        <v>1</v>
      </c>
      <c r="S146" s="45" t="n">
        <v>7159.114812611545</v>
      </c>
      <c r="T146">
        <f>(S146+S147+S148)=O2</f>
        <v/>
      </c>
      <c r="X146" s="84">
        <f>MAX(S143-S146,0)</f>
        <v/>
      </c>
      <c r="Y146" s="83" t="n">
        <v>0</v>
      </c>
      <c r="AA146" s="84" t="n">
        <v>3</v>
      </c>
      <c r="AB146" s="84" t="inlineStr">
        <is>
          <t>A</t>
        </is>
      </c>
      <c r="AC146" s="84" t="inlineStr">
        <is>
          <t>A+</t>
        </is>
      </c>
      <c r="AD146" s="84" t="n">
        <v>20</v>
      </c>
      <c r="AE146" s="84" t="n">
        <v>16</v>
      </c>
      <c r="AF146" s="84" t="n">
        <v>0.78</v>
      </c>
      <c r="AG146" s="84" t="n">
        <v>0.84</v>
      </c>
      <c r="AH146" s="84" t="n">
        <v>0</v>
      </c>
      <c r="AI146" s="84" t="n">
        <v>0</v>
      </c>
      <c r="AJ146" s="84">
        <f>SUMIFS(AH$8:AH$1039,$O$8:$O$1039,O146,$AB$8:$AB$1039,AB146,$R$8:$R$1039,R146,$AA$8:$AA$1039,"&lt;="&amp;AA146)</f>
        <v/>
      </c>
      <c r="AK146" s="84">
        <f>C20</f>
        <v/>
      </c>
      <c r="AL146" s="84">
        <f>C26</f>
        <v/>
      </c>
      <c r="AM146" s="84">
        <f>MAX(0,AJ146-AK146)</f>
        <v/>
      </c>
      <c r="AN146" s="84">
        <f>IF(AM146=0,AH146,IF(AM146&gt;=AH146,0,AH146-AM146))</f>
        <v/>
      </c>
      <c r="AO146" s="84">
        <f>IF(AM146&gt;=AH146,AI146,AI146*AM146/AH146)</f>
        <v/>
      </c>
      <c r="AP146">
        <f t="array" ref="AP146">INDEX($AU$8:$BB$25,6*(R146-1)+MATCH(AB146,$AS$8:$AS$13,0),MATCH(O146,$AU$7:$BB$7,0))</f>
        <v/>
      </c>
    </row>
    <row r="147" ht="14.25" customHeight="1">
      <c r="O147" s="43" t="inlineStr">
        <is>
          <t>Q2’26</t>
        </is>
      </c>
      <c r="P147" s="43" t="n">
        <v>1</v>
      </c>
      <c r="Q147" s="43" t="n">
        <v>4</v>
      </c>
      <c r="R147" s="43" t="n">
        <v>2</v>
      </c>
      <c r="S147" s="45" t="n">
        <v>1900.085187388455</v>
      </c>
      <c r="T147">
        <f>(S146+S147+S148)=O2</f>
        <v/>
      </c>
      <c r="X147" s="84">
        <f>MAX(S144-S147,0)</f>
        <v/>
      </c>
      <c r="Y147" s="83" t="n">
        <v>0</v>
      </c>
      <c r="AA147" s="84" t="n">
        <v>3</v>
      </c>
      <c r="AB147" s="84" t="inlineStr">
        <is>
          <t>A</t>
        </is>
      </c>
      <c r="AC147" s="84" t="inlineStr">
        <is>
          <t>A+</t>
        </is>
      </c>
      <c r="AD147" s="84" t="n">
        <v>20</v>
      </c>
      <c r="AE147" s="84" t="n">
        <v>16</v>
      </c>
      <c r="AF147" s="84" t="n">
        <v>0.78</v>
      </c>
      <c r="AG147" s="84" t="n">
        <v>0.84</v>
      </c>
      <c r="AH147" s="84" t="n">
        <v>0</v>
      </c>
      <c r="AI147" s="84" t="n">
        <v>0</v>
      </c>
      <c r="AJ147" s="84">
        <f>SUMIFS(AH$8:AH$1039,$O$8:$O$1039,O147,$AB$8:$AB$1039,AB147,$R$8:$R$1039,R147,$AA$8:$AA$1039,"&lt;="&amp;AA147)</f>
        <v/>
      </c>
      <c r="AK147" s="84">
        <f>D20</f>
        <v/>
      </c>
      <c r="AL147" s="84">
        <f>D26</f>
        <v/>
      </c>
      <c r="AM147" s="84">
        <f>MAX(0,AJ147-AK147)</f>
        <v/>
      </c>
      <c r="AN147" s="84">
        <f>IF(AM147=0,AH147,IF(AM147&gt;=AH147,0,AH147-AM147))</f>
        <v/>
      </c>
      <c r="AO147" s="84">
        <f>IF(AM147&gt;=AH147,AI147,AI147*AM147/AH147)</f>
        <v/>
      </c>
      <c r="AP147">
        <f t="array" ref="AP147">INDEX($AU$8:$BB$25,6*(R147-1)+MATCH(AB147,$AS$8:$AS$13,0),MATCH(O147,$AU$7:$BB$7,0))</f>
        <v/>
      </c>
    </row>
    <row r="148" ht="14.25" customHeight="1">
      <c r="O148" s="43" t="inlineStr">
        <is>
          <t>Q2’26</t>
        </is>
      </c>
      <c r="P148" s="43" t="n">
        <v>1</v>
      </c>
      <c r="Q148" s="43" t="n">
        <v>4</v>
      </c>
      <c r="R148" s="43" t="n">
        <v>3</v>
      </c>
      <c r="S148" s="45" t="n">
        <v>940.8</v>
      </c>
      <c r="T148">
        <f>(S146+S147+S148)=O2</f>
        <v/>
      </c>
      <c r="X148" s="84">
        <f>MAX(S145-S148,0)</f>
        <v/>
      </c>
      <c r="Y148" s="83" t="n">
        <v>0</v>
      </c>
      <c r="AA148" s="84" t="n">
        <v>3</v>
      </c>
      <c r="AB148" s="84" t="inlineStr">
        <is>
          <t>A</t>
        </is>
      </c>
      <c r="AC148" s="84" t="inlineStr">
        <is>
          <t>A+</t>
        </is>
      </c>
      <c r="AD148" s="84" t="n">
        <v>20</v>
      </c>
      <c r="AE148" s="84" t="n">
        <v>16</v>
      </c>
      <c r="AF148" s="84" t="n">
        <v>0.78</v>
      </c>
      <c r="AG148" s="84" t="n">
        <v>0.84</v>
      </c>
      <c r="AH148" s="84" t="n">
        <v>0</v>
      </c>
      <c r="AI148" s="84" t="n">
        <v>0</v>
      </c>
      <c r="AJ148" s="84">
        <f>SUMIFS(AH$8:AH$1039,$O$8:$O$1039,O148,$AB$8:$AB$1039,AB148,$R$8:$R$1039,R148,$AA$8:$AA$1039,"&lt;="&amp;AA148)</f>
        <v/>
      </c>
      <c r="AK148" s="84">
        <f>E20</f>
        <v/>
      </c>
      <c r="AL148" s="84">
        <f>E26</f>
        <v/>
      </c>
      <c r="AM148" s="84">
        <f>MAX(0,AJ148-AK148)</f>
        <v/>
      </c>
      <c r="AN148" s="84">
        <f>IF(AM148=0,AH148,IF(AM148&gt;=AH148,0,AH148-AM148))</f>
        <v/>
      </c>
      <c r="AO148" s="84">
        <f>IF(AM148&gt;=AH148,AI148,AI148*AM148/AH148)</f>
        <v/>
      </c>
      <c r="AP148">
        <f t="array" ref="AP148">INDEX($AU$8:$BB$25,6*(R148-1)+MATCH(AB148,$AS$8:$AS$13,0),MATCH(O148,$AU$7:$BB$7,0))</f>
        <v/>
      </c>
    </row>
    <row r="149" ht="14.25" customHeight="1">
      <c r="O149" s="43" t="inlineStr">
        <is>
          <t>Q2’26</t>
        </is>
      </c>
      <c r="P149" s="43" t="n">
        <v>1</v>
      </c>
      <c r="Q149" s="43" t="n">
        <v>5</v>
      </c>
      <c r="R149" s="43" t="n">
        <v>1</v>
      </c>
      <c r="S149" s="45" t="n">
        <v>7159.114812611496</v>
      </c>
      <c r="T149">
        <f>(S149+S150+S151)=O2</f>
        <v/>
      </c>
      <c r="X149" s="84">
        <f>MAX(S146-S149,0)</f>
        <v/>
      </c>
      <c r="Y149" s="83" t="n">
        <v>0</v>
      </c>
      <c r="AA149" s="84" t="n">
        <v>11</v>
      </c>
      <c r="AB149" s="84" t="inlineStr">
        <is>
          <t>F</t>
        </is>
      </c>
      <c r="AC149" s="84" t="inlineStr">
        <is>
          <t>F+</t>
        </is>
      </c>
      <c r="AD149" s="84" t="n">
        <v>12</v>
      </c>
      <c r="AE149" s="84" t="n">
        <v>9</v>
      </c>
      <c r="AF149" s="84" t="n">
        <v>0.8</v>
      </c>
      <c r="AG149" s="84" t="n">
        <v>0.9</v>
      </c>
      <c r="AH149" s="84" t="n">
        <v>0</v>
      </c>
      <c r="AI149" s="84" t="n">
        <v>0</v>
      </c>
      <c r="AJ149" s="84">
        <f>SUMIFS(AH$8:AH$1039,$O$8:$O$1039,O149,$AB$8:$AB$1039,AB149,$R$8:$R$1039,R149,$AA$8:$AA$1039,"&lt;="&amp;AA149)</f>
        <v/>
      </c>
      <c r="AK149" s="84">
        <f>C25</f>
        <v/>
      </c>
      <c r="AL149" s="84">
        <f>C31</f>
        <v/>
      </c>
      <c r="AM149" s="84">
        <f>MAX(0,AJ149-AK149)</f>
        <v/>
      </c>
      <c r="AN149" s="84">
        <f>IF(AM149=0,AH149,IF(AM149&gt;=AH149,0,AH149-AM149))</f>
        <v/>
      </c>
      <c r="AO149" s="84">
        <f>IF(AM149&gt;=AH149,AI149,AI149*AM149/AH149)</f>
        <v/>
      </c>
      <c r="AP149">
        <f t="array" ref="AP149">INDEX($AU$8:$BB$25,6*(R149-1)+MATCH(AB149,$AS$8:$AS$13,0),MATCH(O149,$AU$7:$BB$7,0))</f>
        <v/>
      </c>
    </row>
    <row r="150" ht="14.25" customHeight="1">
      <c r="O150" s="43" t="inlineStr">
        <is>
          <t>Q2’26</t>
        </is>
      </c>
      <c r="P150" s="43" t="n">
        <v>1</v>
      </c>
      <c r="Q150" s="43" t="n">
        <v>5</v>
      </c>
      <c r="R150" s="43" t="n">
        <v>2</v>
      </c>
      <c r="S150" s="45" t="n">
        <v>1900.085187388504</v>
      </c>
      <c r="T150">
        <f>(S149+S150+S151)=O2</f>
        <v/>
      </c>
      <c r="X150" s="84">
        <f>MAX(S147-S150,0)</f>
        <v/>
      </c>
      <c r="Y150" s="83" t="n">
        <v>0</v>
      </c>
      <c r="AA150" s="84" t="n">
        <v>11</v>
      </c>
      <c r="AB150" s="84" t="inlineStr">
        <is>
          <t>F</t>
        </is>
      </c>
      <c r="AC150" s="84" t="inlineStr">
        <is>
          <t>F+</t>
        </is>
      </c>
      <c r="AD150" s="84" t="n">
        <v>12</v>
      </c>
      <c r="AE150" s="84" t="n">
        <v>9</v>
      </c>
      <c r="AF150" s="84" t="n">
        <v>0.8</v>
      </c>
      <c r="AG150" s="84" t="n">
        <v>0.9</v>
      </c>
      <c r="AH150" s="84" t="n">
        <v>0</v>
      </c>
      <c r="AI150" s="84" t="n">
        <v>0</v>
      </c>
      <c r="AJ150" s="84">
        <f>SUMIFS(AH$8:AH$1039,$O$8:$O$1039,O150,$AB$8:$AB$1039,AB150,$R$8:$R$1039,R150,$AA$8:$AA$1039,"&lt;="&amp;AA150)</f>
        <v/>
      </c>
      <c r="AK150" s="84">
        <f>D25</f>
        <v/>
      </c>
      <c r="AL150" s="84">
        <f>D31</f>
        <v/>
      </c>
      <c r="AM150" s="84">
        <f>MAX(0,AJ150-AK150)</f>
        <v/>
      </c>
      <c r="AN150" s="84">
        <f>IF(AM150=0,AH150,IF(AM150&gt;=AH150,0,AH150-AM150))</f>
        <v/>
      </c>
      <c r="AO150" s="84">
        <f>IF(AM150&gt;=AH150,AI150,AI150*AM150/AH150)</f>
        <v/>
      </c>
      <c r="AP150">
        <f t="array" ref="AP150">INDEX($AU$8:$BB$25,6*(R150-1)+MATCH(AB150,$AS$8:$AS$13,0),MATCH(O150,$AU$7:$BB$7,0))</f>
        <v/>
      </c>
    </row>
    <row r="151" ht="14.25" customHeight="1">
      <c r="O151" s="43" t="inlineStr">
        <is>
          <t>Q2’26</t>
        </is>
      </c>
      <c r="P151" s="43" t="n">
        <v>1</v>
      </c>
      <c r="Q151" s="43" t="n">
        <v>5</v>
      </c>
      <c r="R151" s="43" t="n">
        <v>3</v>
      </c>
      <c r="S151" s="45" t="n">
        <v>940.8</v>
      </c>
      <c r="T151">
        <f>(S149+S150+S151)=O2</f>
        <v/>
      </c>
      <c r="X151" s="84">
        <f>MAX(S148-S151,0)</f>
        <v/>
      </c>
      <c r="Y151" s="83" t="n">
        <v>0</v>
      </c>
      <c r="AA151" s="84" t="n">
        <v>11</v>
      </c>
      <c r="AB151" s="84" t="inlineStr">
        <is>
          <t>F</t>
        </is>
      </c>
      <c r="AC151" s="84" t="inlineStr">
        <is>
          <t>F+</t>
        </is>
      </c>
      <c r="AD151" s="84" t="n">
        <v>12</v>
      </c>
      <c r="AE151" s="84" t="n">
        <v>9</v>
      </c>
      <c r="AF151" s="84" t="n">
        <v>0.8</v>
      </c>
      <c r="AG151" s="84" t="n">
        <v>0.9</v>
      </c>
      <c r="AH151" s="84" t="n">
        <v>0</v>
      </c>
      <c r="AI151" s="84" t="n">
        <v>0</v>
      </c>
      <c r="AJ151" s="84">
        <f>SUMIFS(AH$8:AH$1039,$O$8:$O$1039,O151,$AB$8:$AB$1039,AB151,$R$8:$R$1039,R151,$AA$8:$AA$1039,"&lt;="&amp;AA151)</f>
        <v/>
      </c>
      <c r="AK151" s="84">
        <f>E25</f>
        <v/>
      </c>
      <c r="AL151" s="84">
        <f>E31</f>
        <v/>
      </c>
      <c r="AM151" s="84">
        <f>MAX(0,AJ151-AK151)</f>
        <v/>
      </c>
      <c r="AN151" s="84">
        <f>IF(AM151=0,AH151,IF(AM151&gt;=AH151,0,AH151-AM151))</f>
        <v/>
      </c>
      <c r="AO151" s="84">
        <f>IF(AM151&gt;=AH151,AI151,AI151*AM151/AH151)</f>
        <v/>
      </c>
      <c r="AP151">
        <f t="array" ref="AP151">INDEX($AU$8:$BB$25,6*(R151-1)+MATCH(AB151,$AS$8:$AS$13,0),MATCH(O151,$AU$7:$BB$7,0))</f>
        <v/>
      </c>
    </row>
    <row r="152" ht="14.25" customHeight="1">
      <c r="O152" s="43" t="inlineStr">
        <is>
          <t>Q2’26</t>
        </is>
      </c>
      <c r="P152" s="43" t="n">
        <v>1</v>
      </c>
      <c r="Q152" s="43" t="n">
        <v>6</v>
      </c>
      <c r="R152" s="43" t="n">
        <v>1</v>
      </c>
      <c r="S152" s="45" t="n">
        <v>7159.114812611545</v>
      </c>
      <c r="T152">
        <f>(S152+S153+S154)=O2</f>
        <v/>
      </c>
      <c r="X152" s="84">
        <f>MAX(S149-S152,0)</f>
        <v/>
      </c>
      <c r="Y152" s="83" t="n">
        <v>0</v>
      </c>
      <c r="AA152" s="84" t="n">
        <v>7</v>
      </c>
      <c r="AB152" s="84" t="inlineStr">
        <is>
          <t>D</t>
        </is>
      </c>
      <c r="AC152" s="84" t="inlineStr">
        <is>
          <t>D+</t>
        </is>
      </c>
      <c r="AD152" s="84" t="n">
        <v>27</v>
      </c>
      <c r="AE152" s="84" t="n">
        <v>21</v>
      </c>
      <c r="AF152" s="84" t="n">
        <v>0.8</v>
      </c>
      <c r="AG152" s="84" t="n">
        <v>0.88</v>
      </c>
      <c r="AH152" s="84" t="n">
        <v>0</v>
      </c>
      <c r="AI152" s="84" t="n">
        <v>0</v>
      </c>
      <c r="AJ152" s="84">
        <f>SUMIFS(AH$8:AH$1039,$O$8:$O$1039,O152,$AB$8:$AB$1039,AB152,$R$8:$R$1039,R152,$AA$8:$AA$1039,"&lt;="&amp;AA152)</f>
        <v/>
      </c>
      <c r="AK152" s="84">
        <f>C23</f>
        <v/>
      </c>
      <c r="AL152" s="84">
        <f>C29</f>
        <v/>
      </c>
      <c r="AM152" s="84">
        <f>MAX(0,AJ152-AK152)</f>
        <v/>
      </c>
      <c r="AN152" s="84">
        <f>IF(AM152=0,AH152,IF(AM152&gt;=AH152,0,AH152-AM152))</f>
        <v/>
      </c>
      <c r="AO152" s="84">
        <f>IF(AM152&gt;=AH152,AI152,AI152*AM152/AH152)</f>
        <v/>
      </c>
      <c r="AP152">
        <f t="array" ref="AP152">INDEX($AU$8:$BB$25,6*(R152-1)+MATCH(AB152,$AS$8:$AS$13,0),MATCH(O152,$AU$7:$BB$7,0))</f>
        <v/>
      </c>
    </row>
    <row r="153" ht="14.25" customHeight="1">
      <c r="O153" s="43" t="inlineStr">
        <is>
          <t>Q2’26</t>
        </is>
      </c>
      <c r="P153" s="43" t="n">
        <v>1</v>
      </c>
      <c r="Q153" s="43" t="n">
        <v>6</v>
      </c>
      <c r="R153" s="43" t="n">
        <v>2</v>
      </c>
      <c r="S153" s="45" t="n">
        <v>1900.085187388455</v>
      </c>
      <c r="T153">
        <f>(S152+S153+S154)=O2</f>
        <v/>
      </c>
      <c r="X153" s="84">
        <f>MAX(S150-S153,0)</f>
        <v/>
      </c>
      <c r="Y153" s="83" t="n">
        <v>0</v>
      </c>
      <c r="AA153" s="84" t="n">
        <v>7</v>
      </c>
      <c r="AB153" s="84" t="inlineStr">
        <is>
          <t>D</t>
        </is>
      </c>
      <c r="AC153" s="84" t="inlineStr">
        <is>
          <t>D+</t>
        </is>
      </c>
      <c r="AD153" s="84" t="n">
        <v>27</v>
      </c>
      <c r="AE153" s="84" t="n">
        <v>21</v>
      </c>
      <c r="AF153" s="84" t="n">
        <v>0.8</v>
      </c>
      <c r="AG153" s="84" t="n">
        <v>0.88</v>
      </c>
      <c r="AH153" s="84" t="n">
        <v>0</v>
      </c>
      <c r="AI153" s="84" t="n">
        <v>0</v>
      </c>
      <c r="AJ153" s="84">
        <f>SUMIFS(AH$8:AH$1039,$O$8:$O$1039,O153,$AB$8:$AB$1039,AB153,$R$8:$R$1039,R153,$AA$8:$AA$1039,"&lt;="&amp;AA153)</f>
        <v/>
      </c>
      <c r="AK153" s="84">
        <f>D23</f>
        <v/>
      </c>
      <c r="AL153" s="84">
        <f>D29</f>
        <v/>
      </c>
      <c r="AM153" s="84">
        <f>MAX(0,AJ153-AK153)</f>
        <v/>
      </c>
      <c r="AN153" s="84">
        <f>IF(AM153=0,AH153,IF(AM153&gt;=AH153,0,AH153-AM153))</f>
        <v/>
      </c>
      <c r="AO153" s="84">
        <f>IF(AM153&gt;=AH153,AI153,AI153*AM153/AH153)</f>
        <v/>
      </c>
      <c r="AP153">
        <f t="array" ref="AP153">INDEX($AU$8:$BB$25,6*(R153-1)+MATCH(AB153,$AS$8:$AS$13,0),MATCH(O153,$AU$7:$BB$7,0))</f>
        <v/>
      </c>
    </row>
    <row r="154" ht="14.25" customHeight="1">
      <c r="O154" s="43" t="inlineStr">
        <is>
          <t>Q2’26</t>
        </is>
      </c>
      <c r="P154" s="43" t="n">
        <v>1</v>
      </c>
      <c r="Q154" s="43" t="n">
        <v>6</v>
      </c>
      <c r="R154" s="43" t="n">
        <v>3</v>
      </c>
      <c r="S154" s="45" t="n">
        <v>940.8</v>
      </c>
      <c r="T154">
        <f>(S152+S153+S154)=O2</f>
        <v/>
      </c>
      <c r="X154" s="84">
        <f>MAX(S151-S154,0)</f>
        <v/>
      </c>
      <c r="Y154" s="83" t="n">
        <v>0</v>
      </c>
      <c r="AA154" s="84" t="n">
        <v>7</v>
      </c>
      <c r="AB154" s="84" t="inlineStr">
        <is>
          <t>D</t>
        </is>
      </c>
      <c r="AC154" s="84" t="inlineStr">
        <is>
          <t>D+</t>
        </is>
      </c>
      <c r="AD154" s="84" t="n">
        <v>27</v>
      </c>
      <c r="AE154" s="84" t="n">
        <v>21</v>
      </c>
      <c r="AF154" s="84" t="n">
        <v>0.8</v>
      </c>
      <c r="AG154" s="84" t="n">
        <v>0.88</v>
      </c>
      <c r="AH154" s="84" t="n">
        <v>0</v>
      </c>
      <c r="AI154" s="84" t="n">
        <v>0</v>
      </c>
      <c r="AJ154" s="84">
        <f>SUMIFS(AH$8:AH$1039,$O$8:$O$1039,O154,$AB$8:$AB$1039,AB154,$R$8:$R$1039,R154,$AA$8:$AA$1039,"&lt;="&amp;AA154)</f>
        <v/>
      </c>
      <c r="AK154" s="84">
        <f>E23</f>
        <v/>
      </c>
      <c r="AL154" s="84">
        <f>E29</f>
        <v/>
      </c>
      <c r="AM154" s="84">
        <f>MAX(0,AJ154-AK154)</f>
        <v/>
      </c>
      <c r="AN154" s="84">
        <f>IF(AM154=0,AH154,IF(AM154&gt;=AH154,0,AH154-AM154))</f>
        <v/>
      </c>
      <c r="AO154" s="84">
        <f>IF(AM154&gt;=AH154,AI154,AI154*AM154/AH154)</f>
        <v/>
      </c>
      <c r="AP154">
        <f t="array" ref="AP154">INDEX($AU$8:$BB$25,6*(R154-1)+MATCH(AB154,$AS$8:$AS$13,0),MATCH(O154,$AU$7:$BB$7,0))</f>
        <v/>
      </c>
    </row>
    <row r="155" ht="14.25" customHeight="1">
      <c r="O155" s="43" t="inlineStr">
        <is>
          <t>Q2’26</t>
        </is>
      </c>
      <c r="P155" s="43" t="n">
        <v>1</v>
      </c>
      <c r="Q155" s="43" t="n">
        <v>7</v>
      </c>
      <c r="R155" s="43" t="n">
        <v>1</v>
      </c>
      <c r="S155" s="45" t="n">
        <v>7159.114812611545</v>
      </c>
      <c r="T155">
        <f>(S155+S156+S157)=O2</f>
        <v/>
      </c>
      <c r="X155" s="84">
        <f>MAX(S152-S155,0)</f>
        <v/>
      </c>
      <c r="Y155" s="83" t="n">
        <v>0</v>
      </c>
      <c r="AA155" s="84" t="n">
        <v>9</v>
      </c>
      <c r="AB155" s="84" t="inlineStr">
        <is>
          <t>D</t>
        </is>
      </c>
      <c r="AC155" s="84" t="inlineStr">
        <is>
          <t>D+</t>
        </is>
      </c>
      <c r="AD155" s="84" t="n">
        <v>17</v>
      </c>
      <c r="AE155" s="84" t="n">
        <v>13</v>
      </c>
      <c r="AF155" s="84" t="n">
        <v>0.8</v>
      </c>
      <c r="AG155" s="84" t="n">
        <v>0.88</v>
      </c>
      <c r="AH155" s="84" t="n">
        <v>0</v>
      </c>
      <c r="AI155" s="84" t="n">
        <v>0</v>
      </c>
      <c r="AJ155" s="84">
        <f>SUMIFS(AH$8:AH$1039,$O$8:$O$1039,O155,$AB$8:$AB$1039,AB155,$R$8:$R$1039,R155,$AA$8:$AA$1039,"&lt;="&amp;AA155)</f>
        <v/>
      </c>
      <c r="AK155" s="84">
        <f>C23</f>
        <v/>
      </c>
      <c r="AL155" s="84">
        <f>C29</f>
        <v/>
      </c>
      <c r="AM155" s="84">
        <f>MAX(0,AJ155-AK155)</f>
        <v/>
      </c>
      <c r="AN155" s="84">
        <f>IF(AM155=0,AH155,IF(AM155&gt;=AH155,0,AH155-AM155))</f>
        <v/>
      </c>
      <c r="AO155" s="84">
        <f>IF(AM155&gt;=AH155,AI155,AI155*AM155/AH155)</f>
        <v/>
      </c>
      <c r="AP155">
        <f t="array" ref="AP155">INDEX($AU$8:$BB$25,6*(R155-1)+MATCH(AB155,$AS$8:$AS$13,0),MATCH(O155,$AU$7:$BB$7,0))</f>
        <v/>
      </c>
    </row>
    <row r="156" ht="14.25" customHeight="1">
      <c r="O156" s="43" t="inlineStr">
        <is>
          <t>Q2’26</t>
        </is>
      </c>
      <c r="P156" s="43" t="n">
        <v>1</v>
      </c>
      <c r="Q156" s="43" t="n">
        <v>7</v>
      </c>
      <c r="R156" s="43" t="n">
        <v>2</v>
      </c>
      <c r="S156" s="45" t="n">
        <v>1900.085187388455</v>
      </c>
      <c r="T156">
        <f>(S155+S156+S157)=O2</f>
        <v/>
      </c>
      <c r="X156" s="84">
        <f>MAX(S153-S156,0)</f>
        <v/>
      </c>
      <c r="Y156" s="83" t="n">
        <v>0</v>
      </c>
      <c r="AA156" s="84" t="n">
        <v>9</v>
      </c>
      <c r="AB156" s="84" t="inlineStr">
        <is>
          <t>D</t>
        </is>
      </c>
      <c r="AC156" s="84" t="inlineStr">
        <is>
          <t>D+</t>
        </is>
      </c>
      <c r="AD156" s="84" t="n">
        <v>17</v>
      </c>
      <c r="AE156" s="84" t="n">
        <v>13</v>
      </c>
      <c r="AF156" s="84" t="n">
        <v>0.8</v>
      </c>
      <c r="AG156" s="84" t="n">
        <v>0.88</v>
      </c>
      <c r="AH156" s="84" t="n">
        <v>0</v>
      </c>
      <c r="AI156" s="84" t="n">
        <v>0</v>
      </c>
      <c r="AJ156" s="84">
        <f>SUMIFS(AH$8:AH$1039,$O$8:$O$1039,O156,$AB$8:$AB$1039,AB156,$R$8:$R$1039,R156,$AA$8:$AA$1039,"&lt;="&amp;AA156)</f>
        <v/>
      </c>
      <c r="AK156" s="84">
        <f>D23</f>
        <v/>
      </c>
      <c r="AL156" s="84">
        <f>D29</f>
        <v/>
      </c>
      <c r="AM156" s="84">
        <f>MAX(0,AJ156-AK156)</f>
        <v/>
      </c>
      <c r="AN156" s="84">
        <f>IF(AM156=0,AH156,IF(AM156&gt;=AH156,0,AH156-AM156))</f>
        <v/>
      </c>
      <c r="AO156" s="84">
        <f>IF(AM156&gt;=AH156,AI156,AI156*AM156/AH156)</f>
        <v/>
      </c>
      <c r="AP156">
        <f t="array" ref="AP156">INDEX($AU$8:$BB$25,6*(R156-1)+MATCH(AB156,$AS$8:$AS$13,0),MATCH(O156,$AU$7:$BB$7,0))</f>
        <v/>
      </c>
    </row>
    <row r="157" ht="14.25" customHeight="1">
      <c r="O157" s="43" t="inlineStr">
        <is>
          <t>Q2’26</t>
        </is>
      </c>
      <c r="P157" s="43" t="n">
        <v>1</v>
      </c>
      <c r="Q157" s="43" t="n">
        <v>7</v>
      </c>
      <c r="R157" s="43" t="n">
        <v>3</v>
      </c>
      <c r="S157" s="45" t="n">
        <v>940.8</v>
      </c>
      <c r="T157">
        <f>(S155+S156+S157)=O2</f>
        <v/>
      </c>
      <c r="X157" s="84">
        <f>MAX(S154-S157,0)</f>
        <v/>
      </c>
      <c r="Y157" s="83" t="n">
        <v>0</v>
      </c>
      <c r="AA157" s="84" t="n">
        <v>9</v>
      </c>
      <c r="AB157" s="84" t="inlineStr">
        <is>
          <t>D</t>
        </is>
      </c>
      <c r="AC157" s="84" t="inlineStr">
        <is>
          <t>D+</t>
        </is>
      </c>
      <c r="AD157" s="84" t="n">
        <v>17</v>
      </c>
      <c r="AE157" s="84" t="n">
        <v>13</v>
      </c>
      <c r="AF157" s="84" t="n">
        <v>0.8</v>
      </c>
      <c r="AG157" s="84" t="n">
        <v>0.88</v>
      </c>
      <c r="AH157" s="84" t="n">
        <v>0</v>
      </c>
      <c r="AI157" s="84" t="n">
        <v>0</v>
      </c>
      <c r="AJ157" s="84">
        <f>SUMIFS(AH$8:AH$1039,$O$8:$O$1039,O157,$AB$8:$AB$1039,AB157,$R$8:$R$1039,R157,$AA$8:$AA$1039,"&lt;="&amp;AA157)</f>
        <v/>
      </c>
      <c r="AK157" s="84">
        <f>E23</f>
        <v/>
      </c>
      <c r="AL157" s="84">
        <f>E29</f>
        <v/>
      </c>
      <c r="AM157" s="84">
        <f>MAX(0,AJ157-AK157)</f>
        <v/>
      </c>
      <c r="AN157" s="84">
        <f>IF(AM157=0,AH157,IF(AM157&gt;=AH157,0,AH157-AM157))</f>
        <v/>
      </c>
      <c r="AO157" s="84">
        <f>IF(AM157&gt;=AH157,AI157,AI157*AM157/AH157)</f>
        <v/>
      </c>
      <c r="AP157">
        <f t="array" ref="AP157">INDEX($AU$8:$BB$25,6*(R157-1)+MATCH(AB157,$AS$8:$AS$13,0),MATCH(O157,$AU$7:$BB$7,0))</f>
        <v/>
      </c>
    </row>
    <row r="158" ht="14.25" customHeight="1">
      <c r="O158" s="43" t="inlineStr">
        <is>
          <t>Q2’26</t>
        </is>
      </c>
      <c r="P158" s="43" t="n">
        <v>1</v>
      </c>
      <c r="Q158" s="43" t="n">
        <v>8</v>
      </c>
      <c r="R158" s="43" t="n">
        <v>1</v>
      </c>
      <c r="S158" s="45" t="n">
        <v>7159.114812611545</v>
      </c>
      <c r="T158">
        <f>(S158+S159+S160)=O2</f>
        <v/>
      </c>
      <c r="X158" s="84">
        <f>MAX(S155-S158,0)</f>
        <v/>
      </c>
      <c r="Y158" s="83" t="n">
        <v>0</v>
      </c>
      <c r="AA158" s="84" t="n">
        <v>1</v>
      </c>
      <c r="AB158" s="84" t="inlineStr">
        <is>
          <t>A</t>
        </is>
      </c>
      <c r="AC158" s="84" t="inlineStr">
        <is>
          <t>A+</t>
        </is>
      </c>
      <c r="AD158" s="84" t="n">
        <v>18</v>
      </c>
      <c r="AE158" s="84" t="n">
        <v>16</v>
      </c>
      <c r="AF158" s="84" t="n">
        <v>0.78</v>
      </c>
      <c r="AG158" s="84" t="n">
        <v>0.84</v>
      </c>
      <c r="AH158" s="84" t="n">
        <v>0</v>
      </c>
      <c r="AI158" s="84" t="n">
        <v>0</v>
      </c>
      <c r="AJ158" s="84">
        <f>SUMIFS(AH$8:AH$1039,$O$8:$O$1039,O158,$AB$8:$AB$1039,AB158,$R$8:$R$1039,R158,$AA$8:$AA$1039,"&lt;="&amp;AA158)</f>
        <v/>
      </c>
      <c r="AK158" s="84">
        <f>C20</f>
        <v/>
      </c>
      <c r="AL158" s="84">
        <f>C26</f>
        <v/>
      </c>
      <c r="AM158" s="84">
        <f>MAX(0,AJ158-AK158)</f>
        <v/>
      </c>
      <c r="AN158" s="84">
        <f>IF(AM158=0,AH158,IF(AM158&gt;=AH158,0,AH158-AM158))</f>
        <v/>
      </c>
      <c r="AO158" s="84">
        <f>IF(AM158&gt;=AH158,AI158,AI158*AM158/AH158)</f>
        <v/>
      </c>
      <c r="AP158">
        <f t="array" ref="AP158">INDEX($AU$8:$BB$25,6*(R158-1)+MATCH(AB158,$AS$8:$AS$13,0),MATCH(O158,$AU$7:$BB$7,0))</f>
        <v/>
      </c>
    </row>
    <row r="159" ht="14.25" customHeight="1">
      <c r="O159" s="43" t="inlineStr">
        <is>
          <t>Q2’26</t>
        </is>
      </c>
      <c r="P159" s="43" t="n">
        <v>1</v>
      </c>
      <c r="Q159" s="43" t="n">
        <v>8</v>
      </c>
      <c r="R159" s="43" t="n">
        <v>2</v>
      </c>
      <c r="S159" s="45" t="n">
        <v>1900.085187388455</v>
      </c>
      <c r="T159">
        <f>(S158+S159+S160)=O2</f>
        <v/>
      </c>
      <c r="X159" s="84">
        <f>MAX(S156-S159,0)</f>
        <v/>
      </c>
      <c r="Y159" s="83" t="n">
        <v>0</v>
      </c>
      <c r="AA159" s="84" t="n">
        <v>1</v>
      </c>
      <c r="AB159" s="84" t="inlineStr">
        <is>
          <t>A</t>
        </is>
      </c>
      <c r="AC159" s="84" t="inlineStr">
        <is>
          <t>A+</t>
        </is>
      </c>
      <c r="AD159" s="84" t="n">
        <v>18</v>
      </c>
      <c r="AE159" s="84" t="n">
        <v>16</v>
      </c>
      <c r="AF159" s="84" t="n">
        <v>0.78</v>
      </c>
      <c r="AG159" s="84" t="n">
        <v>0.84</v>
      </c>
      <c r="AH159" s="84" t="n">
        <v>0</v>
      </c>
      <c r="AI159" s="84" t="n">
        <v>0</v>
      </c>
      <c r="AJ159" s="84">
        <f>SUMIFS(AH$8:AH$1039,$O$8:$O$1039,O159,$AB$8:$AB$1039,AB159,$R$8:$R$1039,R159,$AA$8:$AA$1039,"&lt;="&amp;AA159)</f>
        <v/>
      </c>
      <c r="AK159" s="84">
        <f>D20</f>
        <v/>
      </c>
      <c r="AL159" s="84">
        <f>D26</f>
        <v/>
      </c>
      <c r="AM159" s="84">
        <f>MAX(0,AJ159-AK159)</f>
        <v/>
      </c>
      <c r="AN159" s="84">
        <f>IF(AM159=0,AH159,IF(AM159&gt;=AH159,0,AH159-AM159))</f>
        <v/>
      </c>
      <c r="AO159" s="84">
        <f>IF(AM159&gt;=AH159,AI159,AI159*AM159/AH159)</f>
        <v/>
      </c>
      <c r="AP159">
        <f t="array" ref="AP159">INDEX($AU$8:$BB$25,6*(R159-1)+MATCH(AB159,$AS$8:$AS$13,0),MATCH(O159,$AU$7:$BB$7,0))</f>
        <v/>
      </c>
    </row>
    <row r="160" ht="14.25" customHeight="1">
      <c r="O160" s="43" t="inlineStr">
        <is>
          <t>Q2’26</t>
        </is>
      </c>
      <c r="P160" s="43" t="n">
        <v>1</v>
      </c>
      <c r="Q160" s="43" t="n">
        <v>8</v>
      </c>
      <c r="R160" s="43" t="n">
        <v>3</v>
      </c>
      <c r="S160" s="45" t="n">
        <v>940.8</v>
      </c>
      <c r="T160">
        <f>(S158+S159+S160)=O2</f>
        <v/>
      </c>
      <c r="X160" s="84">
        <f>MAX(S157-S160,0)</f>
        <v/>
      </c>
      <c r="Y160" s="83" t="n">
        <v>0</v>
      </c>
      <c r="AA160" s="84" t="n">
        <v>1</v>
      </c>
      <c r="AB160" s="84" t="inlineStr">
        <is>
          <t>A</t>
        </is>
      </c>
      <c r="AC160" s="84" t="inlineStr">
        <is>
          <t>A+</t>
        </is>
      </c>
      <c r="AD160" s="84" t="n">
        <v>18</v>
      </c>
      <c r="AE160" s="84" t="n">
        <v>16</v>
      </c>
      <c r="AF160" s="84" t="n">
        <v>0.78</v>
      </c>
      <c r="AG160" s="84" t="n">
        <v>0.84</v>
      </c>
      <c r="AH160" s="84" t="n">
        <v>0</v>
      </c>
      <c r="AI160" s="84" t="n">
        <v>0</v>
      </c>
      <c r="AJ160" s="84">
        <f>SUMIFS(AH$8:AH$1039,$O$8:$O$1039,O160,$AB$8:$AB$1039,AB160,$R$8:$R$1039,R160,$AA$8:$AA$1039,"&lt;="&amp;AA160)</f>
        <v/>
      </c>
      <c r="AK160" s="84">
        <f>E20</f>
        <v/>
      </c>
      <c r="AL160" s="84">
        <f>E26</f>
        <v/>
      </c>
      <c r="AM160" s="84">
        <f>MAX(0,AJ160-AK160)</f>
        <v/>
      </c>
      <c r="AN160" s="84">
        <f>IF(AM160=0,AH160,IF(AM160&gt;=AH160,0,AH160-AM160))</f>
        <v/>
      </c>
      <c r="AO160" s="84">
        <f>IF(AM160&gt;=AH160,AI160,AI160*AM160/AH160)</f>
        <v/>
      </c>
      <c r="AP160">
        <f t="array" ref="AP160">INDEX($AU$8:$BB$25,6*(R160-1)+MATCH(AB160,$AS$8:$AS$13,0),MATCH(O160,$AU$7:$BB$7,0))</f>
        <v/>
      </c>
    </row>
    <row r="161" ht="14.25" customHeight="1">
      <c r="O161" s="43" t="inlineStr">
        <is>
          <t>Q2’26</t>
        </is>
      </c>
      <c r="P161" s="43" t="n">
        <v>1</v>
      </c>
      <c r="Q161" s="43" t="n">
        <v>9</v>
      </c>
      <c r="R161" s="43" t="n">
        <v>1</v>
      </c>
      <c r="S161" s="45" t="n">
        <v>7159.114812611545</v>
      </c>
      <c r="T161">
        <f>(S161+S162+S163)=O2</f>
        <v/>
      </c>
      <c r="X161" s="84">
        <f>MAX(S158-S161,0)</f>
        <v/>
      </c>
      <c r="Y161" s="83" t="n">
        <v>0</v>
      </c>
      <c r="AA161" s="84" t="n">
        <v>2</v>
      </c>
      <c r="AB161" s="84" t="inlineStr">
        <is>
          <t>A</t>
        </is>
      </c>
      <c r="AC161" s="84" t="inlineStr">
        <is>
          <t>A+</t>
        </is>
      </c>
      <c r="AD161" s="84" t="n">
        <v>16</v>
      </c>
      <c r="AE161" s="84" t="n">
        <v>13</v>
      </c>
      <c r="AF161" s="84" t="n">
        <v>0.78</v>
      </c>
      <c r="AG161" s="84" t="n">
        <v>0.84</v>
      </c>
      <c r="AH161" s="84" t="n">
        <v>0</v>
      </c>
      <c r="AI161" s="84" t="n">
        <v>0</v>
      </c>
      <c r="AJ161" s="84">
        <f>SUMIFS(AH$8:AH$1039,$O$8:$O$1039,O161,$AB$8:$AB$1039,AB161,$R$8:$R$1039,R161,$AA$8:$AA$1039,"&lt;="&amp;AA161)</f>
        <v/>
      </c>
      <c r="AK161" s="84">
        <f>C20</f>
        <v/>
      </c>
      <c r="AL161" s="84">
        <f>C26</f>
        <v/>
      </c>
      <c r="AM161" s="84">
        <f>MAX(0,AJ161-AK161)</f>
        <v/>
      </c>
      <c r="AN161" s="84">
        <f>IF(AM161=0,AH161,IF(AM161&gt;=AH161,0,AH161-AM161))</f>
        <v/>
      </c>
      <c r="AO161" s="84">
        <f>IF(AM161&gt;=AH161,AI161,AI161*AM161/AH161)</f>
        <v/>
      </c>
      <c r="AP161">
        <f t="array" ref="AP161">INDEX($AU$8:$BB$25,6*(R161-1)+MATCH(AB161,$AS$8:$AS$13,0),MATCH(O161,$AU$7:$BB$7,0))</f>
        <v/>
      </c>
    </row>
    <row r="162" ht="14.25" customHeight="1">
      <c r="O162" s="43" t="inlineStr">
        <is>
          <t>Q2’26</t>
        </is>
      </c>
      <c r="P162" s="43" t="n">
        <v>1</v>
      </c>
      <c r="Q162" s="43" t="n">
        <v>9</v>
      </c>
      <c r="R162" s="43" t="n">
        <v>2</v>
      </c>
      <c r="S162" s="45" t="n">
        <v>1900.085187388455</v>
      </c>
      <c r="T162">
        <f>(S161+S162+S163)=O2</f>
        <v/>
      </c>
      <c r="X162" s="84">
        <f>MAX(S159-S162,0)</f>
        <v/>
      </c>
      <c r="Y162" s="83" t="n">
        <v>0</v>
      </c>
      <c r="AA162" s="84" t="n">
        <v>2</v>
      </c>
      <c r="AB162" s="84" t="inlineStr">
        <is>
          <t>A</t>
        </is>
      </c>
      <c r="AC162" s="84" t="inlineStr">
        <is>
          <t>A+</t>
        </is>
      </c>
      <c r="AD162" s="84" t="n">
        <v>16</v>
      </c>
      <c r="AE162" s="84" t="n">
        <v>13</v>
      </c>
      <c r="AF162" s="84" t="n">
        <v>0.78</v>
      </c>
      <c r="AG162" s="84" t="n">
        <v>0.84</v>
      </c>
      <c r="AH162" s="84" t="n">
        <v>0</v>
      </c>
      <c r="AI162" s="84" t="n">
        <v>0</v>
      </c>
      <c r="AJ162" s="84">
        <f>SUMIFS(AH$8:AH$1039,$O$8:$O$1039,O162,$AB$8:$AB$1039,AB162,$R$8:$R$1039,R162,$AA$8:$AA$1039,"&lt;="&amp;AA162)</f>
        <v/>
      </c>
      <c r="AK162" s="84">
        <f>D20</f>
        <v/>
      </c>
      <c r="AL162" s="84">
        <f>D26</f>
        <v/>
      </c>
      <c r="AM162" s="84">
        <f>MAX(0,AJ162-AK162)</f>
        <v/>
      </c>
      <c r="AN162" s="84">
        <f>IF(AM162=0,AH162,IF(AM162&gt;=AH162,0,AH162-AM162))</f>
        <v/>
      </c>
      <c r="AO162" s="84">
        <f>IF(AM162&gt;=AH162,AI162,AI162*AM162/AH162)</f>
        <v/>
      </c>
      <c r="AP162">
        <f t="array" ref="AP162">INDEX($AU$8:$BB$25,6*(R162-1)+MATCH(AB162,$AS$8:$AS$13,0),MATCH(O162,$AU$7:$BB$7,0))</f>
        <v/>
      </c>
    </row>
    <row r="163" ht="14.25" customHeight="1">
      <c r="O163" s="43" t="inlineStr">
        <is>
          <t>Q2’26</t>
        </is>
      </c>
      <c r="P163" s="43" t="n">
        <v>1</v>
      </c>
      <c r="Q163" s="43" t="n">
        <v>9</v>
      </c>
      <c r="R163" s="43" t="n">
        <v>3</v>
      </c>
      <c r="S163" s="45" t="n">
        <v>940.8</v>
      </c>
      <c r="T163">
        <f>(S161+S162+S163)=O2</f>
        <v/>
      </c>
      <c r="X163" s="84">
        <f>MAX(S160-S163,0)</f>
        <v/>
      </c>
      <c r="Y163" s="83" t="n">
        <v>0</v>
      </c>
      <c r="AA163" s="84" t="n">
        <v>2</v>
      </c>
      <c r="AB163" s="84" t="inlineStr">
        <is>
          <t>A</t>
        </is>
      </c>
      <c r="AC163" s="84" t="inlineStr">
        <is>
          <t>A+</t>
        </is>
      </c>
      <c r="AD163" s="84" t="n">
        <v>16</v>
      </c>
      <c r="AE163" s="84" t="n">
        <v>13</v>
      </c>
      <c r="AF163" s="84" t="n">
        <v>0.78</v>
      </c>
      <c r="AG163" s="84" t="n">
        <v>0.84</v>
      </c>
      <c r="AH163" s="84" t="n">
        <v>0</v>
      </c>
      <c r="AI163" s="84" t="n">
        <v>0</v>
      </c>
      <c r="AJ163" s="84">
        <f>SUMIFS(AH$8:AH$1039,$O$8:$O$1039,O163,$AB$8:$AB$1039,AB163,$R$8:$R$1039,R163,$AA$8:$AA$1039,"&lt;="&amp;AA163)</f>
        <v/>
      </c>
      <c r="AK163" s="84">
        <f>E20</f>
        <v/>
      </c>
      <c r="AL163" s="84">
        <f>E26</f>
        <v/>
      </c>
      <c r="AM163" s="84">
        <f>MAX(0,AJ163-AK163)</f>
        <v/>
      </c>
      <c r="AN163" s="84">
        <f>IF(AM163=0,AH163,IF(AM163&gt;=AH163,0,AH163-AM163))</f>
        <v/>
      </c>
      <c r="AO163" s="84">
        <f>IF(AM163&gt;=AH163,AI163,AI163*AM163/AH163)</f>
        <v/>
      </c>
      <c r="AP163">
        <f t="array" ref="AP163">INDEX($AU$8:$BB$25,6*(R163-1)+MATCH(AB163,$AS$8:$AS$13,0),MATCH(O163,$AU$7:$BB$7,0))</f>
        <v/>
      </c>
    </row>
    <row r="164" ht="14.25" customHeight="1">
      <c r="O164" s="43" t="inlineStr">
        <is>
          <t>Q2’26</t>
        </is>
      </c>
      <c r="P164" s="43" t="n">
        <v>1</v>
      </c>
      <c r="Q164" s="43" t="n">
        <v>10</v>
      </c>
      <c r="R164" s="43" t="n">
        <v>1</v>
      </c>
      <c r="S164" s="45" t="n">
        <v>7159.114812611546</v>
      </c>
      <c r="T164">
        <f>(S164+S165+S166)=O2</f>
        <v/>
      </c>
      <c r="X164" s="84">
        <f>MAX(S161-S164,0)</f>
        <v/>
      </c>
      <c r="Y164" s="83" t="n">
        <v>0</v>
      </c>
      <c r="AA164" s="84" t="n">
        <v>6</v>
      </c>
      <c r="AB164" s="84" t="inlineStr">
        <is>
          <t>D</t>
        </is>
      </c>
      <c r="AC164" s="84" t="inlineStr">
        <is>
          <t>D+</t>
        </is>
      </c>
      <c r="AD164" s="84" t="n">
        <v>14</v>
      </c>
      <c r="AE164" s="84" t="n">
        <v>11</v>
      </c>
      <c r="AF164" s="84" t="n">
        <v>0.8</v>
      </c>
      <c r="AG164" s="84" t="n">
        <v>0.88</v>
      </c>
      <c r="AH164" s="84" t="n">
        <v>0</v>
      </c>
      <c r="AI164" s="84" t="n">
        <v>0</v>
      </c>
      <c r="AJ164" s="84">
        <f>SUMIFS(AH$8:AH$1039,$O$8:$O$1039,O164,$AB$8:$AB$1039,AB164,$R$8:$R$1039,R164,$AA$8:$AA$1039,"&lt;="&amp;AA164)</f>
        <v/>
      </c>
      <c r="AK164" s="84">
        <f>C23</f>
        <v/>
      </c>
      <c r="AL164" s="84">
        <f>C29</f>
        <v/>
      </c>
      <c r="AM164" s="84">
        <f>MAX(0,AJ164-AK164)</f>
        <v/>
      </c>
      <c r="AN164" s="84">
        <f>IF(AM164=0,AH164,IF(AM164&gt;=AH164,0,AH164-AM164))</f>
        <v/>
      </c>
      <c r="AO164" s="84">
        <f>IF(AM164&gt;=AH164,AI164,AI164*AM164/AH164)</f>
        <v/>
      </c>
      <c r="AP164">
        <f t="array" ref="AP164">INDEX($AU$8:$BB$25,6*(R164-1)+MATCH(AB164,$AS$8:$AS$13,0),MATCH(O164,$AU$7:$BB$7,0))</f>
        <v/>
      </c>
    </row>
    <row r="165" ht="14.25" customHeight="1">
      <c r="O165" s="43" t="inlineStr">
        <is>
          <t>Q2’26</t>
        </is>
      </c>
      <c r="P165" s="43" t="n">
        <v>1</v>
      </c>
      <c r="Q165" s="43" t="n">
        <v>10</v>
      </c>
      <c r="R165" s="43" t="n">
        <v>2</v>
      </c>
      <c r="S165" s="45" t="n">
        <v>1900.085187388454</v>
      </c>
      <c r="T165">
        <f>(S164+S165+S166)=O2</f>
        <v/>
      </c>
      <c r="X165" s="84">
        <f>MAX(S162-S165,0)</f>
        <v/>
      </c>
      <c r="Y165" s="83" t="n">
        <v>0</v>
      </c>
      <c r="AA165" s="84" t="n">
        <v>6</v>
      </c>
      <c r="AB165" s="84" t="inlineStr">
        <is>
          <t>D</t>
        </is>
      </c>
      <c r="AC165" s="84" t="inlineStr">
        <is>
          <t>D+</t>
        </is>
      </c>
      <c r="AD165" s="84" t="n">
        <v>14</v>
      </c>
      <c r="AE165" s="84" t="n">
        <v>11</v>
      </c>
      <c r="AF165" s="84" t="n">
        <v>0.8</v>
      </c>
      <c r="AG165" s="84" t="n">
        <v>0.88</v>
      </c>
      <c r="AH165" s="84" t="n">
        <v>0</v>
      </c>
      <c r="AI165" s="84" t="n">
        <v>0</v>
      </c>
      <c r="AJ165" s="84">
        <f>SUMIFS(AH$8:AH$1039,$O$8:$O$1039,O165,$AB$8:$AB$1039,AB165,$R$8:$R$1039,R165,$AA$8:$AA$1039,"&lt;="&amp;AA165)</f>
        <v/>
      </c>
      <c r="AK165" s="84">
        <f>D23</f>
        <v/>
      </c>
      <c r="AL165" s="84">
        <f>D29</f>
        <v/>
      </c>
      <c r="AM165" s="84">
        <f>MAX(0,AJ165-AK165)</f>
        <v/>
      </c>
      <c r="AN165" s="84">
        <f>IF(AM165=0,AH165,IF(AM165&gt;=AH165,0,AH165-AM165))</f>
        <v/>
      </c>
      <c r="AO165" s="84">
        <f>IF(AM165&gt;=AH165,AI165,AI165*AM165/AH165)</f>
        <v/>
      </c>
      <c r="AP165">
        <f t="array" ref="AP165">INDEX($AU$8:$BB$25,6*(R165-1)+MATCH(AB165,$AS$8:$AS$13,0),MATCH(O165,$AU$7:$BB$7,0))</f>
        <v/>
      </c>
    </row>
    <row r="166" ht="14.25" customHeight="1">
      <c r="O166" s="43" t="inlineStr">
        <is>
          <t>Q2’26</t>
        </is>
      </c>
      <c r="P166" s="43" t="n">
        <v>1</v>
      </c>
      <c r="Q166" s="43" t="n">
        <v>10</v>
      </c>
      <c r="R166" s="43" t="n">
        <v>3</v>
      </c>
      <c r="S166" s="45" t="n">
        <v>940.8</v>
      </c>
      <c r="T166">
        <f>(S164+S165+S166)=O2</f>
        <v/>
      </c>
      <c r="X166" s="84">
        <f>MAX(S163-S166,0)</f>
        <v/>
      </c>
      <c r="Y166" s="83" t="n">
        <v>0</v>
      </c>
      <c r="AA166" s="84" t="n">
        <v>6</v>
      </c>
      <c r="AB166" s="84" t="inlineStr">
        <is>
          <t>D</t>
        </is>
      </c>
      <c r="AC166" s="84" t="inlineStr">
        <is>
          <t>D+</t>
        </is>
      </c>
      <c r="AD166" s="84" t="n">
        <v>14</v>
      </c>
      <c r="AE166" s="84" t="n">
        <v>11</v>
      </c>
      <c r="AF166" s="84" t="n">
        <v>0.8</v>
      </c>
      <c r="AG166" s="84" t="n">
        <v>0.88</v>
      </c>
      <c r="AH166" s="84" t="n">
        <v>0</v>
      </c>
      <c r="AI166" s="84" t="n">
        <v>0</v>
      </c>
      <c r="AJ166" s="84">
        <f>SUMIFS(AH$8:AH$1039,$O$8:$O$1039,O166,$AB$8:$AB$1039,AB166,$R$8:$R$1039,R166,$AA$8:$AA$1039,"&lt;="&amp;AA166)</f>
        <v/>
      </c>
      <c r="AK166" s="84">
        <f>E23</f>
        <v/>
      </c>
      <c r="AL166" s="84">
        <f>E29</f>
        <v/>
      </c>
      <c r="AM166" s="84">
        <f>MAX(0,AJ166-AK166)</f>
        <v/>
      </c>
      <c r="AN166" s="84">
        <f>IF(AM166=0,AH166,IF(AM166&gt;=AH166,0,AH166-AM166))</f>
        <v/>
      </c>
      <c r="AO166" s="84">
        <f>IF(AM166&gt;=AH166,AI166,AI166*AM166/AH166)</f>
        <v/>
      </c>
      <c r="AP166">
        <f t="array" ref="AP166">INDEX($AU$8:$BB$25,6*(R166-1)+MATCH(AB166,$AS$8:$AS$13,0),MATCH(O166,$AU$7:$BB$7,0))</f>
        <v/>
      </c>
    </row>
    <row r="167" ht="14.25" customHeight="1">
      <c r="O167" s="43" t="inlineStr">
        <is>
          <t>Q2’26</t>
        </is>
      </c>
      <c r="P167" s="43" t="n">
        <v>1</v>
      </c>
      <c r="Q167" s="43" t="n">
        <v>11</v>
      </c>
      <c r="R167" s="43" t="n">
        <v>1</v>
      </c>
      <c r="S167" s="45" t="n">
        <v>7159.114812611546</v>
      </c>
      <c r="T167">
        <f>(S167+S168+S169)=O2</f>
        <v/>
      </c>
      <c r="X167" s="84">
        <f>MAX(S164-S167,0)</f>
        <v/>
      </c>
      <c r="Y167" s="83" t="n">
        <v>0</v>
      </c>
      <c r="AA167" s="84" t="n">
        <v>3</v>
      </c>
      <c r="AB167" s="84" t="inlineStr">
        <is>
          <t>F</t>
        </is>
      </c>
      <c r="AC167" s="84" t="inlineStr">
        <is>
          <t>F+</t>
        </is>
      </c>
      <c r="AD167" s="84" t="n">
        <v>18</v>
      </c>
      <c r="AE167" s="84" t="n">
        <v>16</v>
      </c>
      <c r="AF167" s="84" t="n">
        <v>0.8</v>
      </c>
      <c r="AG167" s="84" t="n">
        <v>0.9</v>
      </c>
      <c r="AH167" s="84" t="n">
        <v>0</v>
      </c>
      <c r="AI167" s="84" t="n">
        <v>0</v>
      </c>
      <c r="AJ167" s="84">
        <f>SUMIFS(AH$8:AH$1039,$O$8:$O$1039,O167,$AB$8:$AB$1039,AB167,$R$8:$R$1039,R167,$AA$8:$AA$1039,"&lt;="&amp;AA167)</f>
        <v/>
      </c>
      <c r="AK167" s="84">
        <f>C25</f>
        <v/>
      </c>
      <c r="AL167" s="84">
        <f>C31</f>
        <v/>
      </c>
      <c r="AM167" s="84">
        <f>MAX(0,AJ167-AK167)</f>
        <v/>
      </c>
      <c r="AN167" s="84">
        <f>IF(AM167=0,AH167,IF(AM167&gt;=AH167,0,AH167-AM167))</f>
        <v/>
      </c>
      <c r="AO167" s="84">
        <f>IF(AM167&gt;=AH167,AI167,AI167*AM167/AH167)</f>
        <v/>
      </c>
      <c r="AP167">
        <f t="array" ref="AP167">INDEX($AU$8:$BB$25,6*(R167-1)+MATCH(AB167,$AS$8:$AS$13,0),MATCH(O167,$AU$7:$BB$7,0))</f>
        <v/>
      </c>
    </row>
    <row r="168" ht="14.25" customHeight="1">
      <c r="O168" s="43" t="inlineStr">
        <is>
          <t>Q2’26</t>
        </is>
      </c>
      <c r="P168" s="43" t="n">
        <v>1</v>
      </c>
      <c r="Q168" s="43" t="n">
        <v>11</v>
      </c>
      <c r="R168" s="43" t="n">
        <v>2</v>
      </c>
      <c r="S168" s="45" t="n">
        <v>1900.085187388455</v>
      </c>
      <c r="T168">
        <f>(S167+S168+S169)=O2</f>
        <v/>
      </c>
      <c r="X168" s="84">
        <f>MAX(S165-S168,0)</f>
        <v/>
      </c>
      <c r="Y168" s="83" t="n">
        <v>0</v>
      </c>
      <c r="AA168" s="84" t="n">
        <v>3</v>
      </c>
      <c r="AB168" s="84" t="inlineStr">
        <is>
          <t>F</t>
        </is>
      </c>
      <c r="AC168" s="84" t="inlineStr">
        <is>
          <t>F+</t>
        </is>
      </c>
      <c r="AD168" s="84" t="n">
        <v>18</v>
      </c>
      <c r="AE168" s="84" t="n">
        <v>16</v>
      </c>
      <c r="AF168" s="84" t="n">
        <v>0.8</v>
      </c>
      <c r="AG168" s="84" t="n">
        <v>0.9</v>
      </c>
      <c r="AH168" s="84" t="n">
        <v>0</v>
      </c>
      <c r="AI168" s="84" t="n">
        <v>0</v>
      </c>
      <c r="AJ168" s="84">
        <f>SUMIFS(AH$8:AH$1039,$O$8:$O$1039,O168,$AB$8:$AB$1039,AB168,$R$8:$R$1039,R168,$AA$8:$AA$1039,"&lt;="&amp;AA168)</f>
        <v/>
      </c>
      <c r="AK168" s="84">
        <f>D25</f>
        <v/>
      </c>
      <c r="AL168" s="84">
        <f>D31</f>
        <v/>
      </c>
      <c r="AM168" s="84">
        <f>MAX(0,AJ168-AK168)</f>
        <v/>
      </c>
      <c r="AN168" s="84">
        <f>IF(AM168=0,AH168,IF(AM168&gt;=AH168,0,AH168-AM168))</f>
        <v/>
      </c>
      <c r="AO168" s="84">
        <f>IF(AM168&gt;=AH168,AI168,AI168*AM168/AH168)</f>
        <v/>
      </c>
      <c r="AP168">
        <f t="array" ref="AP168">INDEX($AU$8:$BB$25,6*(R168-1)+MATCH(AB168,$AS$8:$AS$13,0),MATCH(O168,$AU$7:$BB$7,0))</f>
        <v/>
      </c>
    </row>
    <row r="169" ht="14.25" customHeight="1">
      <c r="O169" s="43" t="inlineStr">
        <is>
          <t>Q2’26</t>
        </is>
      </c>
      <c r="P169" s="43" t="n">
        <v>1</v>
      </c>
      <c r="Q169" s="43" t="n">
        <v>11</v>
      </c>
      <c r="R169" s="43" t="n">
        <v>3</v>
      </c>
      <c r="S169" s="45" t="n">
        <v>940.8</v>
      </c>
      <c r="T169">
        <f>(S167+S168+S169)=O2</f>
        <v/>
      </c>
      <c r="X169" s="84">
        <f>MAX(S166-S169,0)</f>
        <v/>
      </c>
      <c r="Y169" s="83" t="n">
        <v>0</v>
      </c>
      <c r="AA169" s="84" t="n">
        <v>3</v>
      </c>
      <c r="AB169" s="84" t="inlineStr">
        <is>
          <t>F</t>
        </is>
      </c>
      <c r="AC169" s="84" t="inlineStr">
        <is>
          <t>F+</t>
        </is>
      </c>
      <c r="AD169" s="84" t="n">
        <v>18</v>
      </c>
      <c r="AE169" s="84" t="n">
        <v>16</v>
      </c>
      <c r="AF169" s="84" t="n">
        <v>0.8</v>
      </c>
      <c r="AG169" s="84" t="n">
        <v>0.9</v>
      </c>
      <c r="AH169" s="84" t="n">
        <v>0</v>
      </c>
      <c r="AI169" s="84" t="n">
        <v>0</v>
      </c>
      <c r="AJ169" s="84">
        <f>SUMIFS(AH$8:AH$1039,$O$8:$O$1039,O169,$AB$8:$AB$1039,AB169,$R$8:$R$1039,R169,$AA$8:$AA$1039,"&lt;="&amp;AA169)</f>
        <v/>
      </c>
      <c r="AK169" s="84">
        <f>E25</f>
        <v/>
      </c>
      <c r="AL169" s="84">
        <f>E31</f>
        <v/>
      </c>
      <c r="AM169" s="84">
        <f>MAX(0,AJ169-AK169)</f>
        <v/>
      </c>
      <c r="AN169" s="84">
        <f>IF(AM169=0,AH169,IF(AM169&gt;=AH169,0,AH169-AM169))</f>
        <v/>
      </c>
      <c r="AO169" s="84">
        <f>IF(AM169&gt;=AH169,AI169,AI169*AM169/AH169)</f>
        <v/>
      </c>
      <c r="AP169">
        <f t="array" ref="AP169">INDEX($AU$8:$BB$25,6*(R169-1)+MATCH(AB169,$AS$8:$AS$13,0),MATCH(O169,$AU$7:$BB$7,0))</f>
        <v/>
      </c>
    </row>
    <row r="170" ht="14.25" customHeight="1">
      <c r="O170" s="43" t="inlineStr">
        <is>
          <t>Q2’26</t>
        </is>
      </c>
      <c r="P170" s="43" t="n">
        <v>2</v>
      </c>
      <c r="Q170" s="43" t="n">
        <v>1</v>
      </c>
      <c r="R170" s="43" t="n">
        <v>1</v>
      </c>
      <c r="S170" s="45" t="n">
        <v>2397.268292682927</v>
      </c>
      <c r="T170">
        <f>(S170+S171+S172)=O3</f>
        <v/>
      </c>
      <c r="X170" s="84" t="n">
        <v>0</v>
      </c>
      <c r="Y170" s="83" t="n">
        <v>0</v>
      </c>
      <c r="AA170" s="84" t="n">
        <v>9</v>
      </c>
      <c r="AB170" s="84" t="inlineStr">
        <is>
          <t>F</t>
        </is>
      </c>
      <c r="AC170" s="84" t="inlineStr">
        <is>
          <t>F+</t>
        </is>
      </c>
      <c r="AD170" s="84" t="n">
        <v>19</v>
      </c>
      <c r="AE170" s="84" t="n">
        <v>16</v>
      </c>
      <c r="AF170" s="84" t="n">
        <v>0.8</v>
      </c>
      <c r="AG170" s="84" t="n">
        <v>0.9</v>
      </c>
      <c r="AH170" s="84" t="n">
        <v>0</v>
      </c>
      <c r="AI170" s="84" t="n">
        <v>0</v>
      </c>
      <c r="AJ170" s="84">
        <f>SUMIFS(AH$8:AH$1039,$O$8:$O$1039,O170,$AB$8:$AB$1039,AB170,$R$8:$R$1039,R170,$AA$8:$AA$1039,"&lt;="&amp;AA170)</f>
        <v/>
      </c>
      <c r="AK170" s="84">
        <f>C25</f>
        <v/>
      </c>
      <c r="AL170" s="84">
        <f>C31</f>
        <v/>
      </c>
      <c r="AM170" s="84">
        <f>MAX(0,AJ170-AK170)</f>
        <v/>
      </c>
      <c r="AN170" s="84">
        <f>IF(AM170=0,AH170,IF(AM170&gt;=AH170,0,AH170-AM170))</f>
        <v/>
      </c>
      <c r="AO170" s="84">
        <f>IF(AM170&gt;=AH170,AI170,AI170*AM170/AH170)</f>
        <v/>
      </c>
      <c r="AP170">
        <f t="array" ref="AP170">INDEX($AU$8:$BB$25,6*(R170-1)+MATCH(AB170,$AS$8:$AS$13,0),MATCH(O170,$AU$7:$BB$7,0))</f>
        <v/>
      </c>
    </row>
    <row r="171" ht="14.25" customHeight="1">
      <c r="O171" s="43" t="inlineStr">
        <is>
          <t>Q2’26</t>
        </is>
      </c>
      <c r="P171" s="43" t="n">
        <v>2</v>
      </c>
      <c r="Q171" s="43" t="n">
        <v>1</v>
      </c>
      <c r="R171" s="43" t="n">
        <v>2</v>
      </c>
      <c r="S171" s="45" t="n">
        <v>2802.731707317073</v>
      </c>
      <c r="T171">
        <f>(S170+S171+S172)=O3</f>
        <v/>
      </c>
      <c r="X171" s="84" t="n">
        <v>0</v>
      </c>
      <c r="Y171" s="83" t="n">
        <v>0</v>
      </c>
      <c r="AA171" s="84" t="n">
        <v>9</v>
      </c>
      <c r="AB171" s="84" t="inlineStr">
        <is>
          <t>F</t>
        </is>
      </c>
      <c r="AC171" s="84" t="inlineStr">
        <is>
          <t>F+</t>
        </is>
      </c>
      <c r="AD171" s="84" t="n">
        <v>19</v>
      </c>
      <c r="AE171" s="84" t="n">
        <v>16</v>
      </c>
      <c r="AF171" s="84" t="n">
        <v>0.8</v>
      </c>
      <c r="AG171" s="84" t="n">
        <v>0.9</v>
      </c>
      <c r="AH171" s="84" t="n">
        <v>0</v>
      </c>
      <c r="AI171" s="84" t="n">
        <v>0</v>
      </c>
      <c r="AJ171" s="84">
        <f>SUMIFS(AH$8:AH$1039,$O$8:$O$1039,O171,$AB$8:$AB$1039,AB171,$R$8:$R$1039,R171,$AA$8:$AA$1039,"&lt;="&amp;AA171)</f>
        <v/>
      </c>
      <c r="AK171" s="84">
        <f>D25</f>
        <v/>
      </c>
      <c r="AL171" s="84">
        <f>D31</f>
        <v/>
      </c>
      <c r="AM171" s="84">
        <f>MAX(0,AJ171-AK171)</f>
        <v/>
      </c>
      <c r="AN171" s="84">
        <f>IF(AM171=0,AH171,IF(AM171&gt;=AH171,0,AH171-AM171))</f>
        <v/>
      </c>
      <c r="AO171" s="84">
        <f>IF(AM171&gt;=AH171,AI171,AI171*AM171/AH171)</f>
        <v/>
      </c>
      <c r="AP171">
        <f t="array" ref="AP171">INDEX($AU$8:$BB$25,6*(R171-1)+MATCH(AB171,$AS$8:$AS$13,0),MATCH(O171,$AU$7:$BB$7,0))</f>
        <v/>
      </c>
    </row>
    <row r="172" ht="14.25" customHeight="1">
      <c r="O172" s="43" t="inlineStr">
        <is>
          <t>Q2’26</t>
        </is>
      </c>
      <c r="P172" s="43" t="n">
        <v>2</v>
      </c>
      <c r="Q172" s="43" t="n">
        <v>1</v>
      </c>
      <c r="R172" s="43" t="n">
        <v>3</v>
      </c>
      <c r="S172" s="45" t="n">
        <v>0</v>
      </c>
      <c r="T172">
        <f>(S170+S171+S172)=O3</f>
        <v/>
      </c>
      <c r="X172" s="84" t="n">
        <v>0</v>
      </c>
      <c r="Y172" s="83" t="n">
        <v>0</v>
      </c>
      <c r="AA172" s="84" t="n">
        <v>9</v>
      </c>
      <c r="AB172" s="84" t="inlineStr">
        <is>
          <t>F</t>
        </is>
      </c>
      <c r="AC172" s="84" t="inlineStr">
        <is>
          <t>F+</t>
        </is>
      </c>
      <c r="AD172" s="84" t="n">
        <v>19</v>
      </c>
      <c r="AE172" s="84" t="n">
        <v>16</v>
      </c>
      <c r="AF172" s="84" t="n">
        <v>0.8</v>
      </c>
      <c r="AG172" s="84" t="n">
        <v>0.9</v>
      </c>
      <c r="AH172" s="84" t="n">
        <v>0</v>
      </c>
      <c r="AI172" s="84" t="n">
        <v>0</v>
      </c>
      <c r="AJ172" s="84">
        <f>SUMIFS(AH$8:AH$1039,$O$8:$O$1039,O172,$AB$8:$AB$1039,AB172,$R$8:$R$1039,R172,$AA$8:$AA$1039,"&lt;="&amp;AA172)</f>
        <v/>
      </c>
      <c r="AK172" s="84">
        <f>E25</f>
        <v/>
      </c>
      <c r="AL172" s="84">
        <f>E31</f>
        <v/>
      </c>
      <c r="AM172" s="84">
        <f>MAX(0,AJ172-AK172)</f>
        <v/>
      </c>
      <c r="AN172" s="84">
        <f>IF(AM172=0,AH172,IF(AM172&gt;=AH172,0,AH172-AM172))</f>
        <v/>
      </c>
      <c r="AO172" s="84">
        <f>IF(AM172&gt;=AH172,AI172,AI172*AM172/AH172)</f>
        <v/>
      </c>
      <c r="AP172">
        <f t="array" ref="AP172">INDEX($AU$8:$BB$25,6*(R172-1)+MATCH(AB172,$AS$8:$AS$13,0),MATCH(O172,$AU$7:$BB$7,0))</f>
        <v/>
      </c>
    </row>
    <row r="173" ht="14.25" customHeight="1">
      <c r="O173" s="43" t="inlineStr">
        <is>
          <t>Q2’26</t>
        </is>
      </c>
      <c r="P173" s="43" t="n">
        <v>2</v>
      </c>
      <c r="Q173" s="43" t="n">
        <v>2</v>
      </c>
      <c r="R173" s="43" t="n">
        <v>1</v>
      </c>
      <c r="S173" s="45" t="n">
        <v>2397.268292682927</v>
      </c>
      <c r="T173">
        <f>(S173+S174+S175)=O3</f>
        <v/>
      </c>
      <c r="X173" s="84">
        <f>MAX(S170-S173,0)</f>
        <v/>
      </c>
      <c r="Y173" s="83" t="n">
        <v>0</v>
      </c>
      <c r="AA173" s="84" t="n">
        <v>1</v>
      </c>
      <c r="AB173" s="84" t="inlineStr">
        <is>
          <t>B</t>
        </is>
      </c>
      <c r="AC173" s="84" t="inlineStr">
        <is>
          <t>B+</t>
        </is>
      </c>
      <c r="AD173" s="84" t="n">
        <v>20</v>
      </c>
      <c r="AE173" s="84" t="n">
        <v>18</v>
      </c>
      <c r="AF173" s="84" t="n">
        <v>0.76</v>
      </c>
      <c r="AG173" s="84" t="n">
        <v>0.8100000000000001</v>
      </c>
      <c r="AH173" s="84" t="n">
        <v>0</v>
      </c>
      <c r="AI173" s="84" t="n">
        <v>0</v>
      </c>
      <c r="AJ173" s="84">
        <f>SUMIFS(AH$8:AH$1039,$O$8:$O$1039,O173,$AB$8:$AB$1039,AB173,$R$8:$R$1039,R173,$AA$8:$AA$1039,"&lt;="&amp;AA173)</f>
        <v/>
      </c>
      <c r="AK173" s="84">
        <f>C21</f>
        <v/>
      </c>
      <c r="AL173" s="84">
        <f>C27</f>
        <v/>
      </c>
      <c r="AM173" s="84">
        <f>MAX(0,AJ173-AK173)</f>
        <v/>
      </c>
      <c r="AN173" s="84">
        <f>IF(AM173=0,AH173,IF(AM173&gt;=AH173,0,AH173-AM173))</f>
        <v/>
      </c>
      <c r="AO173" s="84">
        <f>IF(AM173&gt;=AH173,AI173,AI173*AM173/AH173)</f>
        <v/>
      </c>
      <c r="AP173">
        <f t="array" ref="AP173">INDEX($AU$8:$BB$25,6*(R173-1)+MATCH(AB173,$AS$8:$AS$13,0),MATCH(O173,$AU$7:$BB$7,0))</f>
        <v/>
      </c>
    </row>
    <row r="174" ht="14.25" customHeight="1">
      <c r="O174" s="43" t="inlineStr">
        <is>
          <t>Q2’26</t>
        </is>
      </c>
      <c r="P174" s="43" t="n">
        <v>2</v>
      </c>
      <c r="Q174" s="43" t="n">
        <v>2</v>
      </c>
      <c r="R174" s="43" t="n">
        <v>2</v>
      </c>
      <c r="S174" s="45" t="n">
        <v>2802.731707317073</v>
      </c>
      <c r="T174">
        <f>(S173+S174+S175)=O3</f>
        <v/>
      </c>
      <c r="X174" s="84">
        <f>MAX(S171-S174,0)</f>
        <v/>
      </c>
      <c r="Y174" s="83" t="n">
        <v>0</v>
      </c>
      <c r="AA174" s="84" t="n">
        <v>1</v>
      </c>
      <c r="AB174" s="84" t="inlineStr">
        <is>
          <t>B</t>
        </is>
      </c>
      <c r="AC174" s="84" t="inlineStr">
        <is>
          <t>B+</t>
        </is>
      </c>
      <c r="AD174" s="84" t="n">
        <v>20</v>
      </c>
      <c r="AE174" s="84" t="n">
        <v>18</v>
      </c>
      <c r="AF174" s="84" t="n">
        <v>0.76</v>
      </c>
      <c r="AG174" s="84" t="n">
        <v>0.8100000000000001</v>
      </c>
      <c r="AH174" s="84" t="n">
        <v>0</v>
      </c>
      <c r="AI174" s="84" t="n">
        <v>0</v>
      </c>
      <c r="AJ174" s="84">
        <f>SUMIFS(AH$8:AH$1039,$O$8:$O$1039,O174,$AB$8:$AB$1039,AB174,$R$8:$R$1039,R174,$AA$8:$AA$1039,"&lt;="&amp;AA174)</f>
        <v/>
      </c>
      <c r="AK174" s="84">
        <f>D21</f>
        <v/>
      </c>
      <c r="AL174" s="84">
        <f>D27</f>
        <v/>
      </c>
      <c r="AM174" s="84">
        <f>MAX(0,AJ174-AK174)</f>
        <v/>
      </c>
      <c r="AN174" s="84">
        <f>IF(AM174=0,AH174,IF(AM174&gt;=AH174,0,AH174-AM174))</f>
        <v/>
      </c>
      <c r="AO174" s="84">
        <f>IF(AM174&gt;=AH174,AI174,AI174*AM174/AH174)</f>
        <v/>
      </c>
      <c r="AP174">
        <f t="array" ref="AP174">INDEX($AU$8:$BB$25,6*(R174-1)+MATCH(AB174,$AS$8:$AS$13,0),MATCH(O174,$AU$7:$BB$7,0))</f>
        <v/>
      </c>
    </row>
    <row r="175" ht="14.25" customHeight="1">
      <c r="O175" s="43" t="inlineStr">
        <is>
          <t>Q2’26</t>
        </is>
      </c>
      <c r="P175" s="43" t="n">
        <v>2</v>
      </c>
      <c r="Q175" s="43" t="n">
        <v>2</v>
      </c>
      <c r="R175" s="43" t="n">
        <v>3</v>
      </c>
      <c r="S175" s="45" t="n">
        <v>0</v>
      </c>
      <c r="T175">
        <f>(S173+S174+S175)=O3</f>
        <v/>
      </c>
      <c r="X175" s="84">
        <f>MAX(S172-S175,0)</f>
        <v/>
      </c>
      <c r="Y175" s="83" t="n">
        <v>0</v>
      </c>
      <c r="AA175" s="84" t="n">
        <v>1</v>
      </c>
      <c r="AB175" s="84" t="inlineStr">
        <is>
          <t>B</t>
        </is>
      </c>
      <c r="AC175" s="84" t="inlineStr">
        <is>
          <t>B+</t>
        </is>
      </c>
      <c r="AD175" s="84" t="n">
        <v>20</v>
      </c>
      <c r="AE175" s="84" t="n">
        <v>18</v>
      </c>
      <c r="AF175" s="84" t="n">
        <v>0.76</v>
      </c>
      <c r="AG175" s="84" t="n">
        <v>0.8100000000000001</v>
      </c>
      <c r="AH175" s="84" t="n">
        <v>0</v>
      </c>
      <c r="AI175" s="84" t="n">
        <v>0</v>
      </c>
      <c r="AJ175" s="84">
        <f>SUMIFS(AH$8:AH$1039,$O$8:$O$1039,O175,$AB$8:$AB$1039,AB175,$R$8:$R$1039,R175,$AA$8:$AA$1039,"&lt;="&amp;AA175)</f>
        <v/>
      </c>
      <c r="AK175" s="84">
        <f>E21</f>
        <v/>
      </c>
      <c r="AL175" s="84">
        <f>E27</f>
        <v/>
      </c>
      <c r="AM175" s="84">
        <f>MAX(0,AJ175-AK175)</f>
        <v/>
      </c>
      <c r="AN175" s="84">
        <f>IF(AM175=0,AH175,IF(AM175&gt;=AH175,0,AH175-AM175))</f>
        <v/>
      </c>
      <c r="AO175" s="84">
        <f>IF(AM175&gt;=AH175,AI175,AI175*AM175/AH175)</f>
        <v/>
      </c>
      <c r="AP175">
        <f t="array" ref="AP175">INDEX($AU$8:$BB$25,6*(R175-1)+MATCH(AB175,$AS$8:$AS$13,0),MATCH(O175,$AU$7:$BB$7,0))</f>
        <v/>
      </c>
    </row>
    <row r="176" ht="14.25" customHeight="1">
      <c r="O176" s="43" t="inlineStr">
        <is>
          <t>Q2’26</t>
        </is>
      </c>
      <c r="P176" s="43" t="n">
        <v>2</v>
      </c>
      <c r="Q176" s="43" t="n">
        <v>3</v>
      </c>
      <c r="R176" s="43" t="n">
        <v>1</v>
      </c>
      <c r="S176" s="45" t="n">
        <v>2397.268292682927</v>
      </c>
      <c r="T176">
        <f>(S176+S177+S178)=O3</f>
        <v/>
      </c>
      <c r="X176" s="84">
        <f>MAX(S173-S176,0)</f>
        <v/>
      </c>
      <c r="Y176" s="83" t="n">
        <v>0</v>
      </c>
      <c r="AA176" s="84" t="n">
        <v>11</v>
      </c>
      <c r="AB176" s="84" t="inlineStr">
        <is>
          <t>E</t>
        </is>
      </c>
      <c r="AC176" s="84" t="inlineStr">
        <is>
          <t>E+</t>
        </is>
      </c>
      <c r="AD176" s="84" t="n">
        <v>10</v>
      </c>
      <c r="AE176" s="84" t="n">
        <v>7</v>
      </c>
      <c r="AF176" s="84" t="n">
        <v>0.76</v>
      </c>
      <c r="AG176" s="84" t="n">
        <v>0.84</v>
      </c>
      <c r="AH176" s="84" t="n">
        <v>0</v>
      </c>
      <c r="AI176" s="84" t="n">
        <v>0</v>
      </c>
      <c r="AJ176" s="84">
        <f>SUMIFS(AH$8:AH$1039,$O$8:$O$1039,O176,$AB$8:$AB$1039,AB176,$R$8:$R$1039,R176,$AA$8:$AA$1039,"&lt;="&amp;AA176)</f>
        <v/>
      </c>
      <c r="AK176" s="84">
        <f>C24</f>
        <v/>
      </c>
      <c r="AL176" s="84">
        <f>C30</f>
        <v/>
      </c>
      <c r="AM176" s="84">
        <f>MAX(0,AJ176-AK176)</f>
        <v/>
      </c>
      <c r="AN176" s="84">
        <f>IF(AM176=0,AH176,IF(AM176&gt;=AH176,0,AH176-AM176))</f>
        <v/>
      </c>
      <c r="AO176" s="84">
        <f>IF(AM176&gt;=AH176,AI176,AI176*AM176/AH176)</f>
        <v/>
      </c>
      <c r="AP176">
        <f t="array" ref="AP176">INDEX($AU$8:$BB$25,6*(R176-1)+MATCH(AB176,$AS$8:$AS$13,0),MATCH(O176,$AU$7:$BB$7,0))</f>
        <v/>
      </c>
    </row>
    <row r="177" ht="14.25" customHeight="1">
      <c r="O177" s="43" t="inlineStr">
        <is>
          <t>Q2’26</t>
        </is>
      </c>
      <c r="P177" s="43" t="n">
        <v>2</v>
      </c>
      <c r="Q177" s="43" t="n">
        <v>3</v>
      </c>
      <c r="R177" s="43" t="n">
        <v>2</v>
      </c>
      <c r="S177" s="45" t="n">
        <v>2802.731707317071</v>
      </c>
      <c r="T177">
        <f>(S176+S177+S178)=O3</f>
        <v/>
      </c>
      <c r="X177" s="84">
        <f>MAX(S174-S177,0)</f>
        <v/>
      </c>
      <c r="Y177" s="83" t="n">
        <v>0</v>
      </c>
      <c r="AA177" s="84" t="n">
        <v>11</v>
      </c>
      <c r="AB177" s="84" t="inlineStr">
        <is>
          <t>E</t>
        </is>
      </c>
      <c r="AC177" s="84" t="inlineStr">
        <is>
          <t>E+</t>
        </is>
      </c>
      <c r="AD177" s="84" t="n">
        <v>10</v>
      </c>
      <c r="AE177" s="84" t="n">
        <v>7</v>
      </c>
      <c r="AF177" s="84" t="n">
        <v>0.76</v>
      </c>
      <c r="AG177" s="84" t="n">
        <v>0.84</v>
      </c>
      <c r="AH177" s="84" t="n">
        <v>0</v>
      </c>
      <c r="AI177" s="84" t="n">
        <v>0</v>
      </c>
      <c r="AJ177" s="84">
        <f>SUMIFS(AH$8:AH$1039,$O$8:$O$1039,O177,$AB$8:$AB$1039,AB177,$R$8:$R$1039,R177,$AA$8:$AA$1039,"&lt;="&amp;AA177)</f>
        <v/>
      </c>
      <c r="AK177" s="84">
        <f>D24</f>
        <v/>
      </c>
      <c r="AL177" s="84">
        <f>D30</f>
        <v/>
      </c>
      <c r="AM177" s="84">
        <f>MAX(0,AJ177-AK177)</f>
        <v/>
      </c>
      <c r="AN177" s="84">
        <f>IF(AM177=0,AH177,IF(AM177&gt;=AH177,0,AH177-AM177))</f>
        <v/>
      </c>
      <c r="AO177" s="84">
        <f>IF(AM177&gt;=AH177,AI177,AI177*AM177/AH177)</f>
        <v/>
      </c>
      <c r="AP177">
        <f t="array" ref="AP177">INDEX($AU$8:$BB$25,6*(R177-1)+MATCH(AB177,$AS$8:$AS$13,0),MATCH(O177,$AU$7:$BB$7,0))</f>
        <v/>
      </c>
    </row>
    <row r="178" ht="14.25" customHeight="1">
      <c r="O178" s="43" t="inlineStr">
        <is>
          <t>Q2’26</t>
        </is>
      </c>
      <c r="P178" s="43" t="n">
        <v>2</v>
      </c>
      <c r="Q178" s="43" t="n">
        <v>3</v>
      </c>
      <c r="R178" s="43" t="n">
        <v>3</v>
      </c>
      <c r="S178" s="45" t="n">
        <v>1.818989403545856e-12</v>
      </c>
      <c r="T178">
        <f>(S176+S177+S178)=O3</f>
        <v/>
      </c>
      <c r="X178" s="84">
        <f>MAX(S175-S178,0)</f>
        <v/>
      </c>
      <c r="Y178" s="83" t="n">
        <v>0</v>
      </c>
      <c r="AA178" s="84" t="n">
        <v>11</v>
      </c>
      <c r="AB178" s="84" t="inlineStr">
        <is>
          <t>E</t>
        </is>
      </c>
      <c r="AC178" s="84" t="inlineStr">
        <is>
          <t>E+</t>
        </is>
      </c>
      <c r="AD178" s="84" t="n">
        <v>10</v>
      </c>
      <c r="AE178" s="84" t="n">
        <v>7</v>
      </c>
      <c r="AF178" s="84" t="n">
        <v>0.76</v>
      </c>
      <c r="AG178" s="84" t="n">
        <v>0.84</v>
      </c>
      <c r="AH178" s="84" t="n">
        <v>0</v>
      </c>
      <c r="AI178" s="84" t="n">
        <v>0</v>
      </c>
      <c r="AJ178" s="84">
        <f>SUMIFS(AH$8:AH$1039,$O$8:$O$1039,O178,$AB$8:$AB$1039,AB178,$R$8:$R$1039,R178,$AA$8:$AA$1039,"&lt;="&amp;AA178)</f>
        <v/>
      </c>
      <c r="AK178" s="84">
        <f>E24</f>
        <v/>
      </c>
      <c r="AL178" s="84">
        <f>E30</f>
        <v/>
      </c>
      <c r="AM178" s="84">
        <f>MAX(0,AJ178-AK178)</f>
        <v/>
      </c>
      <c r="AN178" s="84">
        <f>IF(AM178=0,AH178,IF(AM178&gt;=AH178,0,AH178-AM178))</f>
        <v/>
      </c>
      <c r="AO178" s="84">
        <f>IF(AM178&gt;=AH178,AI178,AI178*AM178/AH178)</f>
        <v/>
      </c>
      <c r="AP178">
        <f t="array" ref="AP178">INDEX($AU$8:$BB$25,6*(R178-1)+MATCH(AB178,$AS$8:$AS$13,0),MATCH(O178,$AU$7:$BB$7,0))</f>
        <v/>
      </c>
    </row>
    <row r="179" ht="14.25" customHeight="1">
      <c r="O179" s="43" t="inlineStr">
        <is>
          <t>Q2’26</t>
        </is>
      </c>
      <c r="P179" s="43" t="n">
        <v>2</v>
      </c>
      <c r="Q179" s="43" t="n">
        <v>4</v>
      </c>
      <c r="R179" s="43" t="n">
        <v>1</v>
      </c>
      <c r="S179" s="45" t="n">
        <v>2397.268292682927</v>
      </c>
      <c r="T179">
        <f>(S179+S180+S181)=O3</f>
        <v/>
      </c>
      <c r="X179" s="84">
        <f>MAX(S176-S179,0)</f>
        <v/>
      </c>
      <c r="Y179" s="83" t="n">
        <v>0</v>
      </c>
      <c r="AA179" s="84" t="n">
        <v>2</v>
      </c>
      <c r="AB179" s="84" t="inlineStr">
        <is>
          <t>B</t>
        </is>
      </c>
      <c r="AC179" s="84" t="inlineStr">
        <is>
          <t>B+</t>
        </is>
      </c>
      <c r="AD179" s="84" t="n">
        <v>25</v>
      </c>
      <c r="AE179" s="84" t="n">
        <v>19</v>
      </c>
      <c r="AF179" s="84" t="n">
        <v>0.76</v>
      </c>
      <c r="AG179" s="84" t="n">
        <v>0.8100000000000001</v>
      </c>
      <c r="AH179" s="84" t="n">
        <v>0</v>
      </c>
      <c r="AI179" s="84" t="n">
        <v>0</v>
      </c>
      <c r="AJ179" s="84">
        <f>SUMIFS(AH$8:AH$1039,$O$8:$O$1039,O179,$AB$8:$AB$1039,AB179,$R$8:$R$1039,R179,$AA$8:$AA$1039,"&lt;="&amp;AA179)</f>
        <v/>
      </c>
      <c r="AK179" s="84">
        <f>C21</f>
        <v/>
      </c>
      <c r="AL179" s="84">
        <f>C27</f>
        <v/>
      </c>
      <c r="AM179" s="84">
        <f>MAX(0,AJ179-AK179)</f>
        <v/>
      </c>
      <c r="AN179" s="84">
        <f>IF(AM179=0,AH179,IF(AM179&gt;=AH179,0,AH179-AM179))</f>
        <v/>
      </c>
      <c r="AO179" s="84">
        <f>IF(AM179&gt;=AH179,AI179,AI179*AM179/AH179)</f>
        <v/>
      </c>
      <c r="AP179">
        <f t="array" ref="AP179">INDEX($AU$8:$BB$25,6*(R179-1)+MATCH(AB179,$AS$8:$AS$13,0),MATCH(O179,$AU$7:$BB$7,0))</f>
        <v/>
      </c>
    </row>
    <row r="180" ht="14.25" customHeight="1">
      <c r="O180" s="43" t="inlineStr">
        <is>
          <t>Q2’26</t>
        </is>
      </c>
      <c r="P180" s="43" t="n">
        <v>2</v>
      </c>
      <c r="Q180" s="43" t="n">
        <v>4</v>
      </c>
      <c r="R180" s="43" t="n">
        <v>2</v>
      </c>
      <c r="S180" s="45" t="n">
        <v>2802.731707317073</v>
      </c>
      <c r="T180">
        <f>(S179+S180+S181)=O3</f>
        <v/>
      </c>
      <c r="X180" s="84">
        <f>MAX(S177-S180,0)</f>
        <v/>
      </c>
      <c r="Y180" s="83" t="n">
        <v>0</v>
      </c>
      <c r="AA180" s="84" t="n">
        <v>2</v>
      </c>
      <c r="AB180" s="84" t="inlineStr">
        <is>
          <t>B</t>
        </is>
      </c>
      <c r="AC180" s="84" t="inlineStr">
        <is>
          <t>B+</t>
        </is>
      </c>
      <c r="AD180" s="84" t="n">
        <v>25</v>
      </c>
      <c r="AE180" s="84" t="n">
        <v>19</v>
      </c>
      <c r="AF180" s="84" t="n">
        <v>0.76</v>
      </c>
      <c r="AG180" s="84" t="n">
        <v>0.8100000000000001</v>
      </c>
      <c r="AH180" s="84" t="n">
        <v>0</v>
      </c>
      <c r="AI180" s="84" t="n">
        <v>0</v>
      </c>
      <c r="AJ180" s="84">
        <f>SUMIFS(AH$8:AH$1039,$O$8:$O$1039,O180,$AB$8:$AB$1039,AB180,$R$8:$R$1039,R180,$AA$8:$AA$1039,"&lt;="&amp;AA180)</f>
        <v/>
      </c>
      <c r="AK180" s="84">
        <f>D21</f>
        <v/>
      </c>
      <c r="AL180" s="84">
        <f>D27</f>
        <v/>
      </c>
      <c r="AM180" s="84">
        <f>MAX(0,AJ180-AK180)</f>
        <v/>
      </c>
      <c r="AN180" s="84">
        <f>IF(AM180=0,AH180,IF(AM180&gt;=AH180,0,AH180-AM180))</f>
        <v/>
      </c>
      <c r="AO180" s="84">
        <f>IF(AM180&gt;=AH180,AI180,AI180*AM180/AH180)</f>
        <v/>
      </c>
      <c r="AP180">
        <f t="array" ref="AP180">INDEX($AU$8:$BB$25,6*(R180-1)+MATCH(AB180,$AS$8:$AS$13,0),MATCH(O180,$AU$7:$BB$7,0))</f>
        <v/>
      </c>
    </row>
    <row r="181" ht="14.25" customHeight="1">
      <c r="O181" s="43" t="inlineStr">
        <is>
          <t>Q2’26</t>
        </is>
      </c>
      <c r="P181" s="43" t="n">
        <v>2</v>
      </c>
      <c r="Q181" s="43" t="n">
        <v>4</v>
      </c>
      <c r="R181" s="43" t="n">
        <v>3</v>
      </c>
      <c r="S181" s="45" t="n">
        <v>0</v>
      </c>
      <c r="T181">
        <f>(S179+S180+S181)=O3</f>
        <v/>
      </c>
      <c r="X181" s="84">
        <f>MAX(S178-S181,0)</f>
        <v/>
      </c>
      <c r="Y181" s="83" t="n">
        <v>0</v>
      </c>
      <c r="AA181" s="84" t="n">
        <v>2</v>
      </c>
      <c r="AB181" s="84" t="inlineStr">
        <is>
          <t>B</t>
        </is>
      </c>
      <c r="AC181" s="84" t="inlineStr">
        <is>
          <t>B+</t>
        </is>
      </c>
      <c r="AD181" s="84" t="n">
        <v>25</v>
      </c>
      <c r="AE181" s="84" t="n">
        <v>19</v>
      </c>
      <c r="AF181" s="84" t="n">
        <v>0.76</v>
      </c>
      <c r="AG181" s="84" t="n">
        <v>0.8100000000000001</v>
      </c>
      <c r="AH181" s="84" t="n">
        <v>0</v>
      </c>
      <c r="AI181" s="84" t="n">
        <v>0</v>
      </c>
      <c r="AJ181" s="84">
        <f>SUMIFS(AH$8:AH$1039,$O$8:$O$1039,O181,$AB$8:$AB$1039,AB181,$R$8:$R$1039,R181,$AA$8:$AA$1039,"&lt;="&amp;AA181)</f>
        <v/>
      </c>
      <c r="AK181" s="84">
        <f>E21</f>
        <v/>
      </c>
      <c r="AL181" s="84">
        <f>E27</f>
        <v/>
      </c>
      <c r="AM181" s="84">
        <f>MAX(0,AJ181-AK181)</f>
        <v/>
      </c>
      <c r="AN181" s="84">
        <f>IF(AM181=0,AH181,IF(AM181&gt;=AH181,0,AH181-AM181))</f>
        <v/>
      </c>
      <c r="AO181" s="84">
        <f>IF(AM181&gt;=AH181,AI181,AI181*AM181/AH181)</f>
        <v/>
      </c>
      <c r="AP181">
        <f t="array" ref="AP181">INDEX($AU$8:$BB$25,6*(R181-1)+MATCH(AB181,$AS$8:$AS$13,0),MATCH(O181,$AU$7:$BB$7,0))</f>
        <v/>
      </c>
    </row>
    <row r="182" ht="14.25" customHeight="1">
      <c r="O182" s="43" t="inlineStr">
        <is>
          <t>Q2’26</t>
        </is>
      </c>
      <c r="P182" s="43" t="n">
        <v>2</v>
      </c>
      <c r="Q182" s="43" t="n">
        <v>5</v>
      </c>
      <c r="R182" s="43" t="n">
        <v>1</v>
      </c>
      <c r="S182" s="45" t="n">
        <v>2397.268292682927</v>
      </c>
      <c r="T182">
        <f>(S182+S183+S184)=O3</f>
        <v/>
      </c>
      <c r="X182" s="84">
        <f>MAX(S179-S182,0)</f>
        <v/>
      </c>
      <c r="Y182" s="83" t="n">
        <v>0</v>
      </c>
      <c r="AA182" s="84" t="n">
        <v>3</v>
      </c>
      <c r="AB182" s="84" t="inlineStr">
        <is>
          <t>B</t>
        </is>
      </c>
      <c r="AC182" s="84" t="inlineStr">
        <is>
          <t>B+</t>
        </is>
      </c>
      <c r="AD182" s="84" t="n">
        <v>15</v>
      </c>
      <c r="AE182" s="84" t="n">
        <v>11</v>
      </c>
      <c r="AF182" s="84" t="n">
        <v>0.76</v>
      </c>
      <c r="AG182" s="84" t="n">
        <v>0.8100000000000001</v>
      </c>
      <c r="AH182" s="84" t="n">
        <v>0</v>
      </c>
      <c r="AI182" s="84" t="n">
        <v>0</v>
      </c>
      <c r="AJ182" s="84">
        <f>SUMIFS(AH$8:AH$1039,$O$8:$O$1039,O182,$AB$8:$AB$1039,AB182,$R$8:$R$1039,R182,$AA$8:$AA$1039,"&lt;="&amp;AA182)</f>
        <v/>
      </c>
      <c r="AK182" s="84">
        <f>C21</f>
        <v/>
      </c>
      <c r="AL182" s="84">
        <f>C27</f>
        <v/>
      </c>
      <c r="AM182" s="84">
        <f>MAX(0,AJ182-AK182)</f>
        <v/>
      </c>
      <c r="AN182" s="84">
        <f>IF(AM182=0,AH182,IF(AM182&gt;=AH182,0,AH182-AM182))</f>
        <v/>
      </c>
      <c r="AO182" s="84">
        <f>IF(AM182&gt;=AH182,AI182,AI182*AM182/AH182)</f>
        <v/>
      </c>
      <c r="AP182">
        <f t="array" ref="AP182">INDEX($AU$8:$BB$25,6*(R182-1)+MATCH(AB182,$AS$8:$AS$13,0),MATCH(O182,$AU$7:$BB$7,0))</f>
        <v/>
      </c>
    </row>
    <row r="183" ht="14.25" customHeight="1">
      <c r="O183" s="43" t="inlineStr">
        <is>
          <t>Q2’26</t>
        </is>
      </c>
      <c r="P183" s="43" t="n">
        <v>2</v>
      </c>
      <c r="Q183" s="43" t="n">
        <v>5</v>
      </c>
      <c r="R183" s="43" t="n">
        <v>2</v>
      </c>
      <c r="S183" s="45" t="n">
        <v>2802.731707317073</v>
      </c>
      <c r="T183">
        <f>(S182+S183+S184)=O3</f>
        <v/>
      </c>
      <c r="X183" s="84">
        <f>MAX(S180-S183,0)</f>
        <v/>
      </c>
      <c r="Y183" s="83" t="n">
        <v>0</v>
      </c>
      <c r="AA183" s="84" t="n">
        <v>3</v>
      </c>
      <c r="AB183" s="84" t="inlineStr">
        <is>
          <t>B</t>
        </is>
      </c>
      <c r="AC183" s="84" t="inlineStr">
        <is>
          <t>B+</t>
        </is>
      </c>
      <c r="AD183" s="84" t="n">
        <v>15</v>
      </c>
      <c r="AE183" s="84" t="n">
        <v>11</v>
      </c>
      <c r="AF183" s="84" t="n">
        <v>0.76</v>
      </c>
      <c r="AG183" s="84" t="n">
        <v>0.8100000000000001</v>
      </c>
      <c r="AH183" s="84" t="n">
        <v>0</v>
      </c>
      <c r="AI183" s="84" t="n">
        <v>0</v>
      </c>
      <c r="AJ183" s="84">
        <f>SUMIFS(AH$8:AH$1039,$O$8:$O$1039,O183,$AB$8:$AB$1039,AB183,$R$8:$R$1039,R183,$AA$8:$AA$1039,"&lt;="&amp;AA183)</f>
        <v/>
      </c>
      <c r="AK183" s="84">
        <f>D21</f>
        <v/>
      </c>
      <c r="AL183" s="84">
        <f>D27</f>
        <v/>
      </c>
      <c r="AM183" s="84">
        <f>MAX(0,AJ183-AK183)</f>
        <v/>
      </c>
      <c r="AN183" s="84">
        <f>IF(AM183=0,AH183,IF(AM183&gt;=AH183,0,AH183-AM183))</f>
        <v/>
      </c>
      <c r="AO183" s="84">
        <f>IF(AM183&gt;=AH183,AI183,AI183*AM183/AH183)</f>
        <v/>
      </c>
      <c r="AP183">
        <f t="array" ref="AP183">INDEX($AU$8:$BB$25,6*(R183-1)+MATCH(AB183,$AS$8:$AS$13,0),MATCH(O183,$AU$7:$BB$7,0))</f>
        <v/>
      </c>
    </row>
    <row r="184" ht="14.25" customHeight="1">
      <c r="O184" s="43" t="inlineStr">
        <is>
          <t>Q2’26</t>
        </is>
      </c>
      <c r="P184" s="43" t="n">
        <v>2</v>
      </c>
      <c r="Q184" s="43" t="n">
        <v>5</v>
      </c>
      <c r="R184" s="43" t="n">
        <v>3</v>
      </c>
      <c r="S184" s="45" t="n">
        <v>0</v>
      </c>
      <c r="T184">
        <f>(S182+S183+S184)=O3</f>
        <v/>
      </c>
      <c r="X184" s="84">
        <f>MAX(S181-S184,0)</f>
        <v/>
      </c>
      <c r="Y184" s="83" t="n">
        <v>0</v>
      </c>
      <c r="AA184" s="84" t="n">
        <v>3</v>
      </c>
      <c r="AB184" s="84" t="inlineStr">
        <is>
          <t>B</t>
        </is>
      </c>
      <c r="AC184" s="84" t="inlineStr">
        <is>
          <t>B+</t>
        </is>
      </c>
      <c r="AD184" s="84" t="n">
        <v>15</v>
      </c>
      <c r="AE184" s="84" t="n">
        <v>11</v>
      </c>
      <c r="AF184" s="84" t="n">
        <v>0.76</v>
      </c>
      <c r="AG184" s="84" t="n">
        <v>0.8100000000000001</v>
      </c>
      <c r="AH184" s="84" t="n">
        <v>0</v>
      </c>
      <c r="AI184" s="84" t="n">
        <v>0</v>
      </c>
      <c r="AJ184" s="84">
        <f>SUMIFS(AH$8:AH$1039,$O$8:$O$1039,O184,$AB$8:$AB$1039,AB184,$R$8:$R$1039,R184,$AA$8:$AA$1039,"&lt;="&amp;AA184)</f>
        <v/>
      </c>
      <c r="AK184" s="84">
        <f>E21</f>
        <v/>
      </c>
      <c r="AL184" s="84">
        <f>E27</f>
        <v/>
      </c>
      <c r="AM184" s="84">
        <f>MAX(0,AJ184-AK184)</f>
        <v/>
      </c>
      <c r="AN184" s="84">
        <f>IF(AM184=0,AH184,IF(AM184&gt;=AH184,0,AH184-AM184))</f>
        <v/>
      </c>
      <c r="AO184" s="84">
        <f>IF(AM184&gt;=AH184,AI184,AI184*AM184/AH184)</f>
        <v/>
      </c>
      <c r="AP184">
        <f t="array" ref="AP184">INDEX($AU$8:$BB$25,6*(R184-1)+MATCH(AB184,$AS$8:$AS$13,0),MATCH(O184,$AU$7:$BB$7,0))</f>
        <v/>
      </c>
    </row>
    <row r="185" ht="14.25" customHeight="1">
      <c r="O185" s="43" t="inlineStr">
        <is>
          <t>Q2’26</t>
        </is>
      </c>
      <c r="P185" s="43" t="n">
        <v>2</v>
      </c>
      <c r="Q185" s="43" t="n">
        <v>6</v>
      </c>
      <c r="R185" s="43" t="n">
        <v>1</v>
      </c>
      <c r="S185" s="45" t="n">
        <v>2397.268292682927</v>
      </c>
      <c r="T185">
        <f>(S185+S186+S187)=O3</f>
        <v/>
      </c>
      <c r="X185" s="84">
        <f>MAX(S182-S185,0)</f>
        <v/>
      </c>
      <c r="Y185" s="83" t="n">
        <v>0</v>
      </c>
      <c r="AA185" s="84" t="n">
        <v>5</v>
      </c>
      <c r="AB185" s="84" t="inlineStr">
        <is>
          <t>F</t>
        </is>
      </c>
      <c r="AC185" s="84" t="inlineStr">
        <is>
          <t>F+</t>
        </is>
      </c>
      <c r="AD185" s="84" t="n">
        <v>16</v>
      </c>
      <c r="AE185" s="84" t="n">
        <v>14</v>
      </c>
      <c r="AF185" s="84" t="n">
        <v>0.8</v>
      </c>
      <c r="AG185" s="84" t="n">
        <v>0.9</v>
      </c>
      <c r="AH185" s="84" t="n">
        <v>0</v>
      </c>
      <c r="AI185" s="84" t="n">
        <v>0</v>
      </c>
      <c r="AJ185" s="84">
        <f>SUMIFS(AH$8:AH$1039,$O$8:$O$1039,O185,$AB$8:$AB$1039,AB185,$R$8:$R$1039,R185,$AA$8:$AA$1039,"&lt;="&amp;AA185)</f>
        <v/>
      </c>
      <c r="AK185" s="84">
        <f>C25</f>
        <v/>
      </c>
      <c r="AL185" s="84">
        <f>C31</f>
        <v/>
      </c>
      <c r="AM185" s="84">
        <f>MAX(0,AJ185-AK185)</f>
        <v/>
      </c>
      <c r="AN185" s="84">
        <f>IF(AM185=0,AH185,IF(AM185&gt;=AH185,0,AH185-AM185))</f>
        <v/>
      </c>
      <c r="AO185" s="84">
        <f>IF(AM185&gt;=AH185,AI185,AI185*AM185/AH185)</f>
        <v/>
      </c>
      <c r="AP185">
        <f t="array" ref="AP185">INDEX($AU$8:$BB$25,6*(R185-1)+MATCH(AB185,$AS$8:$AS$13,0),MATCH(O185,$AU$7:$BB$7,0))</f>
        <v/>
      </c>
    </row>
    <row r="186" ht="14.25" customHeight="1">
      <c r="O186" s="43" t="inlineStr">
        <is>
          <t>Q2’26</t>
        </is>
      </c>
      <c r="P186" s="43" t="n">
        <v>2</v>
      </c>
      <c r="Q186" s="43" t="n">
        <v>6</v>
      </c>
      <c r="R186" s="43" t="n">
        <v>2</v>
      </c>
      <c r="S186" s="45" t="n">
        <v>2802.731707317073</v>
      </c>
      <c r="T186">
        <f>(S185+S186+S187)=O3</f>
        <v/>
      </c>
      <c r="X186" s="84">
        <f>MAX(S183-S186,0)</f>
        <v/>
      </c>
      <c r="Y186" s="83" t="n">
        <v>0</v>
      </c>
      <c r="AA186" s="84" t="n">
        <v>5</v>
      </c>
      <c r="AB186" s="84" t="inlineStr">
        <is>
          <t>F</t>
        </is>
      </c>
      <c r="AC186" s="84" t="inlineStr">
        <is>
          <t>F+</t>
        </is>
      </c>
      <c r="AD186" s="84" t="n">
        <v>16</v>
      </c>
      <c r="AE186" s="84" t="n">
        <v>14</v>
      </c>
      <c r="AF186" s="84" t="n">
        <v>0.8</v>
      </c>
      <c r="AG186" s="84" t="n">
        <v>0.9</v>
      </c>
      <c r="AH186" s="84" t="n">
        <v>0</v>
      </c>
      <c r="AI186" s="84" t="n">
        <v>0</v>
      </c>
      <c r="AJ186" s="84">
        <f>SUMIFS(AH$8:AH$1039,$O$8:$O$1039,O186,$AB$8:$AB$1039,AB186,$R$8:$R$1039,R186,$AA$8:$AA$1039,"&lt;="&amp;AA186)</f>
        <v/>
      </c>
      <c r="AK186" s="84">
        <f>D25</f>
        <v/>
      </c>
      <c r="AL186" s="84">
        <f>D31</f>
        <v/>
      </c>
      <c r="AM186" s="84">
        <f>MAX(0,AJ186-AK186)</f>
        <v/>
      </c>
      <c r="AN186" s="84">
        <f>IF(AM186=0,AH186,IF(AM186&gt;=AH186,0,AH186-AM186))</f>
        <v/>
      </c>
      <c r="AO186" s="84">
        <f>IF(AM186&gt;=AH186,AI186,AI186*AM186/AH186)</f>
        <v/>
      </c>
      <c r="AP186">
        <f t="array" ref="AP186">INDEX($AU$8:$BB$25,6*(R186-1)+MATCH(AB186,$AS$8:$AS$13,0),MATCH(O186,$AU$7:$BB$7,0))</f>
        <v/>
      </c>
    </row>
    <row r="187" ht="14.25" customHeight="1">
      <c r="O187" s="43" t="inlineStr">
        <is>
          <t>Q2’26</t>
        </is>
      </c>
      <c r="P187" s="43" t="n">
        <v>2</v>
      </c>
      <c r="Q187" s="43" t="n">
        <v>6</v>
      </c>
      <c r="R187" s="43" t="n">
        <v>3</v>
      </c>
      <c r="S187" s="45" t="n">
        <v>0</v>
      </c>
      <c r="T187">
        <f>(S185+S186+S187)=O3</f>
        <v/>
      </c>
      <c r="X187" s="84">
        <f>MAX(S184-S187,0)</f>
        <v/>
      </c>
      <c r="Y187" s="83" t="n">
        <v>0</v>
      </c>
      <c r="AA187" s="84" t="n">
        <v>5</v>
      </c>
      <c r="AB187" s="84" t="inlineStr">
        <is>
          <t>F</t>
        </is>
      </c>
      <c r="AC187" s="84" t="inlineStr">
        <is>
          <t>F+</t>
        </is>
      </c>
      <c r="AD187" s="84" t="n">
        <v>16</v>
      </c>
      <c r="AE187" s="84" t="n">
        <v>14</v>
      </c>
      <c r="AF187" s="84" t="n">
        <v>0.8</v>
      </c>
      <c r="AG187" s="84" t="n">
        <v>0.9</v>
      </c>
      <c r="AH187" s="84" t="n">
        <v>0</v>
      </c>
      <c r="AI187" s="84" t="n">
        <v>0</v>
      </c>
      <c r="AJ187" s="84">
        <f>SUMIFS(AH$8:AH$1039,$O$8:$O$1039,O187,$AB$8:$AB$1039,AB187,$R$8:$R$1039,R187,$AA$8:$AA$1039,"&lt;="&amp;AA187)</f>
        <v/>
      </c>
      <c r="AK187" s="84">
        <f>E25</f>
        <v/>
      </c>
      <c r="AL187" s="84">
        <f>E31</f>
        <v/>
      </c>
      <c r="AM187" s="84">
        <f>MAX(0,AJ187-AK187)</f>
        <v/>
      </c>
      <c r="AN187" s="84">
        <f>IF(AM187=0,AH187,IF(AM187&gt;=AH187,0,AH187-AM187))</f>
        <v/>
      </c>
      <c r="AO187" s="84">
        <f>IF(AM187&gt;=AH187,AI187,AI187*AM187/AH187)</f>
        <v/>
      </c>
      <c r="AP187">
        <f t="array" ref="AP187">INDEX($AU$8:$BB$25,6*(R187-1)+MATCH(AB187,$AS$8:$AS$13,0),MATCH(O187,$AU$7:$BB$7,0))</f>
        <v/>
      </c>
    </row>
    <row r="188" ht="14.25" customHeight="1">
      <c r="O188" s="43" t="inlineStr">
        <is>
          <t>Q2’26</t>
        </is>
      </c>
      <c r="P188" s="43" t="n">
        <v>2</v>
      </c>
      <c r="Q188" s="43" t="n">
        <v>7</v>
      </c>
      <c r="R188" s="43" t="n">
        <v>1</v>
      </c>
      <c r="S188" s="45" t="n">
        <v>2397.268292682927</v>
      </c>
      <c r="T188">
        <f>(S188+S189+S190)=O3</f>
        <v/>
      </c>
      <c r="X188" s="84">
        <f>MAX(S185-S188,0)</f>
        <v/>
      </c>
      <c r="Y188" s="83" t="n">
        <v>0</v>
      </c>
      <c r="AA188" s="84" t="n">
        <v>4</v>
      </c>
      <c r="AB188" s="84" t="inlineStr">
        <is>
          <t>F</t>
        </is>
      </c>
      <c r="AC188" s="84" t="inlineStr">
        <is>
          <t>F+</t>
        </is>
      </c>
      <c r="AD188" s="84" t="n">
        <v>17</v>
      </c>
      <c r="AE188" s="84" t="n">
        <v>15</v>
      </c>
      <c r="AF188" s="84" t="n">
        <v>0.8</v>
      </c>
      <c r="AG188" s="84" t="n">
        <v>0.9</v>
      </c>
      <c r="AH188" s="84" t="n">
        <v>0</v>
      </c>
      <c r="AI188" s="84" t="n">
        <v>0</v>
      </c>
      <c r="AJ188" s="84">
        <f>SUMIFS(AH$8:AH$1039,$O$8:$O$1039,O188,$AB$8:$AB$1039,AB188,$R$8:$R$1039,R188,$AA$8:$AA$1039,"&lt;="&amp;AA188)</f>
        <v/>
      </c>
      <c r="AK188" s="84">
        <f>C25</f>
        <v/>
      </c>
      <c r="AL188" s="84">
        <f>C31</f>
        <v/>
      </c>
      <c r="AM188" s="84">
        <f>MAX(0,AJ188-AK188)</f>
        <v/>
      </c>
      <c r="AN188" s="84">
        <f>IF(AM188=0,AH188,IF(AM188&gt;=AH188,0,AH188-AM188))</f>
        <v/>
      </c>
      <c r="AO188" s="84">
        <f>IF(AM188&gt;=AH188,AI188,AI188*AM188/AH188)</f>
        <v/>
      </c>
      <c r="AP188">
        <f t="array" ref="AP188">INDEX($AU$8:$BB$25,6*(R188-1)+MATCH(AB188,$AS$8:$AS$13,0),MATCH(O188,$AU$7:$BB$7,0))</f>
        <v/>
      </c>
    </row>
    <row r="189" ht="14.25" customHeight="1">
      <c r="O189" s="43" t="inlineStr">
        <is>
          <t>Q2’26</t>
        </is>
      </c>
      <c r="P189" s="43" t="n">
        <v>2</v>
      </c>
      <c r="Q189" s="43" t="n">
        <v>7</v>
      </c>
      <c r="R189" s="43" t="n">
        <v>2</v>
      </c>
      <c r="S189" s="45" t="n">
        <v>2802.731707317073</v>
      </c>
      <c r="T189">
        <f>(S188+S189+S190)=O3</f>
        <v/>
      </c>
      <c r="X189" s="84">
        <f>MAX(S186-S189,0)</f>
        <v/>
      </c>
      <c r="Y189" s="83" t="n">
        <v>0</v>
      </c>
      <c r="AA189" s="84" t="n">
        <v>4</v>
      </c>
      <c r="AB189" s="84" t="inlineStr">
        <is>
          <t>F</t>
        </is>
      </c>
      <c r="AC189" s="84" t="inlineStr">
        <is>
          <t>F+</t>
        </is>
      </c>
      <c r="AD189" s="84" t="n">
        <v>17</v>
      </c>
      <c r="AE189" s="84" t="n">
        <v>15</v>
      </c>
      <c r="AF189" s="84" t="n">
        <v>0.8</v>
      </c>
      <c r="AG189" s="84" t="n">
        <v>0.9</v>
      </c>
      <c r="AH189" s="84" t="n">
        <v>0</v>
      </c>
      <c r="AI189" s="84" t="n">
        <v>0</v>
      </c>
      <c r="AJ189" s="84">
        <f>SUMIFS(AH$8:AH$1039,$O$8:$O$1039,O189,$AB$8:$AB$1039,AB189,$R$8:$R$1039,R189,$AA$8:$AA$1039,"&lt;="&amp;AA189)</f>
        <v/>
      </c>
      <c r="AK189" s="84">
        <f>D25</f>
        <v/>
      </c>
      <c r="AL189" s="84">
        <f>D31</f>
        <v/>
      </c>
      <c r="AM189" s="84">
        <f>MAX(0,AJ189-AK189)</f>
        <v/>
      </c>
      <c r="AN189" s="84">
        <f>IF(AM189=0,AH189,IF(AM189&gt;=AH189,0,AH189-AM189))</f>
        <v/>
      </c>
      <c r="AO189" s="84">
        <f>IF(AM189&gt;=AH189,AI189,AI189*AM189/AH189)</f>
        <v/>
      </c>
      <c r="AP189">
        <f t="array" ref="AP189">INDEX($AU$8:$BB$25,6*(R189-1)+MATCH(AB189,$AS$8:$AS$13,0),MATCH(O189,$AU$7:$BB$7,0))</f>
        <v/>
      </c>
    </row>
    <row r="190" ht="14.25" customHeight="1">
      <c r="O190" s="43" t="inlineStr">
        <is>
          <t>Q2’26</t>
        </is>
      </c>
      <c r="P190" s="43" t="n">
        <v>2</v>
      </c>
      <c r="Q190" s="43" t="n">
        <v>7</v>
      </c>
      <c r="R190" s="43" t="n">
        <v>3</v>
      </c>
      <c r="S190" s="45" t="n">
        <v>0</v>
      </c>
      <c r="T190">
        <f>(S188+S189+S190)=O3</f>
        <v/>
      </c>
      <c r="X190" s="84">
        <f>MAX(S187-S190,0)</f>
        <v/>
      </c>
      <c r="Y190" s="83" t="n">
        <v>0</v>
      </c>
      <c r="AA190" s="84" t="n">
        <v>4</v>
      </c>
      <c r="AB190" s="84" t="inlineStr">
        <is>
          <t>F</t>
        </is>
      </c>
      <c r="AC190" s="84" t="inlineStr">
        <is>
          <t>F+</t>
        </is>
      </c>
      <c r="AD190" s="84" t="n">
        <v>17</v>
      </c>
      <c r="AE190" s="84" t="n">
        <v>15</v>
      </c>
      <c r="AF190" s="84" t="n">
        <v>0.8</v>
      </c>
      <c r="AG190" s="84" t="n">
        <v>0.9</v>
      </c>
      <c r="AH190" s="84" t="n">
        <v>0</v>
      </c>
      <c r="AI190" s="84" t="n">
        <v>0</v>
      </c>
      <c r="AJ190" s="84">
        <f>SUMIFS(AH$8:AH$1039,$O$8:$O$1039,O190,$AB$8:$AB$1039,AB190,$R$8:$R$1039,R190,$AA$8:$AA$1039,"&lt;="&amp;AA190)</f>
        <v/>
      </c>
      <c r="AK190" s="84">
        <f>E25</f>
        <v/>
      </c>
      <c r="AL190" s="84">
        <f>E31</f>
        <v/>
      </c>
      <c r="AM190" s="84">
        <f>MAX(0,AJ190-AK190)</f>
        <v/>
      </c>
      <c r="AN190" s="84">
        <f>IF(AM190=0,AH190,IF(AM190&gt;=AH190,0,AH190-AM190))</f>
        <v/>
      </c>
      <c r="AO190" s="84">
        <f>IF(AM190&gt;=AH190,AI190,AI190*AM190/AH190)</f>
        <v/>
      </c>
      <c r="AP190">
        <f t="array" ref="AP190">INDEX($AU$8:$BB$25,6*(R190-1)+MATCH(AB190,$AS$8:$AS$13,0),MATCH(O190,$AU$7:$BB$7,0))</f>
        <v/>
      </c>
    </row>
    <row r="191" ht="14.25" customHeight="1">
      <c r="O191" s="43" t="inlineStr">
        <is>
          <t>Q2’26</t>
        </is>
      </c>
      <c r="P191" s="43" t="n">
        <v>2</v>
      </c>
      <c r="Q191" s="43" t="n">
        <v>8</v>
      </c>
      <c r="R191" s="43" t="n">
        <v>1</v>
      </c>
      <c r="S191" s="45" t="n">
        <v>2397.268292682927</v>
      </c>
      <c r="T191">
        <f>(S191+S192+S193)=O3</f>
        <v/>
      </c>
      <c r="X191" s="84">
        <f>MAX(S188-S191,0)</f>
        <v/>
      </c>
      <c r="Y191" s="83" t="n">
        <v>0</v>
      </c>
      <c r="AA191" s="84" t="n">
        <v>4</v>
      </c>
      <c r="AB191" s="84" t="inlineStr">
        <is>
          <t>B</t>
        </is>
      </c>
      <c r="AC191" s="84" t="inlineStr">
        <is>
          <t>B+</t>
        </is>
      </c>
      <c r="AD191" s="84" t="n">
        <v>22</v>
      </c>
      <c r="AE191" s="84" t="n">
        <v>16</v>
      </c>
      <c r="AF191" s="84" t="n">
        <v>0.76</v>
      </c>
      <c r="AG191" s="84" t="n">
        <v>0.8100000000000001</v>
      </c>
      <c r="AH191" s="84" t="n">
        <v>0</v>
      </c>
      <c r="AI191" s="84" t="n">
        <v>0</v>
      </c>
      <c r="AJ191" s="84">
        <f>SUMIFS(AH$8:AH$1039,$O$8:$O$1039,O191,$AB$8:$AB$1039,AB191,$R$8:$R$1039,R191,$AA$8:$AA$1039,"&lt;="&amp;AA191)</f>
        <v/>
      </c>
      <c r="AK191" s="84">
        <f>C21</f>
        <v/>
      </c>
      <c r="AL191" s="84">
        <f>C27</f>
        <v/>
      </c>
      <c r="AM191" s="84">
        <f>MAX(0,AJ191-AK191)</f>
        <v/>
      </c>
      <c r="AN191" s="84">
        <f>IF(AM191=0,AH191,IF(AM191&gt;=AH191,0,AH191-AM191))</f>
        <v/>
      </c>
      <c r="AO191" s="84">
        <f>IF(AM191&gt;=AH191,AI191,AI191*AM191/AH191)</f>
        <v/>
      </c>
      <c r="AP191">
        <f t="array" ref="AP191">INDEX($AU$8:$BB$25,6*(R191-1)+MATCH(AB191,$AS$8:$AS$13,0),MATCH(O191,$AU$7:$BB$7,0))</f>
        <v/>
      </c>
    </row>
    <row r="192" ht="14.25" customHeight="1">
      <c r="O192" s="43" t="inlineStr">
        <is>
          <t>Q2’26</t>
        </is>
      </c>
      <c r="P192" s="43" t="n">
        <v>2</v>
      </c>
      <c r="Q192" s="43" t="n">
        <v>8</v>
      </c>
      <c r="R192" s="43" t="n">
        <v>2</v>
      </c>
      <c r="S192" s="45" t="n">
        <v>2802.731707317073</v>
      </c>
      <c r="T192">
        <f>(S191+S192+S193)=O3</f>
        <v/>
      </c>
      <c r="X192" s="84">
        <f>MAX(S189-S192,0)</f>
        <v/>
      </c>
      <c r="Y192" s="83" t="n">
        <v>0</v>
      </c>
      <c r="AA192" s="84" t="n">
        <v>4</v>
      </c>
      <c r="AB192" s="84" t="inlineStr">
        <is>
          <t>B</t>
        </is>
      </c>
      <c r="AC192" s="84" t="inlineStr">
        <is>
          <t>B+</t>
        </is>
      </c>
      <c r="AD192" s="84" t="n">
        <v>22</v>
      </c>
      <c r="AE192" s="84" t="n">
        <v>16</v>
      </c>
      <c r="AF192" s="84" t="n">
        <v>0.76</v>
      </c>
      <c r="AG192" s="84" t="n">
        <v>0.8100000000000001</v>
      </c>
      <c r="AH192" s="84" t="n">
        <v>0</v>
      </c>
      <c r="AI192" s="84" t="n">
        <v>0</v>
      </c>
      <c r="AJ192" s="84">
        <f>SUMIFS(AH$8:AH$1039,$O$8:$O$1039,O192,$AB$8:$AB$1039,AB192,$R$8:$R$1039,R192,$AA$8:$AA$1039,"&lt;="&amp;AA192)</f>
        <v/>
      </c>
      <c r="AK192" s="84">
        <f>D21</f>
        <v/>
      </c>
      <c r="AL192" s="84">
        <f>D27</f>
        <v/>
      </c>
      <c r="AM192" s="84">
        <f>MAX(0,AJ192-AK192)</f>
        <v/>
      </c>
      <c r="AN192" s="84">
        <f>IF(AM192=0,AH192,IF(AM192&gt;=AH192,0,AH192-AM192))</f>
        <v/>
      </c>
      <c r="AO192" s="84">
        <f>IF(AM192&gt;=AH192,AI192,AI192*AM192/AH192)</f>
        <v/>
      </c>
      <c r="AP192">
        <f t="array" ref="AP192">INDEX($AU$8:$BB$25,6*(R192-1)+MATCH(AB192,$AS$8:$AS$13,0),MATCH(O192,$AU$7:$BB$7,0))</f>
        <v/>
      </c>
    </row>
    <row r="193" ht="14.25" customHeight="1">
      <c r="O193" s="43" t="inlineStr">
        <is>
          <t>Q2’26</t>
        </is>
      </c>
      <c r="P193" s="43" t="n">
        <v>2</v>
      </c>
      <c r="Q193" s="43" t="n">
        <v>8</v>
      </c>
      <c r="R193" s="43" t="n">
        <v>3</v>
      </c>
      <c r="S193" s="45" t="n">
        <v>0</v>
      </c>
      <c r="T193">
        <f>(S191+S192+S193)=O3</f>
        <v/>
      </c>
      <c r="X193" s="84">
        <f>MAX(S190-S193,0)</f>
        <v/>
      </c>
      <c r="Y193" s="83" t="n">
        <v>0</v>
      </c>
      <c r="AA193" s="84" t="n">
        <v>4</v>
      </c>
      <c r="AB193" s="84" t="inlineStr">
        <is>
          <t>B</t>
        </is>
      </c>
      <c r="AC193" s="84" t="inlineStr">
        <is>
          <t>B+</t>
        </is>
      </c>
      <c r="AD193" s="84" t="n">
        <v>22</v>
      </c>
      <c r="AE193" s="84" t="n">
        <v>16</v>
      </c>
      <c r="AF193" s="84" t="n">
        <v>0.76</v>
      </c>
      <c r="AG193" s="84" t="n">
        <v>0.8100000000000001</v>
      </c>
      <c r="AH193" s="84" t="n">
        <v>0</v>
      </c>
      <c r="AI193" s="84" t="n">
        <v>0</v>
      </c>
      <c r="AJ193" s="84">
        <f>SUMIFS(AH$8:AH$1039,$O$8:$O$1039,O193,$AB$8:$AB$1039,AB193,$R$8:$R$1039,R193,$AA$8:$AA$1039,"&lt;="&amp;AA193)</f>
        <v/>
      </c>
      <c r="AK193" s="84">
        <f>E21</f>
        <v/>
      </c>
      <c r="AL193" s="84">
        <f>E27</f>
        <v/>
      </c>
      <c r="AM193" s="84">
        <f>MAX(0,AJ193-AK193)</f>
        <v/>
      </c>
      <c r="AN193" s="84">
        <f>IF(AM193=0,AH193,IF(AM193&gt;=AH193,0,AH193-AM193))</f>
        <v/>
      </c>
      <c r="AO193" s="84">
        <f>IF(AM193&gt;=AH193,AI193,AI193*AM193/AH193)</f>
        <v/>
      </c>
      <c r="AP193">
        <f t="array" ref="AP193">INDEX($AU$8:$BB$25,6*(R193-1)+MATCH(AB193,$AS$8:$AS$13,0),MATCH(O193,$AU$7:$BB$7,0))</f>
        <v/>
      </c>
    </row>
    <row r="194" ht="14.25" customHeight="1">
      <c r="O194" s="43" t="inlineStr">
        <is>
          <t>Q2’26</t>
        </is>
      </c>
      <c r="P194" s="43" t="n">
        <v>2</v>
      </c>
      <c r="Q194" s="43" t="n">
        <v>9</v>
      </c>
      <c r="R194" s="43" t="n">
        <v>1</v>
      </c>
      <c r="S194" s="45" t="n">
        <v>2397.268292682927</v>
      </c>
      <c r="T194">
        <f>(S194+S195+S196)=O3</f>
        <v/>
      </c>
      <c r="X194" s="84">
        <f>MAX(S191-S194,0)</f>
        <v/>
      </c>
      <c r="Y194" s="83" t="n">
        <v>0</v>
      </c>
      <c r="AA194" s="84" t="n">
        <v>4</v>
      </c>
      <c r="AB194" s="84" t="inlineStr">
        <is>
          <t>E</t>
        </is>
      </c>
      <c r="AC194" s="84" t="inlineStr">
        <is>
          <t>E+</t>
        </is>
      </c>
      <c r="AD194" s="84" t="n">
        <v>7</v>
      </c>
      <c r="AE194" s="84" t="n">
        <v>6</v>
      </c>
      <c r="AF194" s="84" t="n">
        <v>0.76</v>
      </c>
      <c r="AG194" s="84" t="n">
        <v>0.84</v>
      </c>
      <c r="AH194" s="84" t="n">
        <v>0</v>
      </c>
      <c r="AI194" s="84" t="n">
        <v>0</v>
      </c>
      <c r="AJ194" s="84">
        <f>SUMIFS(AH$8:AH$1039,$O$8:$O$1039,O194,$AB$8:$AB$1039,AB194,$R$8:$R$1039,R194,$AA$8:$AA$1039,"&lt;="&amp;AA194)</f>
        <v/>
      </c>
      <c r="AK194" s="84">
        <f>C24</f>
        <v/>
      </c>
      <c r="AL194" s="84">
        <f>C30</f>
        <v/>
      </c>
      <c r="AM194" s="84">
        <f>MAX(0,AJ194-AK194)</f>
        <v/>
      </c>
      <c r="AN194" s="84">
        <f>IF(AM194=0,AH194,IF(AM194&gt;=AH194,0,AH194-AM194))</f>
        <v/>
      </c>
      <c r="AO194" s="84">
        <f>IF(AM194&gt;=AH194,AI194,AI194*AM194/AH194)</f>
        <v/>
      </c>
      <c r="AP194">
        <f t="array" ref="AP194">INDEX($AU$8:$BB$25,6*(R194-1)+MATCH(AB194,$AS$8:$AS$13,0),MATCH(O194,$AU$7:$BB$7,0))</f>
        <v/>
      </c>
    </row>
    <row r="195" ht="14.25" customHeight="1">
      <c r="O195" s="43" t="inlineStr">
        <is>
          <t>Q2’26</t>
        </is>
      </c>
      <c r="P195" s="43" t="n">
        <v>2</v>
      </c>
      <c r="Q195" s="43" t="n">
        <v>9</v>
      </c>
      <c r="R195" s="43" t="n">
        <v>2</v>
      </c>
      <c r="S195" s="45" t="n">
        <v>2802.731707317073</v>
      </c>
      <c r="T195">
        <f>(S194+S195+S196)=O3</f>
        <v/>
      </c>
      <c r="X195" s="84">
        <f>MAX(S192-S195,0)</f>
        <v/>
      </c>
      <c r="Y195" s="83" t="n">
        <v>0</v>
      </c>
      <c r="AA195" s="84" t="n">
        <v>4</v>
      </c>
      <c r="AB195" s="84" t="inlineStr">
        <is>
          <t>E</t>
        </is>
      </c>
      <c r="AC195" s="84" t="inlineStr">
        <is>
          <t>E+</t>
        </is>
      </c>
      <c r="AD195" s="84" t="n">
        <v>7</v>
      </c>
      <c r="AE195" s="84" t="n">
        <v>6</v>
      </c>
      <c r="AF195" s="84" t="n">
        <v>0.76</v>
      </c>
      <c r="AG195" s="84" t="n">
        <v>0.84</v>
      </c>
      <c r="AH195" s="84" t="n">
        <v>0</v>
      </c>
      <c r="AI195" s="84" t="n">
        <v>0</v>
      </c>
      <c r="AJ195" s="84">
        <f>SUMIFS(AH$8:AH$1039,$O$8:$O$1039,O195,$AB$8:$AB$1039,AB195,$R$8:$R$1039,R195,$AA$8:$AA$1039,"&lt;="&amp;AA195)</f>
        <v/>
      </c>
      <c r="AK195" s="84">
        <f>D24</f>
        <v/>
      </c>
      <c r="AL195" s="84">
        <f>D30</f>
        <v/>
      </c>
      <c r="AM195" s="84">
        <f>MAX(0,AJ195-AK195)</f>
        <v/>
      </c>
      <c r="AN195" s="84">
        <f>IF(AM195=0,AH195,IF(AM195&gt;=AH195,0,AH195-AM195))</f>
        <v/>
      </c>
      <c r="AO195" s="84">
        <f>IF(AM195&gt;=AH195,AI195,AI195*AM195/AH195)</f>
        <v/>
      </c>
      <c r="AP195">
        <f t="array" ref="AP195">INDEX($AU$8:$BB$25,6*(R195-1)+MATCH(AB195,$AS$8:$AS$13,0),MATCH(O195,$AU$7:$BB$7,0))</f>
        <v/>
      </c>
    </row>
    <row r="196" ht="14.25" customHeight="1">
      <c r="O196" s="43" t="inlineStr">
        <is>
          <t>Q2’26</t>
        </is>
      </c>
      <c r="P196" s="43" t="n">
        <v>2</v>
      </c>
      <c r="Q196" s="43" t="n">
        <v>9</v>
      </c>
      <c r="R196" s="43" t="n">
        <v>3</v>
      </c>
      <c r="S196" s="45" t="n">
        <v>0</v>
      </c>
      <c r="T196">
        <f>(S194+S195+S196)=O3</f>
        <v/>
      </c>
      <c r="X196" s="84">
        <f>MAX(S193-S196,0)</f>
        <v/>
      </c>
      <c r="Y196" s="83" t="n">
        <v>0</v>
      </c>
      <c r="AA196" s="84" t="n">
        <v>4</v>
      </c>
      <c r="AB196" s="84" t="inlineStr">
        <is>
          <t>E</t>
        </is>
      </c>
      <c r="AC196" s="84" t="inlineStr">
        <is>
          <t>E+</t>
        </is>
      </c>
      <c r="AD196" s="84" t="n">
        <v>7</v>
      </c>
      <c r="AE196" s="84" t="n">
        <v>6</v>
      </c>
      <c r="AF196" s="84" t="n">
        <v>0.76</v>
      </c>
      <c r="AG196" s="84" t="n">
        <v>0.84</v>
      </c>
      <c r="AH196" s="84" t="n">
        <v>0</v>
      </c>
      <c r="AI196" s="84" t="n">
        <v>0</v>
      </c>
      <c r="AJ196" s="84">
        <f>SUMIFS(AH$8:AH$1039,$O$8:$O$1039,O196,$AB$8:$AB$1039,AB196,$R$8:$R$1039,R196,$AA$8:$AA$1039,"&lt;="&amp;AA196)</f>
        <v/>
      </c>
      <c r="AK196" s="84">
        <f>E24</f>
        <v/>
      </c>
      <c r="AL196" s="84">
        <f>E30</f>
        <v/>
      </c>
      <c r="AM196" s="84">
        <f>MAX(0,AJ196-AK196)</f>
        <v/>
      </c>
      <c r="AN196" s="84">
        <f>IF(AM196=0,AH196,IF(AM196&gt;=AH196,0,AH196-AM196))</f>
        <v/>
      </c>
      <c r="AO196" s="84">
        <f>IF(AM196&gt;=AH196,AI196,AI196*AM196/AH196)</f>
        <v/>
      </c>
      <c r="AP196">
        <f t="array" ref="AP196">INDEX($AU$8:$BB$25,6*(R196-1)+MATCH(AB196,$AS$8:$AS$13,0),MATCH(O196,$AU$7:$BB$7,0))</f>
        <v/>
      </c>
    </row>
    <row r="197" ht="14.25" customHeight="1">
      <c r="O197" s="43" t="inlineStr">
        <is>
          <t>Q2’26</t>
        </is>
      </c>
      <c r="P197" s="43" t="n">
        <v>2</v>
      </c>
      <c r="Q197" s="43" t="n">
        <v>10</v>
      </c>
      <c r="R197" s="43" t="n">
        <v>1</v>
      </c>
      <c r="S197" s="45" t="n">
        <v>2397.268292682927</v>
      </c>
      <c r="T197">
        <f>(S197+S198+S199)=O3</f>
        <v/>
      </c>
      <c r="X197" s="84">
        <f>MAX(S194-S197,0)</f>
        <v/>
      </c>
      <c r="Y197" s="83" t="n">
        <v>0</v>
      </c>
      <c r="AA197" s="84" t="n">
        <v>6</v>
      </c>
      <c r="AB197" s="84" t="inlineStr">
        <is>
          <t>E</t>
        </is>
      </c>
      <c r="AC197" s="84" t="inlineStr">
        <is>
          <t>E+</t>
        </is>
      </c>
      <c r="AD197" s="84" t="n">
        <v>9</v>
      </c>
      <c r="AE197" s="84" t="n">
        <v>7</v>
      </c>
      <c r="AF197" s="84" t="n">
        <v>0.76</v>
      </c>
      <c r="AG197" s="84" t="n">
        <v>0.84</v>
      </c>
      <c r="AH197" s="84" t="n">
        <v>0</v>
      </c>
      <c r="AI197" s="84" t="n">
        <v>0</v>
      </c>
      <c r="AJ197" s="84">
        <f>SUMIFS(AH$8:AH$1039,$O$8:$O$1039,O197,$AB$8:$AB$1039,AB197,$R$8:$R$1039,R197,$AA$8:$AA$1039,"&lt;="&amp;AA197)</f>
        <v/>
      </c>
      <c r="AK197" s="84">
        <f>C24</f>
        <v/>
      </c>
      <c r="AL197" s="84">
        <f>C30</f>
        <v/>
      </c>
      <c r="AM197" s="84">
        <f>MAX(0,AJ197-AK197)</f>
        <v/>
      </c>
      <c r="AN197" s="84">
        <f>IF(AM197=0,AH197,IF(AM197&gt;=AH197,0,AH197-AM197))</f>
        <v/>
      </c>
      <c r="AO197" s="84">
        <f>IF(AM197&gt;=AH197,AI197,AI197*AM197/AH197)</f>
        <v/>
      </c>
      <c r="AP197">
        <f t="array" ref="AP197">INDEX($AU$8:$BB$25,6*(R197-1)+MATCH(AB197,$AS$8:$AS$13,0),MATCH(O197,$AU$7:$BB$7,0))</f>
        <v/>
      </c>
    </row>
    <row r="198" ht="14.25" customHeight="1">
      <c r="O198" s="43" t="inlineStr">
        <is>
          <t>Q2’26</t>
        </is>
      </c>
      <c r="P198" s="43" t="n">
        <v>2</v>
      </c>
      <c r="Q198" s="43" t="n">
        <v>10</v>
      </c>
      <c r="R198" s="43" t="n">
        <v>2</v>
      </c>
      <c r="S198" s="45" t="n">
        <v>2802.731707317073</v>
      </c>
      <c r="T198">
        <f>(S197+S198+S199)=O3</f>
        <v/>
      </c>
      <c r="X198" s="84">
        <f>MAX(S195-S198,0)</f>
        <v/>
      </c>
      <c r="Y198" s="83" t="n">
        <v>0</v>
      </c>
      <c r="AA198" s="84" t="n">
        <v>6</v>
      </c>
      <c r="AB198" s="84" t="inlineStr">
        <is>
          <t>E</t>
        </is>
      </c>
      <c r="AC198" s="84" t="inlineStr">
        <is>
          <t>E+</t>
        </is>
      </c>
      <c r="AD198" s="84" t="n">
        <v>9</v>
      </c>
      <c r="AE198" s="84" t="n">
        <v>7</v>
      </c>
      <c r="AF198" s="84" t="n">
        <v>0.76</v>
      </c>
      <c r="AG198" s="84" t="n">
        <v>0.84</v>
      </c>
      <c r="AH198" s="84" t="n">
        <v>0</v>
      </c>
      <c r="AI198" s="84" t="n">
        <v>0</v>
      </c>
      <c r="AJ198" s="84">
        <f>SUMIFS(AH$8:AH$1039,$O$8:$O$1039,O198,$AB$8:$AB$1039,AB198,$R$8:$R$1039,R198,$AA$8:$AA$1039,"&lt;="&amp;AA198)</f>
        <v/>
      </c>
      <c r="AK198" s="84">
        <f>D24</f>
        <v/>
      </c>
      <c r="AL198" s="84">
        <f>D30</f>
        <v/>
      </c>
      <c r="AM198" s="84">
        <f>MAX(0,AJ198-AK198)</f>
        <v/>
      </c>
      <c r="AN198" s="84">
        <f>IF(AM198=0,AH198,IF(AM198&gt;=AH198,0,AH198-AM198))</f>
        <v/>
      </c>
      <c r="AO198" s="84">
        <f>IF(AM198&gt;=AH198,AI198,AI198*AM198/AH198)</f>
        <v/>
      </c>
      <c r="AP198">
        <f t="array" ref="AP198">INDEX($AU$8:$BB$25,6*(R198-1)+MATCH(AB198,$AS$8:$AS$13,0),MATCH(O198,$AU$7:$BB$7,0))</f>
        <v/>
      </c>
    </row>
    <row r="199" ht="14.25" customHeight="1">
      <c r="O199" s="43" t="inlineStr">
        <is>
          <t>Q2’26</t>
        </is>
      </c>
      <c r="P199" s="43" t="n">
        <v>2</v>
      </c>
      <c r="Q199" s="43" t="n">
        <v>10</v>
      </c>
      <c r="R199" s="43" t="n">
        <v>3</v>
      </c>
      <c r="S199" s="45" t="n">
        <v>0</v>
      </c>
      <c r="T199">
        <f>(S197+S198+S199)=O3</f>
        <v/>
      </c>
      <c r="X199" s="84">
        <f>MAX(S196-S199,0)</f>
        <v/>
      </c>
      <c r="Y199" s="83" t="n">
        <v>0</v>
      </c>
      <c r="AA199" s="84" t="n">
        <v>6</v>
      </c>
      <c r="AB199" s="84" t="inlineStr">
        <is>
          <t>E</t>
        </is>
      </c>
      <c r="AC199" s="84" t="inlineStr">
        <is>
          <t>E+</t>
        </is>
      </c>
      <c r="AD199" s="84" t="n">
        <v>9</v>
      </c>
      <c r="AE199" s="84" t="n">
        <v>7</v>
      </c>
      <c r="AF199" s="84" t="n">
        <v>0.76</v>
      </c>
      <c r="AG199" s="84" t="n">
        <v>0.84</v>
      </c>
      <c r="AH199" s="84" t="n">
        <v>0</v>
      </c>
      <c r="AI199" s="84" t="n">
        <v>0</v>
      </c>
      <c r="AJ199" s="84">
        <f>SUMIFS(AH$8:AH$1039,$O$8:$O$1039,O199,$AB$8:$AB$1039,AB199,$R$8:$R$1039,R199,$AA$8:$AA$1039,"&lt;="&amp;AA199)</f>
        <v/>
      </c>
      <c r="AK199" s="84">
        <f>E24</f>
        <v/>
      </c>
      <c r="AL199" s="84">
        <f>E30</f>
        <v/>
      </c>
      <c r="AM199" s="84">
        <f>MAX(0,AJ199-AK199)</f>
        <v/>
      </c>
      <c r="AN199" s="84">
        <f>IF(AM199=0,AH199,IF(AM199&gt;=AH199,0,AH199-AM199))</f>
        <v/>
      </c>
      <c r="AO199" s="84">
        <f>IF(AM199&gt;=AH199,AI199,AI199*AM199/AH199)</f>
        <v/>
      </c>
      <c r="AP199">
        <f t="array" ref="AP199">INDEX($AU$8:$BB$25,6*(R199-1)+MATCH(AB199,$AS$8:$AS$13,0),MATCH(O199,$AU$7:$BB$7,0))</f>
        <v/>
      </c>
    </row>
    <row r="200" ht="14.25" customHeight="1">
      <c r="O200" s="43" t="inlineStr">
        <is>
          <t>Q2’26</t>
        </is>
      </c>
      <c r="P200" s="43" t="n">
        <v>2</v>
      </c>
      <c r="Q200" s="43" t="n">
        <v>11</v>
      </c>
      <c r="R200" s="43" t="n">
        <v>1</v>
      </c>
      <c r="S200" s="45" t="n">
        <v>2397.268292682927</v>
      </c>
      <c r="T200">
        <f>(S200+S201+S202)=O3</f>
        <v/>
      </c>
      <c r="X200" s="84">
        <f>MAX(S197-S200,0)</f>
        <v/>
      </c>
      <c r="Y200" s="83" t="n">
        <v>0</v>
      </c>
      <c r="AA200" s="84" t="n">
        <v>2</v>
      </c>
      <c r="AB200" s="84" t="inlineStr">
        <is>
          <t>E</t>
        </is>
      </c>
      <c r="AC200" s="84" t="inlineStr">
        <is>
          <t>E+</t>
        </is>
      </c>
      <c r="AD200" s="84" t="n">
        <v>20</v>
      </c>
      <c r="AE200" s="84" t="n">
        <v>19</v>
      </c>
      <c r="AF200" s="84" t="n">
        <v>0.76</v>
      </c>
      <c r="AG200" s="84" t="n">
        <v>0.84</v>
      </c>
      <c r="AH200" s="84" t="n">
        <v>0</v>
      </c>
      <c r="AI200" s="84" t="n">
        <v>0</v>
      </c>
      <c r="AJ200" s="84">
        <f>SUMIFS(AH$8:AH$1039,$O$8:$O$1039,O200,$AB$8:$AB$1039,AB200,$R$8:$R$1039,R200,$AA$8:$AA$1039,"&lt;="&amp;AA200)</f>
        <v/>
      </c>
      <c r="AK200" s="84">
        <f>C24</f>
        <v/>
      </c>
      <c r="AL200" s="84">
        <f>C30</f>
        <v/>
      </c>
      <c r="AM200" s="84">
        <f>MAX(0,AJ200-AK200)</f>
        <v/>
      </c>
      <c r="AN200" s="84">
        <f>IF(AM200=0,AH200,IF(AM200&gt;=AH200,0,AH200-AM200))</f>
        <v/>
      </c>
      <c r="AO200" s="84">
        <f>IF(AM200&gt;=AH200,AI200,AI200*AM200/AH200)</f>
        <v/>
      </c>
      <c r="AP200">
        <f t="array" ref="AP200">INDEX($AU$8:$BB$25,6*(R200-1)+MATCH(AB200,$AS$8:$AS$13,0),MATCH(O200,$AU$7:$BB$7,0))</f>
        <v/>
      </c>
    </row>
    <row r="201" ht="14.25" customHeight="1">
      <c r="O201" s="43" t="inlineStr">
        <is>
          <t>Q2’26</t>
        </is>
      </c>
      <c r="P201" s="43" t="n">
        <v>2</v>
      </c>
      <c r="Q201" s="43" t="n">
        <v>11</v>
      </c>
      <c r="R201" s="43" t="n">
        <v>2</v>
      </c>
      <c r="S201" s="45" t="n">
        <v>2802.731707317073</v>
      </c>
      <c r="T201">
        <f>(S200+S201+S202)=O3</f>
        <v/>
      </c>
      <c r="X201" s="84">
        <f>MAX(S198-S201,0)</f>
        <v/>
      </c>
      <c r="Y201" s="83" t="n">
        <v>0</v>
      </c>
      <c r="AA201" s="84" t="n">
        <v>2</v>
      </c>
      <c r="AB201" s="84" t="inlineStr">
        <is>
          <t>E</t>
        </is>
      </c>
      <c r="AC201" s="84" t="inlineStr">
        <is>
          <t>E+</t>
        </is>
      </c>
      <c r="AD201" s="84" t="n">
        <v>20</v>
      </c>
      <c r="AE201" s="84" t="n">
        <v>19</v>
      </c>
      <c r="AF201" s="84" t="n">
        <v>0.76</v>
      </c>
      <c r="AG201" s="84" t="n">
        <v>0.84</v>
      </c>
      <c r="AH201" s="84" t="n">
        <v>0</v>
      </c>
      <c r="AI201" s="84" t="n">
        <v>0</v>
      </c>
      <c r="AJ201" s="84">
        <f>SUMIFS(AH$8:AH$1039,$O$8:$O$1039,O201,$AB$8:$AB$1039,AB201,$R$8:$R$1039,R201,$AA$8:$AA$1039,"&lt;="&amp;AA201)</f>
        <v/>
      </c>
      <c r="AK201" s="84">
        <f>D24</f>
        <v/>
      </c>
      <c r="AL201" s="84">
        <f>D30</f>
        <v/>
      </c>
      <c r="AM201" s="84">
        <f>MAX(0,AJ201-AK201)</f>
        <v/>
      </c>
      <c r="AN201" s="84">
        <f>IF(AM201=0,AH201,IF(AM201&gt;=AH201,0,AH201-AM201))</f>
        <v/>
      </c>
      <c r="AO201" s="84">
        <f>IF(AM201&gt;=AH201,AI201,AI201*AM201/AH201)</f>
        <v/>
      </c>
      <c r="AP201">
        <f t="array" ref="AP201">INDEX($AU$8:$BB$25,6*(R201-1)+MATCH(AB201,$AS$8:$AS$13,0),MATCH(O201,$AU$7:$BB$7,0))</f>
        <v/>
      </c>
    </row>
    <row r="202" ht="14.25" customHeight="1">
      <c r="O202" s="43" t="inlineStr">
        <is>
          <t>Q2’26</t>
        </is>
      </c>
      <c r="P202" s="43" t="n">
        <v>2</v>
      </c>
      <c r="Q202" s="43" t="n">
        <v>11</v>
      </c>
      <c r="R202" s="43" t="n">
        <v>3</v>
      </c>
      <c r="S202" s="45" t="n">
        <v>0</v>
      </c>
      <c r="T202">
        <f>(S200+S201+S202)=O3</f>
        <v/>
      </c>
      <c r="X202" s="84">
        <f>MAX(S199-S202,0)</f>
        <v/>
      </c>
      <c r="Y202" s="83" t="n">
        <v>0</v>
      </c>
      <c r="AA202" s="84" t="n">
        <v>2</v>
      </c>
      <c r="AB202" s="84" t="inlineStr">
        <is>
          <t>E</t>
        </is>
      </c>
      <c r="AC202" s="84" t="inlineStr">
        <is>
          <t>E+</t>
        </is>
      </c>
      <c r="AD202" s="84" t="n">
        <v>20</v>
      </c>
      <c r="AE202" s="84" t="n">
        <v>19</v>
      </c>
      <c r="AF202" s="84" t="n">
        <v>0.76</v>
      </c>
      <c r="AG202" s="84" t="n">
        <v>0.84</v>
      </c>
      <c r="AH202" s="84" t="n">
        <v>0</v>
      </c>
      <c r="AI202" s="84" t="n">
        <v>0</v>
      </c>
      <c r="AJ202" s="84">
        <f>SUMIFS(AH$8:AH$1039,$O$8:$O$1039,O202,$AB$8:$AB$1039,AB202,$R$8:$R$1039,R202,$AA$8:$AA$1039,"&lt;="&amp;AA202)</f>
        <v/>
      </c>
      <c r="AK202" s="84">
        <f>E24</f>
        <v/>
      </c>
      <c r="AL202" s="84">
        <f>E30</f>
        <v/>
      </c>
      <c r="AM202" s="84">
        <f>MAX(0,AJ202-AK202)</f>
        <v/>
      </c>
      <c r="AN202" s="84">
        <f>IF(AM202=0,AH202,IF(AM202&gt;=AH202,0,AH202-AM202))</f>
        <v/>
      </c>
      <c r="AO202" s="84">
        <f>IF(AM202&gt;=AH202,AI202,AI202*AM202/AH202)</f>
        <v/>
      </c>
      <c r="AP202">
        <f t="array" ref="AP202">INDEX($AU$8:$BB$25,6*(R202-1)+MATCH(AB202,$AS$8:$AS$13,0),MATCH(O202,$AU$7:$BB$7,0))</f>
        <v/>
      </c>
    </row>
    <row r="203" ht="14.25" customHeight="1">
      <c r="O203" s="43" t="inlineStr">
        <is>
          <t>Q2’26</t>
        </is>
      </c>
      <c r="P203" s="43" t="n">
        <v>2</v>
      </c>
      <c r="Q203" s="43" t="n">
        <v>12</v>
      </c>
      <c r="R203" s="43" t="n">
        <v>1</v>
      </c>
      <c r="S203" s="45" t="n">
        <v>2397.268292682927</v>
      </c>
      <c r="T203">
        <f>(S203+S204+S205)=O3</f>
        <v/>
      </c>
      <c r="X203" s="84">
        <f>MAX(S200-S203,0)</f>
        <v/>
      </c>
      <c r="Y203" s="83" t="n">
        <v>0</v>
      </c>
      <c r="AA203" s="84" t="n">
        <v>7</v>
      </c>
      <c r="AB203" s="84" t="inlineStr">
        <is>
          <t>F</t>
        </is>
      </c>
      <c r="AC203" s="84" t="inlineStr">
        <is>
          <t>F+</t>
        </is>
      </c>
      <c r="AD203" s="84" t="n">
        <v>21</v>
      </c>
      <c r="AE203" s="84" t="n">
        <v>18</v>
      </c>
      <c r="AF203" s="84" t="n">
        <v>0.8</v>
      </c>
      <c r="AG203" s="84" t="n">
        <v>0.9</v>
      </c>
      <c r="AH203" s="84" t="n">
        <v>0</v>
      </c>
      <c r="AI203" s="84" t="n">
        <v>0</v>
      </c>
      <c r="AJ203" s="84">
        <f>SUMIFS(AH$8:AH$1039,$O$8:$O$1039,O203,$AB$8:$AB$1039,AB203,$R$8:$R$1039,R203,$AA$8:$AA$1039,"&lt;="&amp;AA203)</f>
        <v/>
      </c>
      <c r="AK203" s="84">
        <f>C25</f>
        <v/>
      </c>
      <c r="AL203" s="84">
        <f>C31</f>
        <v/>
      </c>
      <c r="AM203" s="84">
        <f>MAX(0,AJ203-AK203)</f>
        <v/>
      </c>
      <c r="AN203" s="84">
        <f>IF(AM203=0,AH203,IF(AM203&gt;=AH203,0,AH203-AM203))</f>
        <v/>
      </c>
      <c r="AO203" s="84">
        <f>IF(AM203&gt;=AH203,AI203,AI203*AM203/AH203)</f>
        <v/>
      </c>
      <c r="AP203">
        <f t="array" ref="AP203">INDEX($AU$8:$BB$25,6*(R203-1)+MATCH(AB203,$AS$8:$AS$13,0),MATCH(O203,$AU$7:$BB$7,0))</f>
        <v/>
      </c>
    </row>
    <row r="204" ht="14.25" customHeight="1">
      <c r="O204" s="43" t="inlineStr">
        <is>
          <t>Q2’26</t>
        </is>
      </c>
      <c r="P204" s="43" t="n">
        <v>2</v>
      </c>
      <c r="Q204" s="43" t="n">
        <v>12</v>
      </c>
      <c r="R204" s="43" t="n">
        <v>2</v>
      </c>
      <c r="S204" s="45" t="n">
        <v>2802.731707317073</v>
      </c>
      <c r="T204">
        <f>(S203+S204+S205)=O3</f>
        <v/>
      </c>
      <c r="X204" s="84">
        <f>MAX(S201-S204,0)</f>
        <v/>
      </c>
      <c r="Y204" s="83" t="n">
        <v>0</v>
      </c>
      <c r="AA204" s="84" t="n">
        <v>7</v>
      </c>
      <c r="AB204" s="84" t="inlineStr">
        <is>
          <t>F</t>
        </is>
      </c>
      <c r="AC204" s="84" t="inlineStr">
        <is>
          <t>F+</t>
        </is>
      </c>
      <c r="AD204" s="84" t="n">
        <v>21</v>
      </c>
      <c r="AE204" s="84" t="n">
        <v>18</v>
      </c>
      <c r="AF204" s="84" t="n">
        <v>0.8</v>
      </c>
      <c r="AG204" s="84" t="n">
        <v>0.9</v>
      </c>
      <c r="AH204" s="84" t="n">
        <v>0</v>
      </c>
      <c r="AI204" s="84" t="n">
        <v>0</v>
      </c>
      <c r="AJ204" s="84">
        <f>SUMIFS(AH$8:AH$1039,$O$8:$O$1039,O204,$AB$8:$AB$1039,AB204,$R$8:$R$1039,R204,$AA$8:$AA$1039,"&lt;="&amp;AA204)</f>
        <v/>
      </c>
      <c r="AK204" s="84">
        <f>D25</f>
        <v/>
      </c>
      <c r="AL204" s="84">
        <f>D31</f>
        <v/>
      </c>
      <c r="AM204" s="84">
        <f>MAX(0,AJ204-AK204)</f>
        <v/>
      </c>
      <c r="AN204" s="84">
        <f>IF(AM204=0,AH204,IF(AM204&gt;=AH204,0,AH204-AM204))</f>
        <v/>
      </c>
      <c r="AO204" s="84">
        <f>IF(AM204&gt;=AH204,AI204,AI204*AM204/AH204)</f>
        <v/>
      </c>
      <c r="AP204">
        <f t="array" ref="AP204">INDEX($AU$8:$BB$25,6*(R204-1)+MATCH(AB204,$AS$8:$AS$13,0),MATCH(O204,$AU$7:$BB$7,0))</f>
        <v/>
      </c>
    </row>
    <row r="205" ht="14.25" customHeight="1">
      <c r="O205" s="43" t="inlineStr">
        <is>
          <t>Q2’26</t>
        </is>
      </c>
      <c r="P205" s="43" t="n">
        <v>2</v>
      </c>
      <c r="Q205" s="43" t="n">
        <v>12</v>
      </c>
      <c r="R205" s="43" t="n">
        <v>3</v>
      </c>
      <c r="S205" s="45" t="n">
        <v>0</v>
      </c>
      <c r="T205">
        <f>(S203+S204+S205)=O3</f>
        <v/>
      </c>
      <c r="X205" s="84">
        <f>MAX(S202-S205,0)</f>
        <v/>
      </c>
      <c r="Y205" s="83" t="n">
        <v>0</v>
      </c>
      <c r="AA205" s="84" t="n">
        <v>7</v>
      </c>
      <c r="AB205" s="84" t="inlineStr">
        <is>
          <t>F</t>
        </is>
      </c>
      <c r="AC205" s="84" t="inlineStr">
        <is>
          <t>F+</t>
        </is>
      </c>
      <c r="AD205" s="84" t="n">
        <v>21</v>
      </c>
      <c r="AE205" s="84" t="n">
        <v>18</v>
      </c>
      <c r="AF205" s="84" t="n">
        <v>0.8</v>
      </c>
      <c r="AG205" s="84" t="n">
        <v>0.9</v>
      </c>
      <c r="AH205" s="84" t="n">
        <v>0</v>
      </c>
      <c r="AI205" s="84" t="n">
        <v>0</v>
      </c>
      <c r="AJ205" s="84">
        <f>SUMIFS(AH$8:AH$1039,$O$8:$O$1039,O205,$AB$8:$AB$1039,AB205,$R$8:$R$1039,R205,$AA$8:$AA$1039,"&lt;="&amp;AA205)</f>
        <v/>
      </c>
      <c r="AK205" s="84">
        <f>E25</f>
        <v/>
      </c>
      <c r="AL205" s="84">
        <f>E31</f>
        <v/>
      </c>
      <c r="AM205" s="84">
        <f>MAX(0,AJ205-AK205)</f>
        <v/>
      </c>
      <c r="AN205" s="84">
        <f>IF(AM205=0,AH205,IF(AM205&gt;=AH205,0,AH205-AM205))</f>
        <v/>
      </c>
      <c r="AO205" s="84">
        <f>IF(AM205&gt;=AH205,AI205,AI205*AM205/AH205)</f>
        <v/>
      </c>
      <c r="AP205">
        <f t="array" ref="AP205">INDEX($AU$8:$BB$25,6*(R205-1)+MATCH(AB205,$AS$8:$AS$13,0),MATCH(O205,$AU$7:$BB$7,0))</f>
        <v/>
      </c>
    </row>
    <row r="206" ht="14.25" customHeight="1">
      <c r="O206" s="43" t="inlineStr">
        <is>
          <t>Q2’26</t>
        </is>
      </c>
      <c r="P206" s="43" t="n">
        <v>2</v>
      </c>
      <c r="Q206" s="43" t="n">
        <v>13</v>
      </c>
      <c r="R206" s="43" t="n">
        <v>1</v>
      </c>
      <c r="S206" s="45" t="n">
        <v>2397.268292682927</v>
      </c>
      <c r="T206">
        <f>(S206+S207+S208)=O3</f>
        <v/>
      </c>
      <c r="X206" s="84">
        <f>MAX(S203-S206,0)</f>
        <v/>
      </c>
      <c r="Y206" s="83" t="n">
        <v>0</v>
      </c>
      <c r="AA206" s="84" t="n">
        <v>8</v>
      </c>
      <c r="AB206" s="84" t="inlineStr">
        <is>
          <t>E</t>
        </is>
      </c>
      <c r="AC206" s="84" t="inlineStr">
        <is>
          <t>E+</t>
        </is>
      </c>
      <c r="AD206" s="84" t="n">
        <v>12</v>
      </c>
      <c r="AE206" s="84" t="n">
        <v>9</v>
      </c>
      <c r="AF206" s="84" t="n">
        <v>0.76</v>
      </c>
      <c r="AG206" s="84" t="n">
        <v>0.84</v>
      </c>
      <c r="AH206" s="84" t="n">
        <v>0</v>
      </c>
      <c r="AI206" s="84" t="n">
        <v>0</v>
      </c>
      <c r="AJ206" s="84">
        <f>SUMIFS(AH$8:AH$1039,$O$8:$O$1039,O206,$AB$8:$AB$1039,AB206,$R$8:$R$1039,R206,$AA$8:$AA$1039,"&lt;="&amp;AA206)</f>
        <v/>
      </c>
      <c r="AK206" s="84">
        <f>C24</f>
        <v/>
      </c>
      <c r="AL206" s="84">
        <f>C30</f>
        <v/>
      </c>
      <c r="AM206" s="84">
        <f>MAX(0,AJ206-AK206)</f>
        <v/>
      </c>
      <c r="AN206" s="84">
        <f>IF(AM206=0,AH206,IF(AM206&gt;=AH206,0,AH206-AM206))</f>
        <v/>
      </c>
      <c r="AO206" s="84">
        <f>IF(AM206&gt;=AH206,AI206,AI206*AM206/AH206)</f>
        <v/>
      </c>
      <c r="AP206">
        <f t="array" ref="AP206">INDEX($AU$8:$BB$25,6*(R206-1)+MATCH(AB206,$AS$8:$AS$13,0),MATCH(O206,$AU$7:$BB$7,0))</f>
        <v/>
      </c>
    </row>
    <row r="207" ht="14.25" customHeight="1">
      <c r="O207" s="43" t="inlineStr">
        <is>
          <t>Q2’26</t>
        </is>
      </c>
      <c r="P207" s="43" t="n">
        <v>2</v>
      </c>
      <c r="Q207" s="43" t="n">
        <v>13</v>
      </c>
      <c r="R207" s="43" t="n">
        <v>2</v>
      </c>
      <c r="S207" s="45" t="n">
        <v>2802.731707317073</v>
      </c>
      <c r="T207">
        <f>(S206+S207+S208)=O3</f>
        <v/>
      </c>
      <c r="X207" s="84">
        <f>MAX(S204-S207,0)</f>
        <v/>
      </c>
      <c r="Y207" s="83" t="n">
        <v>0</v>
      </c>
      <c r="AA207" s="84" t="n">
        <v>8</v>
      </c>
      <c r="AB207" s="84" t="inlineStr">
        <is>
          <t>E</t>
        </is>
      </c>
      <c r="AC207" s="84" t="inlineStr">
        <is>
          <t>E+</t>
        </is>
      </c>
      <c r="AD207" s="84" t="n">
        <v>12</v>
      </c>
      <c r="AE207" s="84" t="n">
        <v>9</v>
      </c>
      <c r="AF207" s="84" t="n">
        <v>0.76</v>
      </c>
      <c r="AG207" s="84" t="n">
        <v>0.84</v>
      </c>
      <c r="AH207" s="84" t="n">
        <v>0</v>
      </c>
      <c r="AI207" s="84" t="n">
        <v>0</v>
      </c>
      <c r="AJ207" s="84">
        <f>SUMIFS(AH$8:AH$1039,$O$8:$O$1039,O207,$AB$8:$AB$1039,AB207,$R$8:$R$1039,R207,$AA$8:$AA$1039,"&lt;="&amp;AA207)</f>
        <v/>
      </c>
      <c r="AK207" s="84">
        <f>D24</f>
        <v/>
      </c>
      <c r="AL207" s="84">
        <f>D30</f>
        <v/>
      </c>
      <c r="AM207" s="84">
        <f>MAX(0,AJ207-AK207)</f>
        <v/>
      </c>
      <c r="AN207" s="84">
        <f>IF(AM207=0,AH207,IF(AM207&gt;=AH207,0,AH207-AM207))</f>
        <v/>
      </c>
      <c r="AO207" s="84">
        <f>IF(AM207&gt;=AH207,AI207,AI207*AM207/AH207)</f>
        <v/>
      </c>
      <c r="AP207">
        <f t="array" ref="AP207">INDEX($AU$8:$BB$25,6*(R207-1)+MATCH(AB207,$AS$8:$AS$13,0),MATCH(O207,$AU$7:$BB$7,0))</f>
        <v/>
      </c>
    </row>
    <row r="208" ht="14.25" customHeight="1">
      <c r="O208" s="43" t="inlineStr">
        <is>
          <t>Q2’26</t>
        </is>
      </c>
      <c r="P208" s="43" t="n">
        <v>2</v>
      </c>
      <c r="Q208" s="43" t="n">
        <v>13</v>
      </c>
      <c r="R208" s="43" t="n">
        <v>3</v>
      </c>
      <c r="S208" s="45" t="n">
        <v>0</v>
      </c>
      <c r="T208">
        <f>(S206+S207+S208)=O3</f>
        <v/>
      </c>
      <c r="X208" s="84">
        <f>MAX(S205-S208,0)</f>
        <v/>
      </c>
      <c r="Y208" s="83" t="n">
        <v>0</v>
      </c>
      <c r="AA208" s="84" t="n">
        <v>8</v>
      </c>
      <c r="AB208" s="84" t="inlineStr">
        <is>
          <t>E</t>
        </is>
      </c>
      <c r="AC208" s="84" t="inlineStr">
        <is>
          <t>E+</t>
        </is>
      </c>
      <c r="AD208" s="84" t="n">
        <v>12</v>
      </c>
      <c r="AE208" s="84" t="n">
        <v>9</v>
      </c>
      <c r="AF208" s="84" t="n">
        <v>0.76</v>
      </c>
      <c r="AG208" s="84" t="n">
        <v>0.84</v>
      </c>
      <c r="AH208" s="84" t="n">
        <v>0</v>
      </c>
      <c r="AI208" s="84" t="n">
        <v>0</v>
      </c>
      <c r="AJ208" s="84">
        <f>SUMIFS(AH$8:AH$1039,$O$8:$O$1039,O208,$AB$8:$AB$1039,AB208,$R$8:$R$1039,R208,$AA$8:$AA$1039,"&lt;="&amp;AA208)</f>
        <v/>
      </c>
      <c r="AK208" s="84">
        <f>E24</f>
        <v/>
      </c>
      <c r="AL208" s="84">
        <f>E30</f>
        <v/>
      </c>
      <c r="AM208" s="84">
        <f>MAX(0,AJ208-AK208)</f>
        <v/>
      </c>
      <c r="AN208" s="84">
        <f>IF(AM208=0,AH208,IF(AM208&gt;=AH208,0,AH208-AM208))</f>
        <v/>
      </c>
      <c r="AO208" s="84">
        <f>IF(AM208&gt;=AH208,AI208,AI208*AM208/AH208)</f>
        <v/>
      </c>
      <c r="AP208">
        <f t="array" ref="AP208">INDEX($AU$8:$BB$25,6*(R208-1)+MATCH(AB208,$AS$8:$AS$13,0),MATCH(O208,$AU$7:$BB$7,0))</f>
        <v/>
      </c>
    </row>
    <row r="209" ht="14.25" customHeight="1">
      <c r="O209" s="43" t="inlineStr">
        <is>
          <t>Q2’26</t>
        </is>
      </c>
      <c r="P209" s="43" t="n">
        <v>2</v>
      </c>
      <c r="Q209" s="43" t="n">
        <v>14</v>
      </c>
      <c r="R209" s="43" t="n">
        <v>1</v>
      </c>
      <c r="S209" s="45" t="n">
        <v>2397.268292682927</v>
      </c>
      <c r="T209">
        <f>(S209+S210+S211)=O3</f>
        <v/>
      </c>
      <c r="X209" s="84">
        <f>MAX(S206-S209,0)</f>
        <v/>
      </c>
      <c r="Y209" s="83" t="n">
        <v>0</v>
      </c>
      <c r="AA209" s="84" t="n">
        <v>5</v>
      </c>
      <c r="AB209" s="84" t="inlineStr">
        <is>
          <t>E</t>
        </is>
      </c>
      <c r="AC209" s="84" t="inlineStr">
        <is>
          <t>E+</t>
        </is>
      </c>
      <c r="AD209" s="84" t="n">
        <v>15</v>
      </c>
      <c r="AE209" s="84" t="n">
        <v>12</v>
      </c>
      <c r="AF209" s="84" t="n">
        <v>0.76</v>
      </c>
      <c r="AG209" s="84" t="n">
        <v>0.84</v>
      </c>
      <c r="AH209" s="84" t="n">
        <v>0</v>
      </c>
      <c r="AI209" s="84" t="n">
        <v>0</v>
      </c>
      <c r="AJ209" s="84">
        <f>SUMIFS(AH$8:AH$1039,$O$8:$O$1039,O209,$AB$8:$AB$1039,AB209,$R$8:$R$1039,R209,$AA$8:$AA$1039,"&lt;="&amp;AA209)</f>
        <v/>
      </c>
      <c r="AK209" s="84">
        <f>C24</f>
        <v/>
      </c>
      <c r="AL209" s="84">
        <f>C30</f>
        <v/>
      </c>
      <c r="AM209" s="84">
        <f>MAX(0,AJ209-AK209)</f>
        <v/>
      </c>
      <c r="AN209" s="84">
        <f>IF(AM209=0,AH209,IF(AM209&gt;=AH209,0,AH209-AM209))</f>
        <v/>
      </c>
      <c r="AO209" s="84">
        <f>IF(AM209&gt;=AH209,AI209,AI209*AM209/AH209)</f>
        <v/>
      </c>
      <c r="AP209">
        <f t="array" ref="AP209">INDEX($AU$8:$BB$25,6*(R209-1)+MATCH(AB209,$AS$8:$AS$13,0),MATCH(O209,$AU$7:$BB$7,0))</f>
        <v/>
      </c>
    </row>
    <row r="210" ht="14.25" customHeight="1">
      <c r="O210" s="43" t="inlineStr">
        <is>
          <t>Q2’26</t>
        </is>
      </c>
      <c r="P210" s="43" t="n">
        <v>2</v>
      </c>
      <c r="Q210" s="43" t="n">
        <v>14</v>
      </c>
      <c r="R210" s="43" t="n">
        <v>2</v>
      </c>
      <c r="S210" s="45" t="n">
        <v>2802.731707317073</v>
      </c>
      <c r="T210">
        <f>(S209+S210+S211)=O3</f>
        <v/>
      </c>
      <c r="X210" s="84">
        <f>MAX(S207-S210,0)</f>
        <v/>
      </c>
      <c r="Y210" s="83" t="n">
        <v>0</v>
      </c>
      <c r="AA210" s="84" t="n">
        <v>5</v>
      </c>
      <c r="AB210" s="84" t="inlineStr">
        <is>
          <t>E</t>
        </is>
      </c>
      <c r="AC210" s="84" t="inlineStr">
        <is>
          <t>E+</t>
        </is>
      </c>
      <c r="AD210" s="84" t="n">
        <v>15</v>
      </c>
      <c r="AE210" s="84" t="n">
        <v>12</v>
      </c>
      <c r="AF210" s="84" t="n">
        <v>0.76</v>
      </c>
      <c r="AG210" s="84" t="n">
        <v>0.84</v>
      </c>
      <c r="AH210" s="84" t="n">
        <v>0</v>
      </c>
      <c r="AI210" s="84" t="n">
        <v>0</v>
      </c>
      <c r="AJ210" s="84">
        <f>SUMIFS(AH$8:AH$1039,$O$8:$O$1039,O210,$AB$8:$AB$1039,AB210,$R$8:$R$1039,R210,$AA$8:$AA$1039,"&lt;="&amp;AA210)</f>
        <v/>
      </c>
      <c r="AK210" s="84">
        <f>D24</f>
        <v/>
      </c>
      <c r="AL210" s="84">
        <f>D30</f>
        <v/>
      </c>
      <c r="AM210" s="84">
        <f>MAX(0,AJ210-AK210)</f>
        <v/>
      </c>
      <c r="AN210" s="84">
        <f>IF(AM210=0,AH210,IF(AM210&gt;=AH210,0,AH210-AM210))</f>
        <v/>
      </c>
      <c r="AO210" s="84">
        <f>IF(AM210&gt;=AH210,AI210,AI210*AM210/AH210)</f>
        <v/>
      </c>
      <c r="AP210">
        <f t="array" ref="AP210">INDEX($AU$8:$BB$25,6*(R210-1)+MATCH(AB210,$AS$8:$AS$13,0),MATCH(O210,$AU$7:$BB$7,0))</f>
        <v/>
      </c>
    </row>
    <row r="211" ht="14.25" customHeight="1">
      <c r="O211" s="43" t="inlineStr">
        <is>
          <t>Q2’26</t>
        </is>
      </c>
      <c r="P211" s="43" t="n">
        <v>2</v>
      </c>
      <c r="Q211" s="43" t="n">
        <v>14</v>
      </c>
      <c r="R211" s="43" t="n">
        <v>3</v>
      </c>
      <c r="S211" s="45" t="n">
        <v>0</v>
      </c>
      <c r="T211">
        <f>(S209+S210+S211)=O3</f>
        <v/>
      </c>
      <c r="X211" s="84">
        <f>MAX(S208-S211,0)</f>
        <v/>
      </c>
      <c r="Y211" s="83" t="n">
        <v>0</v>
      </c>
      <c r="AA211" s="84" t="n">
        <v>5</v>
      </c>
      <c r="AB211" s="84" t="inlineStr">
        <is>
          <t>E</t>
        </is>
      </c>
      <c r="AC211" s="84" t="inlineStr">
        <is>
          <t>E+</t>
        </is>
      </c>
      <c r="AD211" s="84" t="n">
        <v>15</v>
      </c>
      <c r="AE211" s="84" t="n">
        <v>12</v>
      </c>
      <c r="AF211" s="84" t="n">
        <v>0.76</v>
      </c>
      <c r="AG211" s="84" t="n">
        <v>0.84</v>
      </c>
      <c r="AH211" s="84" t="n">
        <v>0</v>
      </c>
      <c r="AI211" s="84" t="n">
        <v>0</v>
      </c>
      <c r="AJ211" s="84">
        <f>SUMIFS(AH$8:AH$1039,$O$8:$O$1039,O211,$AB$8:$AB$1039,AB211,$R$8:$R$1039,R211,$AA$8:$AA$1039,"&lt;="&amp;AA211)</f>
        <v/>
      </c>
      <c r="AK211" s="84">
        <f>E24</f>
        <v/>
      </c>
      <c r="AL211" s="84">
        <f>E30</f>
        <v/>
      </c>
      <c r="AM211" s="84">
        <f>MAX(0,AJ211-AK211)</f>
        <v/>
      </c>
      <c r="AN211" s="84">
        <f>IF(AM211=0,AH211,IF(AM211&gt;=AH211,0,AH211-AM211))</f>
        <v/>
      </c>
      <c r="AO211" s="84">
        <f>IF(AM211&gt;=AH211,AI211,AI211*AM211/AH211)</f>
        <v/>
      </c>
      <c r="AP211">
        <f t="array" ref="AP211">INDEX($AU$8:$BB$25,6*(R211-1)+MATCH(AB211,$AS$8:$AS$13,0),MATCH(O211,$AU$7:$BB$7,0))</f>
        <v/>
      </c>
    </row>
    <row r="212" ht="14.25" customHeight="1">
      <c r="O212" s="43" t="inlineStr">
        <is>
          <t>Q2’26</t>
        </is>
      </c>
      <c r="P212" s="43" t="n">
        <v>2</v>
      </c>
      <c r="Q212" s="43" t="n">
        <v>15</v>
      </c>
      <c r="R212" s="43" t="n">
        <v>1</v>
      </c>
      <c r="S212" s="45" t="n">
        <v>2397.268292682927</v>
      </c>
      <c r="T212">
        <f>(S212+S213+S214)=O3</f>
        <v/>
      </c>
      <c r="X212" s="84">
        <f>MAX(S209-S212,0)</f>
        <v/>
      </c>
      <c r="Y212" s="83" t="n">
        <v>0</v>
      </c>
      <c r="AA212" s="84" t="n">
        <v>7</v>
      </c>
      <c r="AB212" s="84" t="inlineStr">
        <is>
          <t>E</t>
        </is>
      </c>
      <c r="AC212" s="84" t="inlineStr">
        <is>
          <t>E+</t>
        </is>
      </c>
      <c r="AD212" s="84" t="n">
        <v>13</v>
      </c>
      <c r="AE212" s="84" t="n">
        <v>10</v>
      </c>
      <c r="AF212" s="84" t="n">
        <v>0.76</v>
      </c>
      <c r="AG212" s="84" t="n">
        <v>0.84</v>
      </c>
      <c r="AH212" s="84" t="n">
        <v>0</v>
      </c>
      <c r="AI212" s="84" t="n">
        <v>0</v>
      </c>
      <c r="AJ212" s="84">
        <f>SUMIFS(AH$8:AH$1039,$O$8:$O$1039,O212,$AB$8:$AB$1039,AB212,$R$8:$R$1039,R212,$AA$8:$AA$1039,"&lt;="&amp;AA212)</f>
        <v/>
      </c>
      <c r="AK212" s="84">
        <f>C24</f>
        <v/>
      </c>
      <c r="AL212" s="84">
        <f>C30</f>
        <v/>
      </c>
      <c r="AM212" s="84">
        <f>MAX(0,AJ212-AK212)</f>
        <v/>
      </c>
      <c r="AN212" s="84">
        <f>IF(AM212=0,AH212,IF(AM212&gt;=AH212,0,AH212-AM212))</f>
        <v/>
      </c>
      <c r="AO212" s="84">
        <f>IF(AM212&gt;=AH212,AI212,AI212*AM212/AH212)</f>
        <v/>
      </c>
      <c r="AP212">
        <f t="array" ref="AP212">INDEX($AU$8:$BB$25,6*(R212-1)+MATCH(AB212,$AS$8:$AS$13,0),MATCH(O212,$AU$7:$BB$7,0))</f>
        <v/>
      </c>
    </row>
    <row r="213" ht="14.25" customHeight="1">
      <c r="O213" s="43" t="inlineStr">
        <is>
          <t>Q2’26</t>
        </is>
      </c>
      <c r="P213" s="43" t="n">
        <v>2</v>
      </c>
      <c r="Q213" s="43" t="n">
        <v>15</v>
      </c>
      <c r="R213" s="43" t="n">
        <v>2</v>
      </c>
      <c r="S213" s="45" t="n">
        <v>2802.731707317073</v>
      </c>
      <c r="T213">
        <f>(S212+S213+S214)=O3</f>
        <v/>
      </c>
      <c r="X213" s="84">
        <f>MAX(S210-S213,0)</f>
        <v/>
      </c>
      <c r="Y213" s="83" t="n">
        <v>0</v>
      </c>
      <c r="AA213" s="84" t="n">
        <v>7</v>
      </c>
      <c r="AB213" s="84" t="inlineStr">
        <is>
          <t>E</t>
        </is>
      </c>
      <c r="AC213" s="84" t="inlineStr">
        <is>
          <t>E+</t>
        </is>
      </c>
      <c r="AD213" s="84" t="n">
        <v>13</v>
      </c>
      <c r="AE213" s="84" t="n">
        <v>10</v>
      </c>
      <c r="AF213" s="84" t="n">
        <v>0.76</v>
      </c>
      <c r="AG213" s="84" t="n">
        <v>0.84</v>
      </c>
      <c r="AH213" s="84" t="n">
        <v>0</v>
      </c>
      <c r="AI213" s="84" t="n">
        <v>0</v>
      </c>
      <c r="AJ213" s="84">
        <f>SUMIFS(AH$8:AH$1039,$O$8:$O$1039,O213,$AB$8:$AB$1039,AB213,$R$8:$R$1039,R213,$AA$8:$AA$1039,"&lt;="&amp;AA213)</f>
        <v/>
      </c>
      <c r="AK213" s="84">
        <f>D24</f>
        <v/>
      </c>
      <c r="AL213" s="84">
        <f>D30</f>
        <v/>
      </c>
      <c r="AM213" s="84">
        <f>MAX(0,AJ213-AK213)</f>
        <v/>
      </c>
      <c r="AN213" s="84">
        <f>IF(AM213=0,AH213,IF(AM213&gt;=AH213,0,AH213-AM213))</f>
        <v/>
      </c>
      <c r="AO213" s="84">
        <f>IF(AM213&gt;=AH213,AI213,AI213*AM213/AH213)</f>
        <v/>
      </c>
      <c r="AP213">
        <f t="array" ref="AP213">INDEX($AU$8:$BB$25,6*(R213-1)+MATCH(AB213,$AS$8:$AS$13,0),MATCH(O213,$AU$7:$BB$7,0))</f>
        <v/>
      </c>
    </row>
    <row r="214" ht="14.25" customHeight="1">
      <c r="O214" s="43" t="inlineStr">
        <is>
          <t>Q2’26</t>
        </is>
      </c>
      <c r="P214" s="43" t="n">
        <v>2</v>
      </c>
      <c r="Q214" s="43" t="n">
        <v>15</v>
      </c>
      <c r="R214" s="43" t="n">
        <v>3</v>
      </c>
      <c r="S214" s="45" t="n">
        <v>0</v>
      </c>
      <c r="T214">
        <f>(S212+S213+S214)=O3</f>
        <v/>
      </c>
      <c r="X214" s="84">
        <f>MAX(S211-S214,0)</f>
        <v/>
      </c>
      <c r="Y214" s="83" t="n">
        <v>0</v>
      </c>
      <c r="AA214" s="84" t="n">
        <v>7</v>
      </c>
      <c r="AB214" s="84" t="inlineStr">
        <is>
          <t>E</t>
        </is>
      </c>
      <c r="AC214" s="84" t="inlineStr">
        <is>
          <t>E+</t>
        </is>
      </c>
      <c r="AD214" s="84" t="n">
        <v>13</v>
      </c>
      <c r="AE214" s="84" t="n">
        <v>10</v>
      </c>
      <c r="AF214" s="84" t="n">
        <v>0.76</v>
      </c>
      <c r="AG214" s="84" t="n">
        <v>0.84</v>
      </c>
      <c r="AH214" s="84" t="n">
        <v>0</v>
      </c>
      <c r="AI214" s="84" t="n">
        <v>0</v>
      </c>
      <c r="AJ214" s="84">
        <f>SUMIFS(AH$8:AH$1039,$O$8:$O$1039,O214,$AB$8:$AB$1039,AB214,$R$8:$R$1039,R214,$AA$8:$AA$1039,"&lt;="&amp;AA214)</f>
        <v/>
      </c>
      <c r="AK214" s="84">
        <f>E24</f>
        <v/>
      </c>
      <c r="AL214" s="84">
        <f>E30</f>
        <v/>
      </c>
      <c r="AM214" s="84">
        <f>MAX(0,AJ214-AK214)</f>
        <v/>
      </c>
      <c r="AN214" s="84">
        <f>IF(AM214=0,AH214,IF(AM214&gt;=AH214,0,AH214-AM214))</f>
        <v/>
      </c>
      <c r="AO214" s="84">
        <f>IF(AM214&gt;=AH214,AI214,AI214*AM214/AH214)</f>
        <v/>
      </c>
      <c r="AP214">
        <f t="array" ref="AP214">INDEX($AU$8:$BB$25,6*(R214-1)+MATCH(AB214,$AS$8:$AS$13,0),MATCH(O214,$AU$7:$BB$7,0))</f>
        <v/>
      </c>
    </row>
    <row r="215" ht="14.25" customHeight="1">
      <c r="O215" s="43" t="inlineStr">
        <is>
          <t>Q2’26</t>
        </is>
      </c>
      <c r="P215" s="43" t="n">
        <v>3</v>
      </c>
      <c r="Q215" s="43" t="n">
        <v>1</v>
      </c>
      <c r="R215" s="43" t="n">
        <v>1</v>
      </c>
      <c r="S215" s="45" t="n">
        <v>0</v>
      </c>
      <c r="T215">
        <f>(S215+S216+S217)=O4</f>
        <v/>
      </c>
      <c r="X215" s="84" t="n">
        <v>0</v>
      </c>
      <c r="Y215" s="83" t="n">
        <v>0</v>
      </c>
      <c r="AA215" s="84" t="n">
        <v>1</v>
      </c>
      <c r="AB215" s="84" t="inlineStr">
        <is>
          <t>C</t>
        </is>
      </c>
      <c r="AC215" s="84" t="inlineStr">
        <is>
          <t>C+</t>
        </is>
      </c>
      <c r="AD215" s="84" t="n">
        <v>21</v>
      </c>
      <c r="AE215" s="84" t="n">
        <v>20</v>
      </c>
      <c r="AF215" s="84" t="n">
        <v>0.8</v>
      </c>
      <c r="AG215" s="84" t="n">
        <v>0.86</v>
      </c>
      <c r="AH215" s="84" t="n">
        <v>0</v>
      </c>
      <c r="AI215" s="84" t="n">
        <v>0</v>
      </c>
      <c r="AJ215" s="84">
        <f>SUMIFS(AH$8:AH$1039,$O$8:$O$1039,O215,$AB$8:$AB$1039,AB215,$R$8:$R$1039,R215,$AA$8:$AA$1039,"&lt;="&amp;AA215)</f>
        <v/>
      </c>
      <c r="AK215" s="84">
        <f>C22</f>
        <v/>
      </c>
      <c r="AL215" s="84">
        <f>C28</f>
        <v/>
      </c>
      <c r="AM215" s="84">
        <f>MAX(0,AJ215-AK215)</f>
        <v/>
      </c>
      <c r="AN215" s="84">
        <f>IF(AM215=0,AH215,IF(AM215&gt;=AH215,0,AH215-AM215))</f>
        <v/>
      </c>
      <c r="AO215" s="84">
        <f>IF(AM215&gt;=AH215,AI215,AI215*AM215/AH215)</f>
        <v/>
      </c>
      <c r="AP215">
        <f t="array" ref="AP215">INDEX($AU$8:$BB$25,6*(R215-1)+MATCH(AB215,$AS$8:$AS$13,0),MATCH(O215,$AU$7:$BB$7,0))</f>
        <v/>
      </c>
    </row>
    <row r="216" ht="14.25" customHeight="1">
      <c r="O216" s="43" t="inlineStr">
        <is>
          <t>Q2’26</t>
        </is>
      </c>
      <c r="P216" s="43" t="n">
        <v>3</v>
      </c>
      <c r="Q216" s="43" t="n">
        <v>1</v>
      </c>
      <c r="R216" s="43" t="n">
        <v>2</v>
      </c>
      <c r="S216" s="45" t="n">
        <v>2177.784415458469</v>
      </c>
      <c r="T216">
        <f>(S215+S216+S217)=O4</f>
        <v/>
      </c>
      <c r="X216" s="84" t="n">
        <v>0</v>
      </c>
      <c r="Y216" s="83" t="n">
        <v>0</v>
      </c>
      <c r="AA216" s="84" t="n">
        <v>1</v>
      </c>
      <c r="AB216" s="84" t="inlineStr">
        <is>
          <t>C</t>
        </is>
      </c>
      <c r="AC216" s="84" t="inlineStr">
        <is>
          <t>C+</t>
        </is>
      </c>
      <c r="AD216" s="84" t="n">
        <v>21</v>
      </c>
      <c r="AE216" s="84" t="n">
        <v>20</v>
      </c>
      <c r="AF216" s="84" t="n">
        <v>0.8</v>
      </c>
      <c r="AG216" s="84" t="n">
        <v>0.86</v>
      </c>
      <c r="AH216" s="84" t="n">
        <v>0</v>
      </c>
      <c r="AI216" s="84" t="n">
        <v>0</v>
      </c>
      <c r="AJ216" s="84">
        <f>SUMIFS(AH$8:AH$1039,$O$8:$O$1039,O216,$AB$8:$AB$1039,AB216,$R$8:$R$1039,R216,$AA$8:$AA$1039,"&lt;="&amp;AA216)</f>
        <v/>
      </c>
      <c r="AK216" s="84">
        <f>D22</f>
        <v/>
      </c>
      <c r="AL216" s="84">
        <f>D28</f>
        <v/>
      </c>
      <c r="AM216" s="84">
        <f>MAX(0,AJ216-AK216)</f>
        <v/>
      </c>
      <c r="AN216" s="84">
        <f>IF(AM216=0,AH216,IF(AM216&gt;=AH216,0,AH216-AM216))</f>
        <v/>
      </c>
      <c r="AO216" s="84">
        <f>IF(AM216&gt;=AH216,AI216,AI216*AM216/AH216)</f>
        <v/>
      </c>
      <c r="AP216">
        <f t="array" ref="AP216">INDEX($AU$8:$BB$25,6*(R216-1)+MATCH(AB216,$AS$8:$AS$13,0),MATCH(O216,$AU$7:$BB$7,0))</f>
        <v/>
      </c>
    </row>
    <row r="217" ht="14.25" customHeight="1">
      <c r="O217" s="43" t="inlineStr">
        <is>
          <t>Q2’26</t>
        </is>
      </c>
      <c r="P217" s="43" t="n">
        <v>3</v>
      </c>
      <c r="Q217" s="43" t="n">
        <v>1</v>
      </c>
      <c r="R217" s="43" t="n">
        <v>3</v>
      </c>
      <c r="S217" s="45" t="n">
        <v>2322.215584541531</v>
      </c>
      <c r="T217">
        <f>(S215+S216+S217)=O4</f>
        <v/>
      </c>
      <c r="X217" s="84" t="n">
        <v>0</v>
      </c>
      <c r="Y217" s="83" t="n">
        <v>0</v>
      </c>
      <c r="AA217" s="84" t="n">
        <v>1</v>
      </c>
      <c r="AB217" s="84" t="inlineStr">
        <is>
          <t>C</t>
        </is>
      </c>
      <c r="AC217" s="84" t="inlineStr">
        <is>
          <t>C+</t>
        </is>
      </c>
      <c r="AD217" s="84" t="n">
        <v>21</v>
      </c>
      <c r="AE217" s="84" t="n">
        <v>20</v>
      </c>
      <c r="AF217" s="84" t="n">
        <v>0.8</v>
      </c>
      <c r="AG217" s="84" t="n">
        <v>0.86</v>
      </c>
      <c r="AH217" s="84" t="n">
        <v>0</v>
      </c>
      <c r="AI217" s="84" t="n">
        <v>0</v>
      </c>
      <c r="AJ217" s="84">
        <f>SUMIFS(AH$8:AH$1039,$O$8:$O$1039,O217,$AB$8:$AB$1039,AB217,$R$8:$R$1039,R217,$AA$8:$AA$1039,"&lt;="&amp;AA217)</f>
        <v/>
      </c>
      <c r="AK217" s="84">
        <f>E22</f>
        <v/>
      </c>
      <c r="AL217" s="84">
        <f>E28</f>
        <v/>
      </c>
      <c r="AM217" s="84">
        <f>MAX(0,AJ217-AK217)</f>
        <v/>
      </c>
      <c r="AN217" s="84">
        <f>IF(AM217=0,AH217,IF(AM217&gt;=AH217,0,AH217-AM217))</f>
        <v/>
      </c>
      <c r="AO217" s="84">
        <f>IF(AM217&gt;=AH217,AI217,AI217*AM217/AH217)</f>
        <v/>
      </c>
      <c r="AP217">
        <f t="array" ref="AP217">INDEX($AU$8:$BB$25,6*(R217-1)+MATCH(AB217,$AS$8:$AS$13,0),MATCH(O217,$AU$7:$BB$7,0))</f>
        <v/>
      </c>
    </row>
    <row r="218" ht="14.25" customHeight="1">
      <c r="O218" s="43" t="inlineStr">
        <is>
          <t>Q2’26</t>
        </is>
      </c>
      <c r="P218" s="43" t="n">
        <v>3</v>
      </c>
      <c r="Q218" s="43" t="n">
        <v>2</v>
      </c>
      <c r="R218" s="43" t="n">
        <v>1</v>
      </c>
      <c r="S218" s="45" t="n">
        <v>0</v>
      </c>
      <c r="T218">
        <f>(S218+S219+S220)=O4</f>
        <v/>
      </c>
      <c r="X218" s="84">
        <f>MAX(S215-S218,0)</f>
        <v/>
      </c>
      <c r="Y218" s="83" t="n">
        <v>0</v>
      </c>
      <c r="AA218" s="84" t="n">
        <v>8</v>
      </c>
      <c r="AB218" s="84" t="inlineStr">
        <is>
          <t>D</t>
        </is>
      </c>
      <c r="AC218" s="84" t="inlineStr">
        <is>
          <t>D+</t>
        </is>
      </c>
      <c r="AD218" s="84" t="n">
        <v>9</v>
      </c>
      <c r="AE218" s="84" t="n">
        <v>7</v>
      </c>
      <c r="AF218" s="84" t="n">
        <v>0.8</v>
      </c>
      <c r="AG218" s="84" t="n">
        <v>0.88</v>
      </c>
      <c r="AH218" s="84" t="n">
        <v>0</v>
      </c>
      <c r="AI218" s="84" t="n">
        <v>0</v>
      </c>
      <c r="AJ218" s="84">
        <f>SUMIFS(AH$8:AH$1039,$O$8:$O$1039,O218,$AB$8:$AB$1039,AB218,$R$8:$R$1039,R218,$AA$8:$AA$1039,"&lt;="&amp;AA218)</f>
        <v/>
      </c>
      <c r="AK218" s="84">
        <f>C23</f>
        <v/>
      </c>
      <c r="AL218" s="84">
        <f>C29</f>
        <v/>
      </c>
      <c r="AM218" s="84">
        <f>MAX(0,AJ218-AK218)</f>
        <v/>
      </c>
      <c r="AN218" s="84">
        <f>IF(AM218=0,AH218,IF(AM218&gt;=AH218,0,AH218-AM218))</f>
        <v/>
      </c>
      <c r="AO218" s="84">
        <f>IF(AM218&gt;=AH218,AI218,AI218*AM218/AH218)</f>
        <v/>
      </c>
      <c r="AP218">
        <f t="array" ref="AP218">INDEX($AU$8:$BB$25,6*(R218-1)+MATCH(AB218,$AS$8:$AS$13,0),MATCH(O218,$AU$7:$BB$7,0))</f>
        <v/>
      </c>
    </row>
    <row r="219" ht="14.25" customHeight="1">
      <c r="O219" s="43" t="inlineStr">
        <is>
          <t>Q2’26</t>
        </is>
      </c>
      <c r="P219" s="43" t="n">
        <v>3</v>
      </c>
      <c r="Q219" s="43" t="n">
        <v>2</v>
      </c>
      <c r="R219" s="43" t="n">
        <v>2</v>
      </c>
      <c r="S219" s="45" t="n">
        <v>2177.784415458469</v>
      </c>
      <c r="T219">
        <f>(S218+S219+S220)=O4</f>
        <v/>
      </c>
      <c r="X219" s="84">
        <f>MAX(S216-S219,0)</f>
        <v/>
      </c>
      <c r="Y219" s="83" t="n">
        <v>0</v>
      </c>
      <c r="AA219" s="84" t="n">
        <v>8</v>
      </c>
      <c r="AB219" s="84" t="inlineStr">
        <is>
          <t>D</t>
        </is>
      </c>
      <c r="AC219" s="84" t="inlineStr">
        <is>
          <t>D+</t>
        </is>
      </c>
      <c r="AD219" s="84" t="n">
        <v>9</v>
      </c>
      <c r="AE219" s="84" t="n">
        <v>7</v>
      </c>
      <c r="AF219" s="84" t="n">
        <v>0.8</v>
      </c>
      <c r="AG219" s="84" t="n">
        <v>0.88</v>
      </c>
      <c r="AH219" s="84" t="n">
        <v>0</v>
      </c>
      <c r="AI219" s="84" t="n">
        <v>0</v>
      </c>
      <c r="AJ219" s="84">
        <f>SUMIFS(AH$8:AH$1039,$O$8:$O$1039,O219,$AB$8:$AB$1039,AB219,$R$8:$R$1039,R219,$AA$8:$AA$1039,"&lt;="&amp;AA219)</f>
        <v/>
      </c>
      <c r="AK219" s="84">
        <f>D23</f>
        <v/>
      </c>
      <c r="AL219" s="84">
        <f>D29</f>
        <v/>
      </c>
      <c r="AM219" s="84">
        <f>MAX(0,AJ219-AK219)</f>
        <v/>
      </c>
      <c r="AN219" s="84">
        <f>IF(AM219=0,AH219,IF(AM219&gt;=AH219,0,AH219-AM219))</f>
        <v/>
      </c>
      <c r="AO219" s="84">
        <f>IF(AM219&gt;=AH219,AI219,AI219*AM219/AH219)</f>
        <v/>
      </c>
      <c r="AP219">
        <f t="array" ref="AP219">INDEX($AU$8:$BB$25,6*(R219-1)+MATCH(AB219,$AS$8:$AS$13,0),MATCH(O219,$AU$7:$BB$7,0))</f>
        <v/>
      </c>
    </row>
    <row r="220" ht="14.25" customHeight="1">
      <c r="O220" s="43" t="inlineStr">
        <is>
          <t>Q2’26</t>
        </is>
      </c>
      <c r="P220" s="43" t="n">
        <v>3</v>
      </c>
      <c r="Q220" s="43" t="n">
        <v>2</v>
      </c>
      <c r="R220" s="43" t="n">
        <v>3</v>
      </c>
      <c r="S220" s="45" t="n">
        <v>2322.215584541531</v>
      </c>
      <c r="T220">
        <f>(S218+S219+S220)=O4</f>
        <v/>
      </c>
      <c r="X220" s="84">
        <f>MAX(S217-S220,0)</f>
        <v/>
      </c>
      <c r="Y220" s="83" t="n">
        <v>0</v>
      </c>
      <c r="AA220" s="84" t="n">
        <v>8</v>
      </c>
      <c r="AB220" s="84" t="inlineStr">
        <is>
          <t>D</t>
        </is>
      </c>
      <c r="AC220" s="84" t="inlineStr">
        <is>
          <t>D+</t>
        </is>
      </c>
      <c r="AD220" s="84" t="n">
        <v>9</v>
      </c>
      <c r="AE220" s="84" t="n">
        <v>7</v>
      </c>
      <c r="AF220" s="84" t="n">
        <v>0.8</v>
      </c>
      <c r="AG220" s="84" t="n">
        <v>0.88</v>
      </c>
      <c r="AH220" s="84" t="n">
        <v>0</v>
      </c>
      <c r="AI220" s="84" t="n">
        <v>0</v>
      </c>
      <c r="AJ220" s="84">
        <f>SUMIFS(AH$8:AH$1039,$O$8:$O$1039,O220,$AB$8:$AB$1039,AB220,$R$8:$R$1039,R220,$AA$8:$AA$1039,"&lt;="&amp;AA220)</f>
        <v/>
      </c>
      <c r="AK220" s="84">
        <f>E23</f>
        <v/>
      </c>
      <c r="AL220" s="84">
        <f>E29</f>
        <v/>
      </c>
      <c r="AM220" s="84">
        <f>MAX(0,AJ220-AK220)</f>
        <v/>
      </c>
      <c r="AN220" s="84">
        <f>IF(AM220=0,AH220,IF(AM220&gt;=AH220,0,AH220-AM220))</f>
        <v/>
      </c>
      <c r="AO220" s="84">
        <f>IF(AM220&gt;=AH220,AI220,AI220*AM220/AH220)</f>
        <v/>
      </c>
      <c r="AP220">
        <f t="array" ref="AP220">INDEX($AU$8:$BB$25,6*(R220-1)+MATCH(AB220,$AS$8:$AS$13,0),MATCH(O220,$AU$7:$BB$7,0))</f>
        <v/>
      </c>
    </row>
    <row r="221" ht="14.25" customHeight="1">
      <c r="O221" s="43" t="inlineStr">
        <is>
          <t>Q2’26</t>
        </is>
      </c>
      <c r="P221" s="43" t="n">
        <v>3</v>
      </c>
      <c r="Q221" s="43" t="n">
        <v>3</v>
      </c>
      <c r="R221" s="43" t="n">
        <v>1</v>
      </c>
      <c r="S221" s="45" t="n">
        <v>0</v>
      </c>
      <c r="T221">
        <f>(S221+S222+S223)=O4</f>
        <v/>
      </c>
      <c r="X221" s="84">
        <f>MAX(S218-S221,0)</f>
        <v/>
      </c>
      <c r="Y221" s="83" t="n">
        <v>0</v>
      </c>
      <c r="AA221" s="84" t="n">
        <v>1</v>
      </c>
      <c r="AB221" s="84" t="inlineStr">
        <is>
          <t>E</t>
        </is>
      </c>
      <c r="AC221" s="84" t="inlineStr">
        <is>
          <t>E+</t>
        </is>
      </c>
      <c r="AD221" s="84" t="n">
        <v>24</v>
      </c>
      <c r="AE221" s="84" t="n">
        <v>23</v>
      </c>
      <c r="AF221" s="84" t="n">
        <v>0.76</v>
      </c>
      <c r="AG221" s="84" t="n">
        <v>0.84</v>
      </c>
      <c r="AH221" s="84" t="n">
        <v>0</v>
      </c>
      <c r="AI221" s="84" t="n">
        <v>0</v>
      </c>
      <c r="AJ221" s="84">
        <f>SUMIFS(AH$8:AH$1039,$O$8:$O$1039,O221,$AB$8:$AB$1039,AB221,$R$8:$R$1039,R221,$AA$8:$AA$1039,"&lt;="&amp;AA221)</f>
        <v/>
      </c>
      <c r="AK221" s="84">
        <f>C24</f>
        <v/>
      </c>
      <c r="AL221" s="84">
        <f>C30</f>
        <v/>
      </c>
      <c r="AM221" s="84">
        <f>MAX(0,AJ221-AK221)</f>
        <v/>
      </c>
      <c r="AN221" s="84">
        <f>IF(AM221=0,AH221,IF(AM221&gt;=AH221,0,AH221-AM221))</f>
        <v/>
      </c>
      <c r="AO221" s="84">
        <f>IF(AM221&gt;=AH221,AI221,AI221*AM221/AH221)</f>
        <v/>
      </c>
      <c r="AP221">
        <f t="array" ref="AP221">INDEX($AU$8:$BB$25,6*(R221-1)+MATCH(AB221,$AS$8:$AS$13,0),MATCH(O221,$AU$7:$BB$7,0))</f>
        <v/>
      </c>
    </row>
    <row r="222" ht="14.25" customHeight="1">
      <c r="O222" s="43" t="inlineStr">
        <is>
          <t>Q2’26</t>
        </is>
      </c>
      <c r="P222" s="43" t="n">
        <v>3</v>
      </c>
      <c r="Q222" s="43" t="n">
        <v>3</v>
      </c>
      <c r="R222" s="43" t="n">
        <v>2</v>
      </c>
      <c r="S222" s="45" t="n">
        <v>2177.784415458469</v>
      </c>
      <c r="T222">
        <f>(S221+S222+S223)=O4</f>
        <v/>
      </c>
      <c r="X222" s="84">
        <f>MAX(S219-S222,0)</f>
        <v/>
      </c>
      <c r="Y222" s="83" t="n">
        <v>0</v>
      </c>
      <c r="AA222" s="84" t="n">
        <v>1</v>
      </c>
      <c r="AB222" s="84" t="inlineStr">
        <is>
          <t>E</t>
        </is>
      </c>
      <c r="AC222" s="84" t="inlineStr">
        <is>
          <t>E+</t>
        </is>
      </c>
      <c r="AD222" s="84" t="n">
        <v>24</v>
      </c>
      <c r="AE222" s="84" t="n">
        <v>23</v>
      </c>
      <c r="AF222" s="84" t="n">
        <v>0.76</v>
      </c>
      <c r="AG222" s="84" t="n">
        <v>0.84</v>
      </c>
      <c r="AH222" s="84" t="n">
        <v>0</v>
      </c>
      <c r="AI222" s="84" t="n">
        <v>0</v>
      </c>
      <c r="AJ222" s="84">
        <f>SUMIFS(AH$8:AH$1039,$O$8:$O$1039,O222,$AB$8:$AB$1039,AB222,$R$8:$R$1039,R222,$AA$8:$AA$1039,"&lt;="&amp;AA222)</f>
        <v/>
      </c>
      <c r="AK222" s="84">
        <f>D24</f>
        <v/>
      </c>
      <c r="AL222" s="84">
        <f>D30</f>
        <v/>
      </c>
      <c r="AM222" s="84">
        <f>MAX(0,AJ222-AK222)</f>
        <v/>
      </c>
      <c r="AN222" s="84">
        <f>IF(AM222=0,AH222,IF(AM222&gt;=AH222,0,AH222-AM222))</f>
        <v/>
      </c>
      <c r="AO222" s="84">
        <f>IF(AM222&gt;=AH222,AI222,AI222*AM222/AH222)</f>
        <v/>
      </c>
      <c r="AP222">
        <f t="array" ref="AP222">INDEX($AU$8:$BB$25,6*(R222-1)+MATCH(AB222,$AS$8:$AS$13,0),MATCH(O222,$AU$7:$BB$7,0))</f>
        <v/>
      </c>
    </row>
    <row r="223" ht="14.25" customHeight="1">
      <c r="O223" s="43" t="inlineStr">
        <is>
          <t>Q2’26</t>
        </is>
      </c>
      <c r="P223" s="43" t="n">
        <v>3</v>
      </c>
      <c r="Q223" s="43" t="n">
        <v>3</v>
      </c>
      <c r="R223" s="43" t="n">
        <v>3</v>
      </c>
      <c r="S223" s="45" t="n">
        <v>2322.215584541531</v>
      </c>
      <c r="T223">
        <f>(S221+S222+S223)=O4</f>
        <v/>
      </c>
      <c r="X223" s="84">
        <f>MAX(S220-S223,0)</f>
        <v/>
      </c>
      <c r="Y223" s="83" t="n">
        <v>0</v>
      </c>
      <c r="AA223" s="84" t="n">
        <v>1</v>
      </c>
      <c r="AB223" s="84" t="inlineStr">
        <is>
          <t>E</t>
        </is>
      </c>
      <c r="AC223" s="84" t="inlineStr">
        <is>
          <t>E+</t>
        </is>
      </c>
      <c r="AD223" s="84" t="n">
        <v>24</v>
      </c>
      <c r="AE223" s="84" t="n">
        <v>23</v>
      </c>
      <c r="AF223" s="84" t="n">
        <v>0.76</v>
      </c>
      <c r="AG223" s="84" t="n">
        <v>0.84</v>
      </c>
      <c r="AH223" s="84" t="n">
        <v>0</v>
      </c>
      <c r="AI223" s="84" t="n">
        <v>0</v>
      </c>
      <c r="AJ223" s="84">
        <f>SUMIFS(AH$8:AH$1039,$O$8:$O$1039,O223,$AB$8:$AB$1039,AB223,$R$8:$R$1039,R223,$AA$8:$AA$1039,"&lt;="&amp;AA223)</f>
        <v/>
      </c>
      <c r="AK223" s="84">
        <f>E24</f>
        <v/>
      </c>
      <c r="AL223" s="84">
        <f>E30</f>
        <v/>
      </c>
      <c r="AM223" s="84">
        <f>MAX(0,AJ223-AK223)</f>
        <v/>
      </c>
      <c r="AN223" s="84">
        <f>IF(AM223=0,AH223,IF(AM223&gt;=AH223,0,AH223-AM223))</f>
        <v/>
      </c>
      <c r="AO223" s="84">
        <f>IF(AM223&gt;=AH223,AI223,AI223*AM223/AH223)</f>
        <v/>
      </c>
      <c r="AP223">
        <f t="array" ref="AP223">INDEX($AU$8:$BB$25,6*(R223-1)+MATCH(AB223,$AS$8:$AS$13,0),MATCH(O223,$AU$7:$BB$7,0))</f>
        <v/>
      </c>
    </row>
    <row r="224" ht="14.25" customHeight="1">
      <c r="O224" s="43" t="inlineStr">
        <is>
          <t>Q2’26</t>
        </is>
      </c>
      <c r="P224" s="43" t="n">
        <v>3</v>
      </c>
      <c r="Q224" s="43" t="n">
        <v>4</v>
      </c>
      <c r="R224" s="43" t="n">
        <v>1</v>
      </c>
      <c r="S224" s="45" t="n">
        <v>0</v>
      </c>
      <c r="T224">
        <f>(S224+S225+S226)=O4</f>
        <v/>
      </c>
      <c r="X224" s="84">
        <f>MAX(S221-S224,0)</f>
        <v/>
      </c>
      <c r="Y224" s="83" t="n">
        <v>0</v>
      </c>
      <c r="AA224" s="84" t="n">
        <v>9</v>
      </c>
      <c r="AB224" s="84" t="inlineStr">
        <is>
          <t>E</t>
        </is>
      </c>
      <c r="AC224" s="84" t="inlineStr">
        <is>
          <t>E+</t>
        </is>
      </c>
      <c r="AD224" s="84" t="n">
        <v>15</v>
      </c>
      <c r="AE224" s="84" t="n">
        <v>11</v>
      </c>
      <c r="AF224" s="84" t="n">
        <v>0.76</v>
      </c>
      <c r="AG224" s="84" t="n">
        <v>0.84</v>
      </c>
      <c r="AH224" s="84" t="n">
        <v>0</v>
      </c>
      <c r="AI224" s="84" t="n">
        <v>0</v>
      </c>
      <c r="AJ224" s="84">
        <f>SUMIFS(AH$8:AH$1039,$O$8:$O$1039,O224,$AB$8:$AB$1039,AB224,$R$8:$R$1039,R224,$AA$8:$AA$1039,"&lt;="&amp;AA224)</f>
        <v/>
      </c>
      <c r="AK224" s="84">
        <f>C24</f>
        <v/>
      </c>
      <c r="AL224" s="84">
        <f>C30</f>
        <v/>
      </c>
      <c r="AM224" s="84">
        <f>MAX(0,AJ224-AK224)</f>
        <v/>
      </c>
      <c r="AN224" s="84">
        <f>IF(AM224=0,AH224,IF(AM224&gt;=AH224,0,AH224-AM224))</f>
        <v/>
      </c>
      <c r="AO224" s="84">
        <f>IF(AM224&gt;=AH224,AI224,AI224*AM224/AH224)</f>
        <v/>
      </c>
      <c r="AP224">
        <f t="array" ref="AP224">INDEX($AU$8:$BB$25,6*(R224-1)+MATCH(AB224,$AS$8:$AS$13,0),MATCH(O224,$AU$7:$BB$7,0))</f>
        <v/>
      </c>
    </row>
    <row r="225" ht="14.25" customHeight="1">
      <c r="O225" s="43" t="inlineStr">
        <is>
          <t>Q2’26</t>
        </is>
      </c>
      <c r="P225" s="43" t="n">
        <v>3</v>
      </c>
      <c r="Q225" s="43" t="n">
        <v>4</v>
      </c>
      <c r="R225" s="43" t="n">
        <v>2</v>
      </c>
      <c r="S225" s="45" t="n">
        <v>2177.784415458469</v>
      </c>
      <c r="T225">
        <f>(S224+S225+S226)=O4</f>
        <v/>
      </c>
      <c r="X225" s="84">
        <f>MAX(S222-S225,0)</f>
        <v/>
      </c>
      <c r="Y225" s="83" t="n">
        <v>0</v>
      </c>
      <c r="AA225" s="84" t="n">
        <v>9</v>
      </c>
      <c r="AB225" s="84" t="inlineStr">
        <is>
          <t>E</t>
        </is>
      </c>
      <c r="AC225" s="84" t="inlineStr">
        <is>
          <t>E+</t>
        </is>
      </c>
      <c r="AD225" s="84" t="n">
        <v>15</v>
      </c>
      <c r="AE225" s="84" t="n">
        <v>11</v>
      </c>
      <c r="AF225" s="84" t="n">
        <v>0.76</v>
      </c>
      <c r="AG225" s="84" t="n">
        <v>0.84</v>
      </c>
      <c r="AH225" s="84" t="n">
        <v>0</v>
      </c>
      <c r="AI225" s="84" t="n">
        <v>0</v>
      </c>
      <c r="AJ225" s="84">
        <f>SUMIFS(AH$8:AH$1039,$O$8:$O$1039,O225,$AB$8:$AB$1039,AB225,$R$8:$R$1039,R225,$AA$8:$AA$1039,"&lt;="&amp;AA225)</f>
        <v/>
      </c>
      <c r="AK225" s="84">
        <f>D24</f>
        <v/>
      </c>
      <c r="AL225" s="84">
        <f>D30</f>
        <v/>
      </c>
      <c r="AM225" s="84">
        <f>MAX(0,AJ225-AK225)</f>
        <v/>
      </c>
      <c r="AN225" s="84">
        <f>IF(AM225=0,AH225,IF(AM225&gt;=AH225,0,AH225-AM225))</f>
        <v/>
      </c>
      <c r="AO225" s="84">
        <f>IF(AM225&gt;=AH225,AI225,AI225*AM225/AH225)</f>
        <v/>
      </c>
      <c r="AP225">
        <f t="array" ref="AP225">INDEX($AU$8:$BB$25,6*(R225-1)+MATCH(AB225,$AS$8:$AS$13,0),MATCH(O225,$AU$7:$BB$7,0))</f>
        <v/>
      </c>
    </row>
    <row r="226" ht="14.25" customHeight="1">
      <c r="O226" s="43" t="inlineStr">
        <is>
          <t>Q2’26</t>
        </is>
      </c>
      <c r="P226" s="43" t="n">
        <v>3</v>
      </c>
      <c r="Q226" s="43" t="n">
        <v>4</v>
      </c>
      <c r="R226" s="43" t="n">
        <v>3</v>
      </c>
      <c r="S226" s="45" t="n">
        <v>2322.215584541531</v>
      </c>
      <c r="T226">
        <f>(S224+S225+S226)=O4</f>
        <v/>
      </c>
      <c r="X226" s="84">
        <f>MAX(S223-S226,0)</f>
        <v/>
      </c>
      <c r="Y226" s="83" t="n">
        <v>0</v>
      </c>
      <c r="AA226" s="84" t="n">
        <v>9</v>
      </c>
      <c r="AB226" s="84" t="inlineStr">
        <is>
          <t>E</t>
        </is>
      </c>
      <c r="AC226" s="84" t="inlineStr">
        <is>
          <t>E+</t>
        </is>
      </c>
      <c r="AD226" s="84" t="n">
        <v>15</v>
      </c>
      <c r="AE226" s="84" t="n">
        <v>11</v>
      </c>
      <c r="AF226" s="84" t="n">
        <v>0.76</v>
      </c>
      <c r="AG226" s="84" t="n">
        <v>0.84</v>
      </c>
      <c r="AH226" s="84" t="n">
        <v>0</v>
      </c>
      <c r="AI226" s="84" t="n">
        <v>0</v>
      </c>
      <c r="AJ226" s="84">
        <f>SUMIFS(AH$8:AH$1039,$O$8:$O$1039,O226,$AB$8:$AB$1039,AB226,$R$8:$R$1039,R226,$AA$8:$AA$1039,"&lt;="&amp;AA226)</f>
        <v/>
      </c>
      <c r="AK226" s="84">
        <f>E24</f>
        <v/>
      </c>
      <c r="AL226" s="84">
        <f>E30</f>
        <v/>
      </c>
      <c r="AM226" s="84">
        <f>MAX(0,AJ226-AK226)</f>
        <v/>
      </c>
      <c r="AN226" s="84">
        <f>IF(AM226=0,AH226,IF(AM226&gt;=AH226,0,AH226-AM226))</f>
        <v/>
      </c>
      <c r="AO226" s="84">
        <f>IF(AM226&gt;=AH226,AI226,AI226*AM226/AH226)</f>
        <v/>
      </c>
      <c r="AP226">
        <f t="array" ref="AP226">INDEX($AU$8:$BB$25,6*(R226-1)+MATCH(AB226,$AS$8:$AS$13,0),MATCH(O226,$AU$7:$BB$7,0))</f>
        <v/>
      </c>
    </row>
    <row r="227" ht="14.25" customHeight="1">
      <c r="O227" s="43" t="inlineStr">
        <is>
          <t>Q2’26</t>
        </is>
      </c>
      <c r="P227" s="43" t="n">
        <v>3</v>
      </c>
      <c r="Q227" s="43" t="n">
        <v>5</v>
      </c>
      <c r="R227" s="43" t="n">
        <v>1</v>
      </c>
      <c r="S227" s="45" t="n">
        <v>0</v>
      </c>
      <c r="T227">
        <f>(S227+S228+S229)=O4</f>
        <v/>
      </c>
      <c r="X227" s="84">
        <f>MAX(S224-S227,0)</f>
        <v/>
      </c>
      <c r="Y227" s="83" t="n">
        <v>0</v>
      </c>
      <c r="AA227" s="84" t="n">
        <v>6</v>
      </c>
      <c r="AB227" s="84" t="inlineStr">
        <is>
          <t>F</t>
        </is>
      </c>
      <c r="AC227" s="84" t="inlineStr">
        <is>
          <t>F+</t>
        </is>
      </c>
      <c r="AD227" s="84" t="n">
        <v>16</v>
      </c>
      <c r="AE227" s="84" t="n">
        <v>14</v>
      </c>
      <c r="AF227" s="84" t="n">
        <v>0.8</v>
      </c>
      <c r="AG227" s="84" t="n">
        <v>0.9</v>
      </c>
      <c r="AH227" s="84" t="n">
        <v>0</v>
      </c>
      <c r="AI227" s="84" t="n">
        <v>0</v>
      </c>
      <c r="AJ227" s="84">
        <f>SUMIFS(AH$8:AH$1039,$O$8:$O$1039,O227,$AB$8:$AB$1039,AB227,$R$8:$R$1039,R227,$AA$8:$AA$1039,"&lt;="&amp;AA227)</f>
        <v/>
      </c>
      <c r="AK227" s="84">
        <f>C25</f>
        <v/>
      </c>
      <c r="AL227" s="84">
        <f>C31</f>
        <v/>
      </c>
      <c r="AM227" s="84">
        <f>MAX(0,AJ227-AK227)</f>
        <v/>
      </c>
      <c r="AN227" s="84">
        <f>IF(AM227=0,AH227,IF(AM227&gt;=AH227,0,AH227-AM227))</f>
        <v/>
      </c>
      <c r="AO227" s="84">
        <f>IF(AM227&gt;=AH227,AI227,AI227*AM227/AH227)</f>
        <v/>
      </c>
      <c r="AP227">
        <f t="array" ref="AP227">INDEX($AU$8:$BB$25,6*(R227-1)+MATCH(AB227,$AS$8:$AS$13,0),MATCH(O227,$AU$7:$BB$7,0))</f>
        <v/>
      </c>
    </row>
    <row r="228" ht="14.25" customHeight="1">
      <c r="O228" s="43" t="inlineStr">
        <is>
          <t>Q2’26</t>
        </is>
      </c>
      <c r="P228" s="43" t="n">
        <v>3</v>
      </c>
      <c r="Q228" s="43" t="n">
        <v>5</v>
      </c>
      <c r="R228" s="43" t="n">
        <v>2</v>
      </c>
      <c r="S228" s="45" t="n">
        <v>2177.784415458469</v>
      </c>
      <c r="T228">
        <f>(S227+S228+S229)=O4</f>
        <v/>
      </c>
      <c r="X228" s="84">
        <f>MAX(S225-S228,0)</f>
        <v/>
      </c>
      <c r="Y228" s="83" t="n">
        <v>0</v>
      </c>
      <c r="AA228" s="84" t="n">
        <v>6</v>
      </c>
      <c r="AB228" s="84" t="inlineStr">
        <is>
          <t>F</t>
        </is>
      </c>
      <c r="AC228" s="84" t="inlineStr">
        <is>
          <t>F+</t>
        </is>
      </c>
      <c r="AD228" s="84" t="n">
        <v>16</v>
      </c>
      <c r="AE228" s="84" t="n">
        <v>14</v>
      </c>
      <c r="AF228" s="84" t="n">
        <v>0.8</v>
      </c>
      <c r="AG228" s="84" t="n">
        <v>0.9</v>
      </c>
      <c r="AH228" s="84" t="n">
        <v>0</v>
      </c>
      <c r="AI228" s="84" t="n">
        <v>0</v>
      </c>
      <c r="AJ228" s="84">
        <f>SUMIFS(AH$8:AH$1039,$O$8:$O$1039,O228,$AB$8:$AB$1039,AB228,$R$8:$R$1039,R228,$AA$8:$AA$1039,"&lt;="&amp;AA228)</f>
        <v/>
      </c>
      <c r="AK228" s="84">
        <f>D25</f>
        <v/>
      </c>
      <c r="AL228" s="84">
        <f>D31</f>
        <v/>
      </c>
      <c r="AM228" s="84">
        <f>MAX(0,AJ228-AK228)</f>
        <v/>
      </c>
      <c r="AN228" s="84">
        <f>IF(AM228=0,AH228,IF(AM228&gt;=AH228,0,AH228-AM228))</f>
        <v/>
      </c>
      <c r="AO228" s="84">
        <f>IF(AM228&gt;=AH228,AI228,AI228*AM228/AH228)</f>
        <v/>
      </c>
      <c r="AP228">
        <f t="array" ref="AP228">INDEX($AU$8:$BB$25,6*(R228-1)+MATCH(AB228,$AS$8:$AS$13,0),MATCH(O228,$AU$7:$BB$7,0))</f>
        <v/>
      </c>
    </row>
    <row r="229" ht="14.25" customHeight="1">
      <c r="O229" s="43" t="inlineStr">
        <is>
          <t>Q2’26</t>
        </is>
      </c>
      <c r="P229" s="43" t="n">
        <v>3</v>
      </c>
      <c r="Q229" s="43" t="n">
        <v>5</v>
      </c>
      <c r="R229" s="43" t="n">
        <v>3</v>
      </c>
      <c r="S229" s="45" t="n">
        <v>2322.215584541531</v>
      </c>
      <c r="T229">
        <f>(S227+S228+S229)=O4</f>
        <v/>
      </c>
      <c r="X229" s="84">
        <f>MAX(S226-S229,0)</f>
        <v/>
      </c>
      <c r="Y229" s="83" t="n">
        <v>0</v>
      </c>
      <c r="AA229" s="84" t="n">
        <v>6</v>
      </c>
      <c r="AB229" s="84" t="inlineStr">
        <is>
          <t>F</t>
        </is>
      </c>
      <c r="AC229" s="84" t="inlineStr">
        <is>
          <t>F+</t>
        </is>
      </c>
      <c r="AD229" s="84" t="n">
        <v>16</v>
      </c>
      <c r="AE229" s="84" t="n">
        <v>14</v>
      </c>
      <c r="AF229" s="84" t="n">
        <v>0.8</v>
      </c>
      <c r="AG229" s="84" t="n">
        <v>0.9</v>
      </c>
      <c r="AH229" s="84" t="n">
        <v>0</v>
      </c>
      <c r="AI229" s="84" t="n">
        <v>0</v>
      </c>
      <c r="AJ229" s="84">
        <f>SUMIFS(AH$8:AH$1039,$O$8:$O$1039,O229,$AB$8:$AB$1039,AB229,$R$8:$R$1039,R229,$AA$8:$AA$1039,"&lt;="&amp;AA229)</f>
        <v/>
      </c>
      <c r="AK229" s="84">
        <f>E25</f>
        <v/>
      </c>
      <c r="AL229" s="84">
        <f>E31</f>
        <v/>
      </c>
      <c r="AM229" s="84">
        <f>MAX(0,AJ229-AK229)</f>
        <v/>
      </c>
      <c r="AN229" s="84">
        <f>IF(AM229=0,AH229,IF(AM229&gt;=AH229,0,AH229-AM229))</f>
        <v/>
      </c>
      <c r="AO229" s="84">
        <f>IF(AM229&gt;=AH229,AI229,AI229*AM229/AH229)</f>
        <v/>
      </c>
      <c r="AP229">
        <f t="array" ref="AP229">INDEX($AU$8:$BB$25,6*(R229-1)+MATCH(AB229,$AS$8:$AS$13,0),MATCH(O229,$AU$7:$BB$7,0))</f>
        <v/>
      </c>
    </row>
    <row r="230" ht="14.25" customHeight="1">
      <c r="O230" s="43" t="inlineStr">
        <is>
          <t>Q2’26</t>
        </is>
      </c>
      <c r="P230" s="43" t="n">
        <v>3</v>
      </c>
      <c r="Q230" s="43" t="n">
        <v>6</v>
      </c>
      <c r="R230" s="43" t="n">
        <v>1</v>
      </c>
      <c r="S230" s="45" t="n">
        <v>0</v>
      </c>
      <c r="T230">
        <f>(S230+S231+S232)=O4</f>
        <v/>
      </c>
      <c r="X230" s="84">
        <f>MAX(S227-S230,0)</f>
        <v/>
      </c>
      <c r="Y230" s="83" t="n">
        <v>0</v>
      </c>
      <c r="AA230" s="84" t="n">
        <v>1</v>
      </c>
      <c r="AB230" s="84" t="inlineStr">
        <is>
          <t>D</t>
        </is>
      </c>
      <c r="AC230" s="84" t="inlineStr">
        <is>
          <t>D+</t>
        </is>
      </c>
      <c r="AD230" s="84" t="n">
        <v>12</v>
      </c>
      <c r="AE230" s="84" t="n">
        <v>11</v>
      </c>
      <c r="AF230" s="84" t="n">
        <v>0.8</v>
      </c>
      <c r="AG230" s="84" t="n">
        <v>0.88</v>
      </c>
      <c r="AH230" s="84" t="n">
        <v>0</v>
      </c>
      <c r="AI230" s="84" t="n">
        <v>0</v>
      </c>
      <c r="AJ230" s="84">
        <f>SUMIFS(AH$8:AH$1039,$O$8:$O$1039,O230,$AB$8:$AB$1039,AB230,$R$8:$R$1039,R230,$AA$8:$AA$1039,"&lt;="&amp;AA230)</f>
        <v/>
      </c>
      <c r="AK230" s="84">
        <f>C23</f>
        <v/>
      </c>
      <c r="AL230" s="84">
        <f>C29</f>
        <v/>
      </c>
      <c r="AM230" s="84">
        <f>MAX(0,AJ230-AK230)</f>
        <v/>
      </c>
      <c r="AN230" s="84">
        <f>IF(AM230=0,AH230,IF(AM230&gt;=AH230,0,AH230-AM230))</f>
        <v/>
      </c>
      <c r="AO230" s="84">
        <f>IF(AM230&gt;=AH230,AI230,AI230*AM230/AH230)</f>
        <v/>
      </c>
      <c r="AP230">
        <f t="array" ref="AP230">INDEX($AU$8:$BB$25,6*(R230-1)+MATCH(AB230,$AS$8:$AS$13,0),MATCH(O230,$AU$7:$BB$7,0))</f>
        <v/>
      </c>
    </row>
    <row r="231" ht="14.25" customHeight="1">
      <c r="O231" s="43" t="inlineStr">
        <is>
          <t>Q2’26</t>
        </is>
      </c>
      <c r="P231" s="43" t="n">
        <v>3</v>
      </c>
      <c r="Q231" s="43" t="n">
        <v>6</v>
      </c>
      <c r="R231" s="43" t="n">
        <v>2</v>
      </c>
      <c r="S231" s="45" t="n">
        <v>2177.784415458469</v>
      </c>
      <c r="T231">
        <f>(S230+S231+S232)=O4</f>
        <v/>
      </c>
      <c r="X231" s="84">
        <f>MAX(S228-S231,0)</f>
        <v/>
      </c>
      <c r="Y231" s="83" t="n">
        <v>0</v>
      </c>
      <c r="AA231" s="84" t="n">
        <v>1</v>
      </c>
      <c r="AB231" s="84" t="inlineStr">
        <is>
          <t>D</t>
        </is>
      </c>
      <c r="AC231" s="84" t="inlineStr">
        <is>
          <t>D+</t>
        </is>
      </c>
      <c r="AD231" s="84" t="n">
        <v>12</v>
      </c>
      <c r="AE231" s="84" t="n">
        <v>11</v>
      </c>
      <c r="AF231" s="84" t="n">
        <v>0.8</v>
      </c>
      <c r="AG231" s="84" t="n">
        <v>0.88</v>
      </c>
      <c r="AH231" s="84" t="n">
        <v>0</v>
      </c>
      <c r="AI231" s="84" t="n">
        <v>0</v>
      </c>
      <c r="AJ231" s="84">
        <f>SUMIFS(AH$8:AH$1039,$O$8:$O$1039,O231,$AB$8:$AB$1039,AB231,$R$8:$R$1039,R231,$AA$8:$AA$1039,"&lt;="&amp;AA231)</f>
        <v/>
      </c>
      <c r="AK231" s="84">
        <f>D23</f>
        <v/>
      </c>
      <c r="AL231" s="84">
        <f>D29</f>
        <v/>
      </c>
      <c r="AM231" s="84">
        <f>MAX(0,AJ231-AK231)</f>
        <v/>
      </c>
      <c r="AN231" s="84">
        <f>IF(AM231=0,AH231,IF(AM231&gt;=AH231,0,AH231-AM231))</f>
        <v/>
      </c>
      <c r="AO231" s="84">
        <f>IF(AM231&gt;=AH231,AI231,AI231*AM231/AH231)</f>
        <v/>
      </c>
      <c r="AP231">
        <f t="array" ref="AP231">INDEX($AU$8:$BB$25,6*(R231-1)+MATCH(AB231,$AS$8:$AS$13,0),MATCH(O231,$AU$7:$BB$7,0))</f>
        <v/>
      </c>
    </row>
    <row r="232" ht="14.25" customHeight="1">
      <c r="O232" s="43" t="inlineStr">
        <is>
          <t>Q2’26</t>
        </is>
      </c>
      <c r="P232" s="43" t="n">
        <v>3</v>
      </c>
      <c r="Q232" s="43" t="n">
        <v>6</v>
      </c>
      <c r="R232" s="43" t="n">
        <v>3</v>
      </c>
      <c r="S232" s="45" t="n">
        <v>2322.215584541531</v>
      </c>
      <c r="T232">
        <f>(S230+S231+S232)=O4</f>
        <v/>
      </c>
      <c r="X232" s="84">
        <f>MAX(S229-S232,0)</f>
        <v/>
      </c>
      <c r="Y232" s="83" t="n">
        <v>0</v>
      </c>
      <c r="AA232" s="84" t="n">
        <v>1</v>
      </c>
      <c r="AB232" s="84" t="inlineStr">
        <is>
          <t>D</t>
        </is>
      </c>
      <c r="AC232" s="84" t="inlineStr">
        <is>
          <t>D+</t>
        </is>
      </c>
      <c r="AD232" s="84" t="n">
        <v>12</v>
      </c>
      <c r="AE232" s="84" t="n">
        <v>11</v>
      </c>
      <c r="AF232" s="84" t="n">
        <v>0.8</v>
      </c>
      <c r="AG232" s="84" t="n">
        <v>0.88</v>
      </c>
      <c r="AH232" s="84" t="n">
        <v>0</v>
      </c>
      <c r="AI232" s="84" t="n">
        <v>0</v>
      </c>
      <c r="AJ232" s="84">
        <f>SUMIFS(AH$8:AH$1039,$O$8:$O$1039,O232,$AB$8:$AB$1039,AB232,$R$8:$R$1039,R232,$AA$8:$AA$1039,"&lt;="&amp;AA232)</f>
        <v/>
      </c>
      <c r="AK232" s="84">
        <f>E23</f>
        <v/>
      </c>
      <c r="AL232" s="84">
        <f>E29</f>
        <v/>
      </c>
      <c r="AM232" s="84">
        <f>MAX(0,AJ232-AK232)</f>
        <v/>
      </c>
      <c r="AN232" s="84">
        <f>IF(AM232=0,AH232,IF(AM232&gt;=AH232,0,AH232-AM232))</f>
        <v/>
      </c>
      <c r="AO232" s="84">
        <f>IF(AM232&gt;=AH232,AI232,AI232*AM232/AH232)</f>
        <v/>
      </c>
      <c r="AP232">
        <f t="array" ref="AP232">INDEX($AU$8:$BB$25,6*(R232-1)+MATCH(AB232,$AS$8:$AS$13,0),MATCH(O232,$AU$7:$BB$7,0))</f>
        <v/>
      </c>
    </row>
    <row r="233" ht="14.25" customHeight="1">
      <c r="O233" s="43" t="inlineStr">
        <is>
          <t>Q2’26</t>
        </is>
      </c>
      <c r="P233" s="43" t="n">
        <v>3</v>
      </c>
      <c r="Q233" s="43" t="n">
        <v>7</v>
      </c>
      <c r="R233" s="43" t="n">
        <v>1</v>
      </c>
      <c r="S233" s="45" t="n">
        <v>0</v>
      </c>
      <c r="T233">
        <f>(S233+S234+S235)=O4</f>
        <v/>
      </c>
      <c r="X233" s="84">
        <f>MAX(S230-S233,0)</f>
        <v/>
      </c>
      <c r="Y233" s="83" t="n">
        <v>0</v>
      </c>
      <c r="AA233" s="84" t="n">
        <v>3</v>
      </c>
      <c r="AB233" s="84" t="inlineStr">
        <is>
          <t>C</t>
        </is>
      </c>
      <c r="AC233" s="84" t="inlineStr">
        <is>
          <t>C+</t>
        </is>
      </c>
      <c r="AD233" s="84" t="n">
        <v>24</v>
      </c>
      <c r="AE233" s="84" t="n">
        <v>21</v>
      </c>
      <c r="AF233" s="84" t="n">
        <v>0.8</v>
      </c>
      <c r="AG233" s="84" t="n">
        <v>0.86</v>
      </c>
      <c r="AH233" s="84" t="n">
        <v>0</v>
      </c>
      <c r="AI233" s="84" t="n">
        <v>0</v>
      </c>
      <c r="AJ233" s="84">
        <f>SUMIFS(AH$8:AH$1039,$O$8:$O$1039,O233,$AB$8:$AB$1039,AB233,$R$8:$R$1039,R233,$AA$8:$AA$1039,"&lt;="&amp;AA233)</f>
        <v/>
      </c>
      <c r="AK233" s="84">
        <f>C22</f>
        <v/>
      </c>
      <c r="AL233" s="84">
        <f>C28</f>
        <v/>
      </c>
      <c r="AM233" s="84">
        <f>MAX(0,AJ233-AK233)</f>
        <v/>
      </c>
      <c r="AN233" s="84">
        <f>IF(AM233=0,AH233,IF(AM233&gt;=AH233,0,AH233-AM233))</f>
        <v/>
      </c>
      <c r="AO233" s="84">
        <f>IF(AM233&gt;=AH233,AI233,AI233*AM233/AH233)</f>
        <v/>
      </c>
      <c r="AP233">
        <f t="array" ref="AP233">INDEX($AU$8:$BB$25,6*(R233-1)+MATCH(AB233,$AS$8:$AS$13,0),MATCH(O233,$AU$7:$BB$7,0))</f>
        <v/>
      </c>
    </row>
    <row r="234" ht="14.25" customHeight="1">
      <c r="O234" s="43" t="inlineStr">
        <is>
          <t>Q2’26</t>
        </is>
      </c>
      <c r="P234" s="43" t="n">
        <v>3</v>
      </c>
      <c r="Q234" s="43" t="n">
        <v>7</v>
      </c>
      <c r="R234" s="43" t="n">
        <v>2</v>
      </c>
      <c r="S234" s="45" t="n">
        <v>2177.784415458469</v>
      </c>
      <c r="T234">
        <f>(S233+S234+S235)=O4</f>
        <v/>
      </c>
      <c r="X234" s="84">
        <f>MAX(S231-S234,0)</f>
        <v/>
      </c>
      <c r="Y234" s="83" t="n">
        <v>0</v>
      </c>
      <c r="AA234" s="84" t="n">
        <v>3</v>
      </c>
      <c r="AB234" s="84" t="inlineStr">
        <is>
          <t>C</t>
        </is>
      </c>
      <c r="AC234" s="84" t="inlineStr">
        <is>
          <t>C+</t>
        </is>
      </c>
      <c r="AD234" s="84" t="n">
        <v>24</v>
      </c>
      <c r="AE234" s="84" t="n">
        <v>21</v>
      </c>
      <c r="AF234" s="84" t="n">
        <v>0.8</v>
      </c>
      <c r="AG234" s="84" t="n">
        <v>0.86</v>
      </c>
      <c r="AH234" s="84" t="n">
        <v>0</v>
      </c>
      <c r="AI234" s="84" t="n">
        <v>0</v>
      </c>
      <c r="AJ234" s="84">
        <f>SUMIFS(AH$8:AH$1039,$O$8:$O$1039,O234,$AB$8:$AB$1039,AB234,$R$8:$R$1039,R234,$AA$8:$AA$1039,"&lt;="&amp;AA234)</f>
        <v/>
      </c>
      <c r="AK234" s="84">
        <f>D22</f>
        <v/>
      </c>
      <c r="AL234" s="84">
        <f>D28</f>
        <v/>
      </c>
      <c r="AM234" s="84">
        <f>MAX(0,AJ234-AK234)</f>
        <v/>
      </c>
      <c r="AN234" s="84">
        <f>IF(AM234=0,AH234,IF(AM234&gt;=AH234,0,AH234-AM234))</f>
        <v/>
      </c>
      <c r="AO234" s="84">
        <f>IF(AM234&gt;=AH234,AI234,AI234*AM234/AH234)</f>
        <v/>
      </c>
      <c r="AP234">
        <f t="array" ref="AP234">INDEX($AU$8:$BB$25,6*(R234-1)+MATCH(AB234,$AS$8:$AS$13,0),MATCH(O234,$AU$7:$BB$7,0))</f>
        <v/>
      </c>
    </row>
    <row r="235" ht="14.25" customHeight="1">
      <c r="O235" s="43" t="inlineStr">
        <is>
          <t>Q2’26</t>
        </is>
      </c>
      <c r="P235" s="43" t="n">
        <v>3</v>
      </c>
      <c r="Q235" s="43" t="n">
        <v>7</v>
      </c>
      <c r="R235" s="43" t="n">
        <v>3</v>
      </c>
      <c r="S235" s="45" t="n">
        <v>2322.215584541531</v>
      </c>
      <c r="T235">
        <f>(S233+S234+S235)=O4</f>
        <v/>
      </c>
      <c r="X235" s="84">
        <f>MAX(S232-S235,0)</f>
        <v/>
      </c>
      <c r="Y235" s="83" t="n">
        <v>0</v>
      </c>
      <c r="AA235" s="84" t="n">
        <v>3</v>
      </c>
      <c r="AB235" s="84" t="inlineStr">
        <is>
          <t>C</t>
        </is>
      </c>
      <c r="AC235" s="84" t="inlineStr">
        <is>
          <t>C+</t>
        </is>
      </c>
      <c r="AD235" s="84" t="n">
        <v>24</v>
      </c>
      <c r="AE235" s="84" t="n">
        <v>21</v>
      </c>
      <c r="AF235" s="84" t="n">
        <v>0.8</v>
      </c>
      <c r="AG235" s="84" t="n">
        <v>0.86</v>
      </c>
      <c r="AH235" s="84" t="n">
        <v>0</v>
      </c>
      <c r="AI235" s="84" t="n">
        <v>0</v>
      </c>
      <c r="AJ235" s="84">
        <f>SUMIFS(AH$8:AH$1039,$O$8:$O$1039,O235,$AB$8:$AB$1039,AB235,$R$8:$R$1039,R235,$AA$8:$AA$1039,"&lt;="&amp;AA235)</f>
        <v/>
      </c>
      <c r="AK235" s="84">
        <f>E22</f>
        <v/>
      </c>
      <c r="AL235" s="84">
        <f>E28</f>
        <v/>
      </c>
      <c r="AM235" s="84">
        <f>MAX(0,AJ235-AK235)</f>
        <v/>
      </c>
      <c r="AN235" s="84">
        <f>IF(AM235=0,AH235,IF(AM235&gt;=AH235,0,AH235-AM235))</f>
        <v/>
      </c>
      <c r="AO235" s="84">
        <f>IF(AM235&gt;=AH235,AI235,AI235*AM235/AH235)</f>
        <v/>
      </c>
      <c r="AP235">
        <f t="array" ref="AP235">INDEX($AU$8:$BB$25,6*(R235-1)+MATCH(AB235,$AS$8:$AS$13,0),MATCH(O235,$AU$7:$BB$7,0))</f>
        <v/>
      </c>
    </row>
    <row r="236" ht="14.25" customHeight="1">
      <c r="O236" s="43" t="inlineStr">
        <is>
          <t>Q2’26</t>
        </is>
      </c>
      <c r="P236" s="43" t="n">
        <v>3</v>
      </c>
      <c r="Q236" s="43" t="n">
        <v>8</v>
      </c>
      <c r="R236" s="43" t="n">
        <v>1</v>
      </c>
      <c r="S236" s="45" t="n">
        <v>0</v>
      </c>
      <c r="T236">
        <f>(S236+S237+S238)=O4</f>
        <v/>
      </c>
      <c r="X236" s="84">
        <f>MAX(S233-S236,0)</f>
        <v/>
      </c>
      <c r="Y236" s="83" t="n">
        <v>0</v>
      </c>
      <c r="AA236" s="84" t="n">
        <v>5</v>
      </c>
      <c r="AB236" s="84" t="inlineStr">
        <is>
          <t>C</t>
        </is>
      </c>
      <c r="AC236" s="84" t="inlineStr">
        <is>
          <t>C+</t>
        </is>
      </c>
      <c r="AD236" s="84" t="n">
        <v>19</v>
      </c>
      <c r="AE236" s="84" t="n">
        <v>13</v>
      </c>
      <c r="AF236" s="84" t="n">
        <v>0.8</v>
      </c>
      <c r="AG236" s="84" t="n">
        <v>0.86</v>
      </c>
      <c r="AH236" s="84" t="n">
        <v>0</v>
      </c>
      <c r="AI236" s="84" t="n">
        <v>0</v>
      </c>
      <c r="AJ236" s="84">
        <f>SUMIFS(AH$8:AH$1039,$O$8:$O$1039,O236,$AB$8:$AB$1039,AB236,$R$8:$R$1039,R236,$AA$8:$AA$1039,"&lt;="&amp;AA236)</f>
        <v/>
      </c>
      <c r="AK236" s="84">
        <f>C22</f>
        <v/>
      </c>
      <c r="AL236" s="84">
        <f>C28</f>
        <v/>
      </c>
      <c r="AM236" s="84">
        <f>MAX(0,AJ236-AK236)</f>
        <v/>
      </c>
      <c r="AN236" s="84">
        <f>IF(AM236=0,AH236,IF(AM236&gt;=AH236,0,AH236-AM236))</f>
        <v/>
      </c>
      <c r="AO236" s="84">
        <f>IF(AM236&gt;=AH236,AI236,AI236*AM236/AH236)</f>
        <v/>
      </c>
      <c r="AP236">
        <f t="array" ref="AP236">INDEX($AU$8:$BB$25,6*(R236-1)+MATCH(AB236,$AS$8:$AS$13,0),MATCH(O236,$AU$7:$BB$7,0))</f>
        <v/>
      </c>
    </row>
    <row r="237" ht="14.25" customHeight="1">
      <c r="O237" s="43" t="inlineStr">
        <is>
          <t>Q2’26</t>
        </is>
      </c>
      <c r="P237" s="43" t="n">
        <v>3</v>
      </c>
      <c r="Q237" s="43" t="n">
        <v>8</v>
      </c>
      <c r="R237" s="43" t="n">
        <v>2</v>
      </c>
      <c r="S237" s="45" t="n">
        <v>2177.784415458469</v>
      </c>
      <c r="T237">
        <f>(S236+S237+S238)=O4</f>
        <v/>
      </c>
      <c r="X237" s="84">
        <f>MAX(S234-S237,0)</f>
        <v/>
      </c>
      <c r="Y237" s="83" t="n">
        <v>0</v>
      </c>
      <c r="AA237" s="84" t="n">
        <v>5</v>
      </c>
      <c r="AB237" s="84" t="inlineStr">
        <is>
          <t>C</t>
        </is>
      </c>
      <c r="AC237" s="84" t="inlineStr">
        <is>
          <t>C+</t>
        </is>
      </c>
      <c r="AD237" s="84" t="n">
        <v>19</v>
      </c>
      <c r="AE237" s="84" t="n">
        <v>13</v>
      </c>
      <c r="AF237" s="84" t="n">
        <v>0.8</v>
      </c>
      <c r="AG237" s="84" t="n">
        <v>0.86</v>
      </c>
      <c r="AH237" s="84" t="n">
        <v>0</v>
      </c>
      <c r="AI237" s="84" t="n">
        <v>0</v>
      </c>
      <c r="AJ237" s="84">
        <f>SUMIFS(AH$8:AH$1039,$O$8:$O$1039,O237,$AB$8:$AB$1039,AB237,$R$8:$R$1039,R237,$AA$8:$AA$1039,"&lt;="&amp;AA237)</f>
        <v/>
      </c>
      <c r="AK237" s="84">
        <f>D22</f>
        <v/>
      </c>
      <c r="AL237" s="84">
        <f>D28</f>
        <v/>
      </c>
      <c r="AM237" s="84">
        <f>MAX(0,AJ237-AK237)</f>
        <v/>
      </c>
      <c r="AN237" s="84">
        <f>IF(AM237=0,AH237,IF(AM237&gt;=AH237,0,AH237-AM237))</f>
        <v/>
      </c>
      <c r="AO237" s="84">
        <f>IF(AM237&gt;=AH237,AI237,AI237*AM237/AH237)</f>
        <v/>
      </c>
      <c r="AP237">
        <f t="array" ref="AP237">INDEX($AU$8:$BB$25,6*(R237-1)+MATCH(AB237,$AS$8:$AS$13,0),MATCH(O237,$AU$7:$BB$7,0))</f>
        <v/>
      </c>
    </row>
    <row r="238" ht="14.25" customHeight="1">
      <c r="O238" s="43" t="inlineStr">
        <is>
          <t>Q2’26</t>
        </is>
      </c>
      <c r="P238" s="43" t="n">
        <v>3</v>
      </c>
      <c r="Q238" s="43" t="n">
        <v>8</v>
      </c>
      <c r="R238" s="43" t="n">
        <v>3</v>
      </c>
      <c r="S238" s="45" t="n">
        <v>2322.215584541531</v>
      </c>
      <c r="T238">
        <f>(S236+S237+S238)=O4</f>
        <v/>
      </c>
      <c r="X238" s="84">
        <f>MAX(S235-S238,0)</f>
        <v/>
      </c>
      <c r="Y238" s="83" t="n">
        <v>0</v>
      </c>
      <c r="AA238" s="84" t="n">
        <v>5</v>
      </c>
      <c r="AB238" s="84" t="inlineStr">
        <is>
          <t>C</t>
        </is>
      </c>
      <c r="AC238" s="84" t="inlineStr">
        <is>
          <t>C+</t>
        </is>
      </c>
      <c r="AD238" s="84" t="n">
        <v>19</v>
      </c>
      <c r="AE238" s="84" t="n">
        <v>13</v>
      </c>
      <c r="AF238" s="84" t="n">
        <v>0.8</v>
      </c>
      <c r="AG238" s="84" t="n">
        <v>0.86</v>
      </c>
      <c r="AH238" s="84" t="n">
        <v>0</v>
      </c>
      <c r="AI238" s="84" t="n">
        <v>0</v>
      </c>
      <c r="AJ238" s="84">
        <f>SUMIFS(AH$8:AH$1039,$O$8:$O$1039,O238,$AB$8:$AB$1039,AB238,$R$8:$R$1039,R238,$AA$8:$AA$1039,"&lt;="&amp;AA238)</f>
        <v/>
      </c>
      <c r="AK238" s="84">
        <f>E22</f>
        <v/>
      </c>
      <c r="AL238" s="84">
        <f>E28</f>
        <v/>
      </c>
      <c r="AM238" s="84">
        <f>MAX(0,AJ238-AK238)</f>
        <v/>
      </c>
      <c r="AN238" s="84">
        <f>IF(AM238=0,AH238,IF(AM238&gt;=AH238,0,AH238-AM238))</f>
        <v/>
      </c>
      <c r="AO238" s="84">
        <f>IF(AM238&gt;=AH238,AI238,AI238*AM238/AH238)</f>
        <v/>
      </c>
      <c r="AP238">
        <f t="array" ref="AP238">INDEX($AU$8:$BB$25,6*(R238-1)+MATCH(AB238,$AS$8:$AS$13,0),MATCH(O238,$AU$7:$BB$7,0))</f>
        <v/>
      </c>
    </row>
    <row r="239" ht="14.25" customHeight="1">
      <c r="O239" s="43" t="inlineStr">
        <is>
          <t>Q2’26</t>
        </is>
      </c>
      <c r="P239" s="43" t="n">
        <v>3</v>
      </c>
      <c r="Q239" s="43" t="n">
        <v>9</v>
      </c>
      <c r="R239" s="43" t="n">
        <v>1</v>
      </c>
      <c r="S239" s="45" t="n">
        <v>0</v>
      </c>
      <c r="T239">
        <f>(S239+S240+S241)=O4</f>
        <v/>
      </c>
      <c r="X239" s="84">
        <f>MAX(S236-S239,0)</f>
        <v/>
      </c>
      <c r="Y239" s="83" t="n">
        <v>0</v>
      </c>
      <c r="AA239" s="84" t="n">
        <v>3</v>
      </c>
      <c r="AB239" s="84" t="inlineStr">
        <is>
          <t>D</t>
        </is>
      </c>
      <c r="AC239" s="84" t="inlineStr">
        <is>
          <t>D+</t>
        </is>
      </c>
      <c r="AD239" s="84" t="n">
        <v>15</v>
      </c>
      <c r="AE239" s="84" t="n">
        <v>13</v>
      </c>
      <c r="AF239" s="84" t="n">
        <v>0.8</v>
      </c>
      <c r="AG239" s="84" t="n">
        <v>0.88</v>
      </c>
      <c r="AH239" s="84" t="n">
        <v>0</v>
      </c>
      <c r="AI239" s="84" t="n">
        <v>0</v>
      </c>
      <c r="AJ239" s="84">
        <f>SUMIFS(AH$8:AH$1039,$O$8:$O$1039,O239,$AB$8:$AB$1039,AB239,$R$8:$R$1039,R239,$AA$8:$AA$1039,"&lt;="&amp;AA239)</f>
        <v/>
      </c>
      <c r="AK239" s="84">
        <f>C23</f>
        <v/>
      </c>
      <c r="AL239" s="84">
        <f>C29</f>
        <v/>
      </c>
      <c r="AM239" s="84">
        <f>MAX(0,AJ239-AK239)</f>
        <v/>
      </c>
      <c r="AN239" s="84">
        <f>IF(AM239=0,AH239,IF(AM239&gt;=AH239,0,AH239-AM239))</f>
        <v/>
      </c>
      <c r="AO239" s="84">
        <f>IF(AM239&gt;=AH239,AI239,AI239*AM239/AH239)</f>
        <v/>
      </c>
      <c r="AP239">
        <f t="array" ref="AP239">INDEX($AU$8:$BB$25,6*(R239-1)+MATCH(AB239,$AS$8:$AS$13,0),MATCH(O239,$AU$7:$BB$7,0))</f>
        <v/>
      </c>
    </row>
    <row r="240" ht="14.25" customHeight="1">
      <c r="O240" s="43" t="inlineStr">
        <is>
          <t>Q2’26</t>
        </is>
      </c>
      <c r="P240" s="43" t="n">
        <v>3</v>
      </c>
      <c r="Q240" s="43" t="n">
        <v>9</v>
      </c>
      <c r="R240" s="43" t="n">
        <v>2</v>
      </c>
      <c r="S240" s="45" t="n">
        <v>2177.784415458469</v>
      </c>
      <c r="T240">
        <f>(S239+S240+S241)=O4</f>
        <v/>
      </c>
      <c r="X240" s="84">
        <f>MAX(S237-S240,0)</f>
        <v/>
      </c>
      <c r="Y240" s="83" t="n">
        <v>0</v>
      </c>
      <c r="AA240" s="84" t="n">
        <v>3</v>
      </c>
      <c r="AB240" s="84" t="inlineStr">
        <is>
          <t>D</t>
        </is>
      </c>
      <c r="AC240" s="84" t="inlineStr">
        <is>
          <t>D+</t>
        </is>
      </c>
      <c r="AD240" s="84" t="n">
        <v>15</v>
      </c>
      <c r="AE240" s="84" t="n">
        <v>13</v>
      </c>
      <c r="AF240" s="84" t="n">
        <v>0.8</v>
      </c>
      <c r="AG240" s="84" t="n">
        <v>0.88</v>
      </c>
      <c r="AH240" s="84" t="n">
        <v>0</v>
      </c>
      <c r="AI240" s="84" t="n">
        <v>0</v>
      </c>
      <c r="AJ240" s="84">
        <f>SUMIFS(AH$8:AH$1039,$O$8:$O$1039,O240,$AB$8:$AB$1039,AB240,$R$8:$R$1039,R240,$AA$8:$AA$1039,"&lt;="&amp;AA240)</f>
        <v/>
      </c>
      <c r="AK240" s="84">
        <f>D23</f>
        <v/>
      </c>
      <c r="AL240" s="84">
        <f>D29</f>
        <v/>
      </c>
      <c r="AM240" s="84">
        <f>MAX(0,AJ240-AK240)</f>
        <v/>
      </c>
      <c r="AN240" s="84">
        <f>IF(AM240=0,AH240,IF(AM240&gt;=AH240,0,AH240-AM240))</f>
        <v/>
      </c>
      <c r="AO240" s="84">
        <f>IF(AM240&gt;=AH240,AI240,AI240*AM240/AH240)</f>
        <v/>
      </c>
      <c r="AP240">
        <f t="array" ref="AP240">INDEX($AU$8:$BB$25,6*(R240-1)+MATCH(AB240,$AS$8:$AS$13,0),MATCH(O240,$AU$7:$BB$7,0))</f>
        <v/>
      </c>
    </row>
    <row r="241" ht="14.25" customHeight="1">
      <c r="O241" s="43" t="inlineStr">
        <is>
          <t>Q2’26</t>
        </is>
      </c>
      <c r="P241" s="43" t="n">
        <v>3</v>
      </c>
      <c r="Q241" s="43" t="n">
        <v>9</v>
      </c>
      <c r="R241" s="43" t="n">
        <v>3</v>
      </c>
      <c r="S241" s="45" t="n">
        <v>2322.215584541531</v>
      </c>
      <c r="T241">
        <f>(S239+S240+S241)=O4</f>
        <v/>
      </c>
      <c r="X241" s="84">
        <f>MAX(S238-S241,0)</f>
        <v/>
      </c>
      <c r="Y241" s="83" t="n">
        <v>0</v>
      </c>
      <c r="AA241" s="84" t="n">
        <v>3</v>
      </c>
      <c r="AB241" s="84" t="inlineStr">
        <is>
          <t>D</t>
        </is>
      </c>
      <c r="AC241" s="84" t="inlineStr">
        <is>
          <t>D+</t>
        </is>
      </c>
      <c r="AD241" s="84" t="n">
        <v>15</v>
      </c>
      <c r="AE241" s="84" t="n">
        <v>13</v>
      </c>
      <c r="AF241" s="84" t="n">
        <v>0.8</v>
      </c>
      <c r="AG241" s="84" t="n">
        <v>0.88</v>
      </c>
      <c r="AH241" s="84" t="n">
        <v>0</v>
      </c>
      <c r="AI241" s="84" t="n">
        <v>0</v>
      </c>
      <c r="AJ241" s="84">
        <f>SUMIFS(AH$8:AH$1039,$O$8:$O$1039,O241,$AB$8:$AB$1039,AB241,$R$8:$R$1039,R241,$AA$8:$AA$1039,"&lt;="&amp;AA241)</f>
        <v/>
      </c>
      <c r="AK241" s="84">
        <f>E23</f>
        <v/>
      </c>
      <c r="AL241" s="84">
        <f>E29</f>
        <v/>
      </c>
      <c r="AM241" s="84">
        <f>MAX(0,AJ241-AK241)</f>
        <v/>
      </c>
      <c r="AN241" s="84">
        <f>IF(AM241=0,AH241,IF(AM241&gt;=AH241,0,AH241-AM241))</f>
        <v/>
      </c>
      <c r="AO241" s="84">
        <f>IF(AM241&gt;=AH241,AI241,AI241*AM241/AH241)</f>
        <v/>
      </c>
      <c r="AP241">
        <f t="array" ref="AP241">INDEX($AU$8:$BB$25,6*(R241-1)+MATCH(AB241,$AS$8:$AS$13,0),MATCH(O241,$AU$7:$BB$7,0))</f>
        <v/>
      </c>
    </row>
    <row r="242" ht="14.25" customHeight="1">
      <c r="O242" s="43" t="inlineStr">
        <is>
          <t>Q2’26</t>
        </is>
      </c>
      <c r="P242" s="43" t="n">
        <v>3</v>
      </c>
      <c r="Q242" s="43" t="n">
        <v>10</v>
      </c>
      <c r="R242" s="43" t="n">
        <v>1</v>
      </c>
      <c r="S242" s="45" t="n">
        <v>0</v>
      </c>
      <c r="T242">
        <f>(S242+S243+S244)=O4</f>
        <v/>
      </c>
      <c r="X242" s="84">
        <f>MAX(S239-S242,0)</f>
        <v/>
      </c>
      <c r="Y242" s="83" t="n">
        <v>0</v>
      </c>
      <c r="AA242" s="84" t="n">
        <v>5</v>
      </c>
      <c r="AB242" s="84" t="inlineStr">
        <is>
          <t>D</t>
        </is>
      </c>
      <c r="AC242" s="84" t="inlineStr">
        <is>
          <t>D+</t>
        </is>
      </c>
      <c r="AD242" s="84" t="n">
        <v>24</v>
      </c>
      <c r="AE242" s="84" t="n">
        <v>20</v>
      </c>
      <c r="AF242" s="84" t="n">
        <v>0.8</v>
      </c>
      <c r="AG242" s="84" t="n">
        <v>0.88</v>
      </c>
      <c r="AH242" s="84" t="n">
        <v>0</v>
      </c>
      <c r="AI242" s="84" t="n">
        <v>0</v>
      </c>
      <c r="AJ242" s="84">
        <f>SUMIFS(AH$8:AH$1039,$O$8:$O$1039,O242,$AB$8:$AB$1039,AB242,$R$8:$R$1039,R242,$AA$8:$AA$1039,"&lt;="&amp;AA242)</f>
        <v/>
      </c>
      <c r="AK242" s="84">
        <f>C23</f>
        <v/>
      </c>
      <c r="AL242" s="84">
        <f>C29</f>
        <v/>
      </c>
      <c r="AM242" s="84">
        <f>MAX(0,AJ242-AK242)</f>
        <v/>
      </c>
      <c r="AN242" s="84">
        <f>IF(AM242=0,AH242,IF(AM242&gt;=AH242,0,AH242-AM242))</f>
        <v/>
      </c>
      <c r="AO242" s="84">
        <f>IF(AM242&gt;=AH242,AI242,AI242*AM242/AH242)</f>
        <v/>
      </c>
      <c r="AP242">
        <f t="array" ref="AP242">INDEX($AU$8:$BB$25,6*(R242-1)+MATCH(AB242,$AS$8:$AS$13,0),MATCH(O242,$AU$7:$BB$7,0))</f>
        <v/>
      </c>
    </row>
    <row r="243" ht="14.25" customHeight="1">
      <c r="O243" s="43" t="inlineStr">
        <is>
          <t>Q2’26</t>
        </is>
      </c>
      <c r="P243" s="43" t="n">
        <v>3</v>
      </c>
      <c r="Q243" s="43" t="n">
        <v>10</v>
      </c>
      <c r="R243" s="43" t="n">
        <v>2</v>
      </c>
      <c r="S243" s="45" t="n">
        <v>2177.784415458469</v>
      </c>
      <c r="T243">
        <f>(S242+S243+S244)=O4</f>
        <v/>
      </c>
      <c r="X243" s="84">
        <f>MAX(S240-S243,0)</f>
        <v/>
      </c>
      <c r="Y243" s="83" t="n">
        <v>0</v>
      </c>
      <c r="AA243" s="84" t="n">
        <v>5</v>
      </c>
      <c r="AB243" s="84" t="inlineStr">
        <is>
          <t>D</t>
        </is>
      </c>
      <c r="AC243" s="84" t="inlineStr">
        <is>
          <t>D+</t>
        </is>
      </c>
      <c r="AD243" s="84" t="n">
        <v>24</v>
      </c>
      <c r="AE243" s="84" t="n">
        <v>20</v>
      </c>
      <c r="AF243" s="84" t="n">
        <v>0.8</v>
      </c>
      <c r="AG243" s="84" t="n">
        <v>0.88</v>
      </c>
      <c r="AH243" s="84" t="n">
        <v>0</v>
      </c>
      <c r="AI243" s="84" t="n">
        <v>0</v>
      </c>
      <c r="AJ243" s="84">
        <f>SUMIFS(AH$8:AH$1039,$O$8:$O$1039,O243,$AB$8:$AB$1039,AB243,$R$8:$R$1039,R243,$AA$8:$AA$1039,"&lt;="&amp;AA243)</f>
        <v/>
      </c>
      <c r="AK243" s="84">
        <f>D23</f>
        <v/>
      </c>
      <c r="AL243" s="84">
        <f>D29</f>
        <v/>
      </c>
      <c r="AM243" s="84">
        <f>MAX(0,AJ243-AK243)</f>
        <v/>
      </c>
      <c r="AN243" s="84">
        <f>IF(AM243=0,AH243,IF(AM243&gt;=AH243,0,AH243-AM243))</f>
        <v/>
      </c>
      <c r="AO243" s="84">
        <f>IF(AM243&gt;=AH243,AI243,AI243*AM243/AH243)</f>
        <v/>
      </c>
      <c r="AP243">
        <f t="array" ref="AP243">INDEX($AU$8:$BB$25,6*(R243-1)+MATCH(AB243,$AS$8:$AS$13,0),MATCH(O243,$AU$7:$BB$7,0))</f>
        <v/>
      </c>
    </row>
    <row r="244" ht="14.25" customHeight="1">
      <c r="O244" s="43" t="inlineStr">
        <is>
          <t>Q2’26</t>
        </is>
      </c>
      <c r="P244" s="43" t="n">
        <v>3</v>
      </c>
      <c r="Q244" s="43" t="n">
        <v>10</v>
      </c>
      <c r="R244" s="43" t="n">
        <v>3</v>
      </c>
      <c r="S244" s="45" t="n">
        <v>2322.215584541531</v>
      </c>
      <c r="T244">
        <f>(S242+S243+S244)=O4</f>
        <v/>
      </c>
      <c r="X244" s="84">
        <f>MAX(S241-S244,0)</f>
        <v/>
      </c>
      <c r="Y244" s="83" t="n">
        <v>0</v>
      </c>
      <c r="AA244" s="84" t="n">
        <v>5</v>
      </c>
      <c r="AB244" s="84" t="inlineStr">
        <is>
          <t>D</t>
        </is>
      </c>
      <c r="AC244" s="84" t="inlineStr">
        <is>
          <t>D+</t>
        </is>
      </c>
      <c r="AD244" s="84" t="n">
        <v>24</v>
      </c>
      <c r="AE244" s="84" t="n">
        <v>20</v>
      </c>
      <c r="AF244" s="84" t="n">
        <v>0.8</v>
      </c>
      <c r="AG244" s="84" t="n">
        <v>0.88</v>
      </c>
      <c r="AH244" s="84" t="n">
        <v>0</v>
      </c>
      <c r="AI244" s="84" t="n">
        <v>0</v>
      </c>
      <c r="AJ244" s="84">
        <f>SUMIFS(AH$8:AH$1039,$O$8:$O$1039,O244,$AB$8:$AB$1039,AB244,$R$8:$R$1039,R244,$AA$8:$AA$1039,"&lt;="&amp;AA244)</f>
        <v/>
      </c>
      <c r="AK244" s="84">
        <f>E23</f>
        <v/>
      </c>
      <c r="AL244" s="84">
        <f>E29</f>
        <v/>
      </c>
      <c r="AM244" s="84">
        <f>MAX(0,AJ244-AK244)</f>
        <v/>
      </c>
      <c r="AN244" s="84">
        <f>IF(AM244=0,AH244,IF(AM244&gt;=AH244,0,AH244-AM244))</f>
        <v/>
      </c>
      <c r="AO244" s="84">
        <f>IF(AM244&gt;=AH244,AI244,AI244*AM244/AH244)</f>
        <v/>
      </c>
      <c r="AP244">
        <f t="array" ref="AP244">INDEX($AU$8:$BB$25,6*(R244-1)+MATCH(AB244,$AS$8:$AS$13,0),MATCH(O244,$AU$7:$BB$7,0))</f>
        <v/>
      </c>
    </row>
    <row r="245" ht="14.25" customHeight="1">
      <c r="O245" s="43" t="inlineStr">
        <is>
          <t>Q2’26</t>
        </is>
      </c>
      <c r="P245" s="43" t="n">
        <v>3</v>
      </c>
      <c r="Q245" s="43" t="n">
        <v>11</v>
      </c>
      <c r="R245" s="43" t="n">
        <v>1</v>
      </c>
      <c r="S245" s="45" t="n">
        <v>0</v>
      </c>
      <c r="T245">
        <f>(S245+S246+S247)=O4</f>
        <v/>
      </c>
      <c r="X245" s="84">
        <f>MAX(S242-S245,0)</f>
        <v/>
      </c>
      <c r="Y245" s="83" t="n">
        <v>0</v>
      </c>
      <c r="AA245" s="84" t="n">
        <v>3</v>
      </c>
      <c r="AB245" s="84" t="inlineStr">
        <is>
          <t>E</t>
        </is>
      </c>
      <c r="AC245" s="84" t="inlineStr">
        <is>
          <t>E+</t>
        </is>
      </c>
      <c r="AD245" s="84" t="n">
        <v>17</v>
      </c>
      <c r="AE245" s="84" t="n">
        <v>15</v>
      </c>
      <c r="AF245" s="84" t="n">
        <v>0.76</v>
      </c>
      <c r="AG245" s="84" t="n">
        <v>0.84</v>
      </c>
      <c r="AH245" s="84" t="n">
        <v>0</v>
      </c>
      <c r="AI245" s="84" t="n">
        <v>0</v>
      </c>
      <c r="AJ245" s="84">
        <f>SUMIFS(AH$8:AH$1039,$O$8:$O$1039,O245,$AB$8:$AB$1039,AB245,$R$8:$R$1039,R245,$AA$8:$AA$1039,"&lt;="&amp;AA245)</f>
        <v/>
      </c>
      <c r="AK245" s="84">
        <f>C24</f>
        <v/>
      </c>
      <c r="AL245" s="84">
        <f>C30</f>
        <v/>
      </c>
      <c r="AM245" s="84">
        <f>MAX(0,AJ245-AK245)</f>
        <v/>
      </c>
      <c r="AN245" s="84">
        <f>IF(AM245=0,AH245,IF(AM245&gt;=AH245,0,AH245-AM245))</f>
        <v/>
      </c>
      <c r="AO245" s="84">
        <f>IF(AM245&gt;=AH245,AI245,AI245*AM245/AH245)</f>
        <v/>
      </c>
      <c r="AP245">
        <f t="array" ref="AP245">INDEX($AU$8:$BB$25,6*(R245-1)+MATCH(AB245,$AS$8:$AS$13,0),MATCH(O245,$AU$7:$BB$7,0))</f>
        <v/>
      </c>
    </row>
    <row r="246" ht="14.25" customHeight="1">
      <c r="O246" s="43" t="inlineStr">
        <is>
          <t>Q2’26</t>
        </is>
      </c>
      <c r="P246" s="43" t="n">
        <v>3</v>
      </c>
      <c r="Q246" s="43" t="n">
        <v>11</v>
      </c>
      <c r="R246" s="43" t="n">
        <v>2</v>
      </c>
      <c r="S246" s="45" t="n">
        <v>2177.784415458469</v>
      </c>
      <c r="T246">
        <f>(S245+S246+S247)=O4</f>
        <v/>
      </c>
      <c r="X246" s="84">
        <f>MAX(S243-S246,0)</f>
        <v/>
      </c>
      <c r="Y246" s="83" t="n">
        <v>0</v>
      </c>
      <c r="AA246" s="84" t="n">
        <v>3</v>
      </c>
      <c r="AB246" s="84" t="inlineStr">
        <is>
          <t>E</t>
        </is>
      </c>
      <c r="AC246" s="84" t="inlineStr">
        <is>
          <t>E+</t>
        </is>
      </c>
      <c r="AD246" s="84" t="n">
        <v>17</v>
      </c>
      <c r="AE246" s="84" t="n">
        <v>15</v>
      </c>
      <c r="AF246" s="84" t="n">
        <v>0.76</v>
      </c>
      <c r="AG246" s="84" t="n">
        <v>0.84</v>
      </c>
      <c r="AH246" s="84" t="n">
        <v>0</v>
      </c>
      <c r="AI246" s="84" t="n">
        <v>0</v>
      </c>
      <c r="AJ246" s="84">
        <f>SUMIFS(AH$8:AH$1039,$O$8:$O$1039,O246,$AB$8:$AB$1039,AB246,$R$8:$R$1039,R246,$AA$8:$AA$1039,"&lt;="&amp;AA246)</f>
        <v/>
      </c>
      <c r="AK246" s="84">
        <f>D24</f>
        <v/>
      </c>
      <c r="AL246" s="84">
        <f>D30</f>
        <v/>
      </c>
      <c r="AM246" s="84">
        <f>MAX(0,AJ246-AK246)</f>
        <v/>
      </c>
      <c r="AN246" s="84">
        <f>IF(AM246=0,AH246,IF(AM246&gt;=AH246,0,AH246-AM246))</f>
        <v/>
      </c>
      <c r="AO246" s="84">
        <f>IF(AM246&gt;=AH246,AI246,AI246*AM246/AH246)</f>
        <v/>
      </c>
      <c r="AP246">
        <f t="array" ref="AP246">INDEX($AU$8:$BB$25,6*(R246-1)+MATCH(AB246,$AS$8:$AS$13,0),MATCH(O246,$AU$7:$BB$7,0))</f>
        <v/>
      </c>
    </row>
    <row r="247" ht="14.25" customHeight="1">
      <c r="O247" s="43" t="inlineStr">
        <is>
          <t>Q2’26</t>
        </is>
      </c>
      <c r="P247" s="43" t="n">
        <v>3</v>
      </c>
      <c r="Q247" s="43" t="n">
        <v>11</v>
      </c>
      <c r="R247" s="43" t="n">
        <v>3</v>
      </c>
      <c r="S247" s="45" t="n">
        <v>2322.215584541531</v>
      </c>
      <c r="T247">
        <f>(S245+S246+S247)=O4</f>
        <v/>
      </c>
      <c r="X247" s="84">
        <f>MAX(S244-S247,0)</f>
        <v/>
      </c>
      <c r="Y247" s="83" t="n">
        <v>0</v>
      </c>
      <c r="AA247" s="84" t="n">
        <v>3</v>
      </c>
      <c r="AB247" s="84" t="inlineStr">
        <is>
          <t>E</t>
        </is>
      </c>
      <c r="AC247" s="84" t="inlineStr">
        <is>
          <t>E+</t>
        </is>
      </c>
      <c r="AD247" s="84" t="n">
        <v>17</v>
      </c>
      <c r="AE247" s="84" t="n">
        <v>15</v>
      </c>
      <c r="AF247" s="84" t="n">
        <v>0.76</v>
      </c>
      <c r="AG247" s="84" t="n">
        <v>0.84</v>
      </c>
      <c r="AH247" s="84" t="n">
        <v>0</v>
      </c>
      <c r="AI247" s="84" t="n">
        <v>0</v>
      </c>
      <c r="AJ247" s="84">
        <f>SUMIFS(AH$8:AH$1039,$O$8:$O$1039,O247,$AB$8:$AB$1039,AB247,$R$8:$R$1039,R247,$AA$8:$AA$1039,"&lt;="&amp;AA247)</f>
        <v/>
      </c>
      <c r="AK247" s="84">
        <f>E24</f>
        <v/>
      </c>
      <c r="AL247" s="84">
        <f>E30</f>
        <v/>
      </c>
      <c r="AM247" s="84">
        <f>MAX(0,AJ247-AK247)</f>
        <v/>
      </c>
      <c r="AN247" s="84">
        <f>IF(AM247=0,AH247,IF(AM247&gt;=AH247,0,AH247-AM247))</f>
        <v/>
      </c>
      <c r="AO247" s="84">
        <f>IF(AM247&gt;=AH247,AI247,AI247*AM247/AH247)</f>
        <v/>
      </c>
      <c r="AP247">
        <f t="array" ref="AP247">INDEX($AU$8:$BB$25,6*(R247-1)+MATCH(AB247,$AS$8:$AS$13,0),MATCH(O247,$AU$7:$BB$7,0))</f>
        <v/>
      </c>
    </row>
    <row r="248" ht="14.25" customHeight="1">
      <c r="O248" s="43" t="inlineStr">
        <is>
          <t>Q2’26</t>
        </is>
      </c>
      <c r="P248" s="43" t="n">
        <v>3</v>
      </c>
      <c r="Q248" s="43" t="n">
        <v>12</v>
      </c>
      <c r="R248" s="43" t="n">
        <v>1</v>
      </c>
      <c r="S248" s="45" t="n">
        <v>0</v>
      </c>
      <c r="T248">
        <f>(S248+S249+S250)=O4</f>
        <v/>
      </c>
      <c r="X248" s="84">
        <f>MAX(S245-S248,0)</f>
        <v/>
      </c>
      <c r="Y248" s="83" t="n">
        <v>0</v>
      </c>
      <c r="AA248" s="84" t="n">
        <v>10</v>
      </c>
      <c r="AB248" s="84" t="inlineStr">
        <is>
          <t>E</t>
        </is>
      </c>
      <c r="AC248" s="84" t="inlineStr">
        <is>
          <t>E+</t>
        </is>
      </c>
      <c r="AD248" s="84" t="n">
        <v>18</v>
      </c>
      <c r="AE248" s="84" t="n">
        <v>13</v>
      </c>
      <c r="AF248" s="84" t="n">
        <v>0.76</v>
      </c>
      <c r="AG248" s="84" t="n">
        <v>0.84</v>
      </c>
      <c r="AH248" s="84" t="n">
        <v>0</v>
      </c>
      <c r="AI248" s="84" t="n">
        <v>0</v>
      </c>
      <c r="AJ248" s="84">
        <f>SUMIFS(AH$8:AH$1039,$O$8:$O$1039,O248,$AB$8:$AB$1039,AB248,$R$8:$R$1039,R248,$AA$8:$AA$1039,"&lt;="&amp;AA248)</f>
        <v/>
      </c>
      <c r="AK248" s="84">
        <f>C24</f>
        <v/>
      </c>
      <c r="AL248" s="84">
        <f>C30</f>
        <v/>
      </c>
      <c r="AM248" s="84">
        <f>MAX(0,AJ248-AK248)</f>
        <v/>
      </c>
      <c r="AN248" s="84">
        <f>IF(AM248=0,AH248,IF(AM248&gt;=AH248,0,AH248-AM248))</f>
        <v/>
      </c>
      <c r="AO248" s="84">
        <f>IF(AM248&gt;=AH248,AI248,AI248*AM248/AH248)</f>
        <v/>
      </c>
      <c r="AP248">
        <f t="array" ref="AP248">INDEX($AU$8:$BB$25,6*(R248-1)+MATCH(AB248,$AS$8:$AS$13,0),MATCH(O248,$AU$7:$BB$7,0))</f>
        <v/>
      </c>
    </row>
    <row r="249" ht="14.25" customHeight="1">
      <c r="O249" s="43" t="inlineStr">
        <is>
          <t>Q2’26</t>
        </is>
      </c>
      <c r="P249" s="43" t="n">
        <v>3</v>
      </c>
      <c r="Q249" s="43" t="n">
        <v>12</v>
      </c>
      <c r="R249" s="43" t="n">
        <v>2</v>
      </c>
      <c r="S249" s="45" t="n">
        <v>2177.784415458469</v>
      </c>
      <c r="T249">
        <f>(S248+S249+S250)=O4</f>
        <v/>
      </c>
      <c r="X249" s="84">
        <f>MAX(S246-S249,0)</f>
        <v/>
      </c>
      <c r="Y249" s="83" t="n">
        <v>0</v>
      </c>
      <c r="AA249" s="84" t="n">
        <v>10</v>
      </c>
      <c r="AB249" s="84" t="inlineStr">
        <is>
          <t>E</t>
        </is>
      </c>
      <c r="AC249" s="84" t="inlineStr">
        <is>
          <t>E+</t>
        </is>
      </c>
      <c r="AD249" s="84" t="n">
        <v>18</v>
      </c>
      <c r="AE249" s="84" t="n">
        <v>13</v>
      </c>
      <c r="AF249" s="84" t="n">
        <v>0.76</v>
      </c>
      <c r="AG249" s="84" t="n">
        <v>0.84</v>
      </c>
      <c r="AH249" s="84" t="n">
        <v>0</v>
      </c>
      <c r="AI249" s="84" t="n">
        <v>0</v>
      </c>
      <c r="AJ249" s="84">
        <f>SUMIFS(AH$8:AH$1039,$O$8:$O$1039,O249,$AB$8:$AB$1039,AB249,$R$8:$R$1039,R249,$AA$8:$AA$1039,"&lt;="&amp;AA249)</f>
        <v/>
      </c>
      <c r="AK249" s="84">
        <f>D24</f>
        <v/>
      </c>
      <c r="AL249" s="84">
        <f>D30</f>
        <v/>
      </c>
      <c r="AM249" s="84">
        <f>MAX(0,AJ249-AK249)</f>
        <v/>
      </c>
      <c r="AN249" s="84">
        <f>IF(AM249=0,AH249,IF(AM249&gt;=AH249,0,AH249-AM249))</f>
        <v/>
      </c>
      <c r="AO249" s="84">
        <f>IF(AM249&gt;=AH249,AI249,AI249*AM249/AH249)</f>
        <v/>
      </c>
      <c r="AP249">
        <f t="array" ref="AP249">INDEX($AU$8:$BB$25,6*(R249-1)+MATCH(AB249,$AS$8:$AS$13,0),MATCH(O249,$AU$7:$BB$7,0))</f>
        <v/>
      </c>
    </row>
    <row r="250" ht="14.25" customHeight="1">
      <c r="O250" s="43" t="inlineStr">
        <is>
          <t>Q2’26</t>
        </is>
      </c>
      <c r="P250" s="43" t="n">
        <v>3</v>
      </c>
      <c r="Q250" s="43" t="n">
        <v>12</v>
      </c>
      <c r="R250" s="43" t="n">
        <v>3</v>
      </c>
      <c r="S250" s="45" t="n">
        <v>2322.215584541531</v>
      </c>
      <c r="T250">
        <f>(S248+S249+S250)=O4</f>
        <v/>
      </c>
      <c r="X250" s="84">
        <f>MAX(S247-S250,0)</f>
        <v/>
      </c>
      <c r="Y250" s="83" t="n">
        <v>0</v>
      </c>
      <c r="AA250" s="84" t="n">
        <v>10</v>
      </c>
      <c r="AB250" s="84" t="inlineStr">
        <is>
          <t>E</t>
        </is>
      </c>
      <c r="AC250" s="84" t="inlineStr">
        <is>
          <t>E+</t>
        </is>
      </c>
      <c r="AD250" s="84" t="n">
        <v>18</v>
      </c>
      <c r="AE250" s="84" t="n">
        <v>13</v>
      </c>
      <c r="AF250" s="84" t="n">
        <v>0.76</v>
      </c>
      <c r="AG250" s="84" t="n">
        <v>0.84</v>
      </c>
      <c r="AH250" s="84" t="n">
        <v>0</v>
      </c>
      <c r="AI250" s="84" t="n">
        <v>0</v>
      </c>
      <c r="AJ250" s="84">
        <f>SUMIFS(AH$8:AH$1039,$O$8:$O$1039,O250,$AB$8:$AB$1039,AB250,$R$8:$R$1039,R250,$AA$8:$AA$1039,"&lt;="&amp;AA250)</f>
        <v/>
      </c>
      <c r="AK250" s="84">
        <f>E24</f>
        <v/>
      </c>
      <c r="AL250" s="84">
        <f>E30</f>
        <v/>
      </c>
      <c r="AM250" s="84">
        <f>MAX(0,AJ250-AK250)</f>
        <v/>
      </c>
      <c r="AN250" s="84">
        <f>IF(AM250=0,AH250,IF(AM250&gt;=AH250,0,AH250-AM250))</f>
        <v/>
      </c>
      <c r="AO250" s="84">
        <f>IF(AM250&gt;=AH250,AI250,AI250*AM250/AH250)</f>
        <v/>
      </c>
      <c r="AP250">
        <f t="array" ref="AP250">INDEX($AU$8:$BB$25,6*(R250-1)+MATCH(AB250,$AS$8:$AS$13,0),MATCH(O250,$AU$7:$BB$7,0))</f>
        <v/>
      </c>
    </row>
    <row r="251" ht="14.25" customHeight="1">
      <c r="O251" s="43" t="inlineStr">
        <is>
          <t>Q2’26</t>
        </is>
      </c>
      <c r="P251" s="43" t="n">
        <v>3</v>
      </c>
      <c r="Q251" s="43" t="n">
        <v>13</v>
      </c>
      <c r="R251" s="43" t="n">
        <v>1</v>
      </c>
      <c r="S251" s="45" t="n">
        <v>0</v>
      </c>
      <c r="T251">
        <f>(S251+S252+S253)=O4</f>
        <v/>
      </c>
      <c r="X251" s="84">
        <f>MAX(S248-S251,0)</f>
        <v/>
      </c>
      <c r="Y251" s="83" t="n">
        <v>0</v>
      </c>
      <c r="AA251" s="84" t="n">
        <v>2</v>
      </c>
      <c r="AB251" s="84" t="inlineStr">
        <is>
          <t>F</t>
        </is>
      </c>
      <c r="AC251" s="84" t="inlineStr">
        <is>
          <t>F+</t>
        </is>
      </c>
      <c r="AD251" s="84" t="n">
        <v>20</v>
      </c>
      <c r="AE251" s="84" t="n">
        <v>18</v>
      </c>
      <c r="AF251" s="84" t="n">
        <v>0.8</v>
      </c>
      <c r="AG251" s="84" t="n">
        <v>0.9</v>
      </c>
      <c r="AH251" s="84" t="n">
        <v>0</v>
      </c>
      <c r="AI251" s="84" t="n">
        <v>0</v>
      </c>
      <c r="AJ251" s="84">
        <f>SUMIFS(AH$8:AH$1039,$O$8:$O$1039,O251,$AB$8:$AB$1039,AB251,$R$8:$R$1039,R251,$AA$8:$AA$1039,"&lt;="&amp;AA251)</f>
        <v/>
      </c>
      <c r="AK251" s="84">
        <f>C25</f>
        <v/>
      </c>
      <c r="AL251" s="84">
        <f>C31</f>
        <v/>
      </c>
      <c r="AM251" s="84">
        <f>MAX(0,AJ251-AK251)</f>
        <v/>
      </c>
      <c r="AN251" s="84">
        <f>IF(AM251=0,AH251,IF(AM251&gt;=AH251,0,AH251-AM251))</f>
        <v/>
      </c>
      <c r="AO251" s="84">
        <f>IF(AM251&gt;=AH251,AI251,AI251*AM251/AH251)</f>
        <v/>
      </c>
      <c r="AP251">
        <f t="array" ref="AP251">INDEX($AU$8:$BB$25,6*(R251-1)+MATCH(AB251,$AS$8:$AS$13,0),MATCH(O251,$AU$7:$BB$7,0))</f>
        <v/>
      </c>
    </row>
    <row r="252" ht="14.25" customHeight="1">
      <c r="O252" s="43" t="inlineStr">
        <is>
          <t>Q2’26</t>
        </is>
      </c>
      <c r="P252" s="43" t="n">
        <v>3</v>
      </c>
      <c r="Q252" s="43" t="n">
        <v>13</v>
      </c>
      <c r="R252" s="43" t="n">
        <v>2</v>
      </c>
      <c r="S252" s="45" t="n">
        <v>2177.784415458469</v>
      </c>
      <c r="T252">
        <f>(S251+S252+S253)=O4</f>
        <v/>
      </c>
      <c r="X252" s="84">
        <f>MAX(S249-S252,0)</f>
        <v/>
      </c>
      <c r="Y252" s="83" t="n">
        <v>0</v>
      </c>
      <c r="AA252" s="84" t="n">
        <v>2</v>
      </c>
      <c r="AB252" s="84" t="inlineStr">
        <is>
          <t>F</t>
        </is>
      </c>
      <c r="AC252" s="84" t="inlineStr">
        <is>
          <t>F+</t>
        </is>
      </c>
      <c r="AD252" s="84" t="n">
        <v>20</v>
      </c>
      <c r="AE252" s="84" t="n">
        <v>18</v>
      </c>
      <c r="AF252" s="84" t="n">
        <v>0.8</v>
      </c>
      <c r="AG252" s="84" t="n">
        <v>0.9</v>
      </c>
      <c r="AH252" s="84" t="n">
        <v>0</v>
      </c>
      <c r="AI252" s="84" t="n">
        <v>0</v>
      </c>
      <c r="AJ252" s="84">
        <f>SUMIFS(AH$8:AH$1039,$O$8:$O$1039,O252,$AB$8:$AB$1039,AB252,$R$8:$R$1039,R252,$AA$8:$AA$1039,"&lt;="&amp;AA252)</f>
        <v/>
      </c>
      <c r="AK252" s="84">
        <f>D25</f>
        <v/>
      </c>
      <c r="AL252" s="84">
        <f>D31</f>
        <v/>
      </c>
      <c r="AM252" s="84">
        <f>MAX(0,AJ252-AK252)</f>
        <v/>
      </c>
      <c r="AN252" s="84">
        <f>IF(AM252=0,AH252,IF(AM252&gt;=AH252,0,AH252-AM252))</f>
        <v/>
      </c>
      <c r="AO252" s="84">
        <f>IF(AM252&gt;=AH252,AI252,AI252*AM252/AH252)</f>
        <v/>
      </c>
      <c r="AP252">
        <f t="array" ref="AP252">INDEX($AU$8:$BB$25,6*(R252-1)+MATCH(AB252,$AS$8:$AS$13,0),MATCH(O252,$AU$7:$BB$7,0))</f>
        <v/>
      </c>
    </row>
    <row r="253" ht="14.25" customHeight="1">
      <c r="O253" s="43" t="inlineStr">
        <is>
          <t>Q2’26</t>
        </is>
      </c>
      <c r="P253" s="43" t="n">
        <v>3</v>
      </c>
      <c r="Q253" s="43" t="n">
        <v>13</v>
      </c>
      <c r="R253" s="43" t="n">
        <v>3</v>
      </c>
      <c r="S253" s="45" t="n">
        <v>2322.215584541531</v>
      </c>
      <c r="T253">
        <f>(S251+S252+S253)=O4</f>
        <v/>
      </c>
      <c r="X253" s="84">
        <f>MAX(S250-S253,0)</f>
        <v/>
      </c>
      <c r="Y253" s="83" t="n">
        <v>0</v>
      </c>
      <c r="AA253" s="84" t="n">
        <v>2</v>
      </c>
      <c r="AB253" s="84" t="inlineStr">
        <is>
          <t>F</t>
        </is>
      </c>
      <c r="AC253" s="84" t="inlineStr">
        <is>
          <t>F+</t>
        </is>
      </c>
      <c r="AD253" s="84" t="n">
        <v>20</v>
      </c>
      <c r="AE253" s="84" t="n">
        <v>18</v>
      </c>
      <c r="AF253" s="84" t="n">
        <v>0.8</v>
      </c>
      <c r="AG253" s="84" t="n">
        <v>0.9</v>
      </c>
      <c r="AH253" s="84" t="n">
        <v>0</v>
      </c>
      <c r="AI253" s="84" t="n">
        <v>0</v>
      </c>
      <c r="AJ253" s="84">
        <f>SUMIFS(AH$8:AH$1039,$O$8:$O$1039,O253,$AB$8:$AB$1039,AB253,$R$8:$R$1039,R253,$AA$8:$AA$1039,"&lt;="&amp;AA253)</f>
        <v/>
      </c>
      <c r="AK253" s="84">
        <f>E25</f>
        <v/>
      </c>
      <c r="AL253" s="84">
        <f>E31</f>
        <v/>
      </c>
      <c r="AM253" s="84">
        <f>MAX(0,AJ253-AK253)</f>
        <v/>
      </c>
      <c r="AN253" s="84">
        <f>IF(AM253=0,AH253,IF(AM253&gt;=AH253,0,AH253-AM253))</f>
        <v/>
      </c>
      <c r="AO253" s="84">
        <f>IF(AM253&gt;=AH253,AI253,AI253*AM253/AH253)</f>
        <v/>
      </c>
      <c r="AP253">
        <f t="array" ref="AP253">INDEX($AU$8:$BB$25,6*(R253-1)+MATCH(AB253,$AS$8:$AS$13,0),MATCH(O253,$AU$7:$BB$7,0))</f>
        <v/>
      </c>
    </row>
    <row r="254" ht="14.25" customHeight="1">
      <c r="O254" s="43" t="inlineStr">
        <is>
          <t>Q2’26</t>
        </is>
      </c>
      <c r="P254" s="43" t="n">
        <v>3</v>
      </c>
      <c r="Q254" s="43" t="n">
        <v>14</v>
      </c>
      <c r="R254" s="43" t="n">
        <v>1</v>
      </c>
      <c r="S254" s="45" t="n">
        <v>0</v>
      </c>
      <c r="T254">
        <f>(S254+S255+S256)=O4</f>
        <v/>
      </c>
      <c r="X254" s="84">
        <f>MAX(S251-S254,0)</f>
        <v/>
      </c>
      <c r="Y254" s="83" t="n">
        <v>0</v>
      </c>
      <c r="AA254" s="84" t="n">
        <v>2</v>
      </c>
      <c r="AB254" s="84" t="inlineStr">
        <is>
          <t>C</t>
        </is>
      </c>
      <c r="AC254" s="84" t="inlineStr">
        <is>
          <t>C+</t>
        </is>
      </c>
      <c r="AD254" s="84" t="n">
        <v>12</v>
      </c>
      <c r="AE254" s="84" t="n">
        <v>11</v>
      </c>
      <c r="AF254" s="84" t="n">
        <v>0.8</v>
      </c>
      <c r="AG254" s="84" t="n">
        <v>0.86</v>
      </c>
      <c r="AH254" s="84" t="n">
        <v>0</v>
      </c>
      <c r="AI254" s="84" t="n">
        <v>0</v>
      </c>
      <c r="AJ254" s="84">
        <f>SUMIFS(AH$8:AH$1039,$O$8:$O$1039,O254,$AB$8:$AB$1039,AB254,$R$8:$R$1039,R254,$AA$8:$AA$1039,"&lt;="&amp;AA254)</f>
        <v/>
      </c>
      <c r="AK254" s="84">
        <f>C22</f>
        <v/>
      </c>
      <c r="AL254" s="84">
        <f>C28</f>
        <v/>
      </c>
      <c r="AM254" s="84">
        <f>MAX(0,AJ254-AK254)</f>
        <v/>
      </c>
      <c r="AN254" s="84">
        <f>IF(AM254=0,AH254,IF(AM254&gt;=AH254,0,AH254-AM254))</f>
        <v/>
      </c>
      <c r="AO254" s="84">
        <f>IF(AM254&gt;=AH254,AI254,AI254*AM254/AH254)</f>
        <v/>
      </c>
      <c r="AP254">
        <f t="array" ref="AP254">INDEX($AU$8:$BB$25,6*(R254-1)+MATCH(AB254,$AS$8:$AS$13,0),MATCH(O254,$AU$7:$BB$7,0))</f>
        <v/>
      </c>
    </row>
    <row r="255" ht="14.25" customHeight="1">
      <c r="O255" s="43" t="inlineStr">
        <is>
          <t>Q2’26</t>
        </is>
      </c>
      <c r="P255" s="43" t="n">
        <v>3</v>
      </c>
      <c r="Q255" s="43" t="n">
        <v>14</v>
      </c>
      <c r="R255" s="43" t="n">
        <v>2</v>
      </c>
      <c r="S255" s="45" t="n">
        <v>2177.784415458469</v>
      </c>
      <c r="T255">
        <f>(S254+S255+S256)=O4</f>
        <v/>
      </c>
      <c r="X255" s="84">
        <f>MAX(S252-S255,0)</f>
        <v/>
      </c>
      <c r="Y255" s="83" t="n">
        <v>0</v>
      </c>
      <c r="AA255" s="84" t="n">
        <v>2</v>
      </c>
      <c r="AB255" s="84" t="inlineStr">
        <is>
          <t>C</t>
        </is>
      </c>
      <c r="AC255" s="84" t="inlineStr">
        <is>
          <t>C+</t>
        </is>
      </c>
      <c r="AD255" s="84" t="n">
        <v>12</v>
      </c>
      <c r="AE255" s="84" t="n">
        <v>11</v>
      </c>
      <c r="AF255" s="84" t="n">
        <v>0.8</v>
      </c>
      <c r="AG255" s="84" t="n">
        <v>0.86</v>
      </c>
      <c r="AH255" s="84" t="n">
        <v>0</v>
      </c>
      <c r="AI255" s="84" t="n">
        <v>0</v>
      </c>
      <c r="AJ255" s="84">
        <f>SUMIFS(AH$8:AH$1039,$O$8:$O$1039,O255,$AB$8:$AB$1039,AB255,$R$8:$R$1039,R255,$AA$8:$AA$1039,"&lt;="&amp;AA255)</f>
        <v/>
      </c>
      <c r="AK255" s="84">
        <f>D22</f>
        <v/>
      </c>
      <c r="AL255" s="84">
        <f>D28</f>
        <v/>
      </c>
      <c r="AM255" s="84">
        <f>MAX(0,AJ255-AK255)</f>
        <v/>
      </c>
      <c r="AN255" s="84">
        <f>IF(AM255=0,AH255,IF(AM255&gt;=AH255,0,AH255-AM255))</f>
        <v/>
      </c>
      <c r="AO255" s="84">
        <f>IF(AM255&gt;=AH255,AI255,AI255*AM255/AH255)</f>
        <v/>
      </c>
      <c r="AP255">
        <f t="array" ref="AP255">INDEX($AU$8:$BB$25,6*(R255-1)+MATCH(AB255,$AS$8:$AS$13,0),MATCH(O255,$AU$7:$BB$7,0))</f>
        <v/>
      </c>
    </row>
    <row r="256" ht="14.25" customHeight="1">
      <c r="O256" s="43" t="inlineStr">
        <is>
          <t>Q2’26</t>
        </is>
      </c>
      <c r="P256" s="43" t="n">
        <v>3</v>
      </c>
      <c r="Q256" s="43" t="n">
        <v>14</v>
      </c>
      <c r="R256" s="43" t="n">
        <v>3</v>
      </c>
      <c r="S256" s="45" t="n">
        <v>2322.215584541531</v>
      </c>
      <c r="T256">
        <f>(S254+S255+S256)=O4</f>
        <v/>
      </c>
      <c r="X256" s="84">
        <f>MAX(S253-S256,0)</f>
        <v/>
      </c>
      <c r="Y256" s="83" t="n">
        <v>0</v>
      </c>
      <c r="AA256" s="84" t="n">
        <v>2</v>
      </c>
      <c r="AB256" s="84" t="inlineStr">
        <is>
          <t>C</t>
        </is>
      </c>
      <c r="AC256" s="84" t="inlineStr">
        <is>
          <t>C+</t>
        </is>
      </c>
      <c r="AD256" s="84" t="n">
        <v>12</v>
      </c>
      <c r="AE256" s="84" t="n">
        <v>11</v>
      </c>
      <c r="AF256" s="84" t="n">
        <v>0.8</v>
      </c>
      <c r="AG256" s="84" t="n">
        <v>0.86</v>
      </c>
      <c r="AH256" s="84" t="n">
        <v>0</v>
      </c>
      <c r="AI256" s="84" t="n">
        <v>0</v>
      </c>
      <c r="AJ256" s="84">
        <f>SUMIFS(AH$8:AH$1039,$O$8:$O$1039,O256,$AB$8:$AB$1039,AB256,$R$8:$R$1039,R256,$AA$8:$AA$1039,"&lt;="&amp;AA256)</f>
        <v/>
      </c>
      <c r="AK256" s="84">
        <f>E22</f>
        <v/>
      </c>
      <c r="AL256" s="84">
        <f>E28</f>
        <v/>
      </c>
      <c r="AM256" s="84">
        <f>MAX(0,AJ256-AK256)</f>
        <v/>
      </c>
      <c r="AN256" s="84">
        <f>IF(AM256=0,AH256,IF(AM256&gt;=AH256,0,AH256-AM256))</f>
        <v/>
      </c>
      <c r="AO256" s="84">
        <f>IF(AM256&gt;=AH256,AI256,AI256*AM256/AH256)</f>
        <v/>
      </c>
      <c r="AP256">
        <f t="array" ref="AP256">INDEX($AU$8:$BB$25,6*(R256-1)+MATCH(AB256,$AS$8:$AS$13,0),MATCH(O256,$AU$7:$BB$7,0))</f>
        <v/>
      </c>
    </row>
    <row r="257" ht="14.25" customHeight="1">
      <c r="O257" s="43" t="inlineStr">
        <is>
          <t>Q2’26</t>
        </is>
      </c>
      <c r="P257" s="43" t="n">
        <v>3</v>
      </c>
      <c r="Q257" s="43" t="n">
        <v>15</v>
      </c>
      <c r="R257" s="43" t="n">
        <v>1</v>
      </c>
      <c r="S257" s="45" t="n">
        <v>0</v>
      </c>
      <c r="T257">
        <f>(S257+S258+S259)=O4</f>
        <v/>
      </c>
      <c r="X257" s="84">
        <f>MAX(S254-S257,0)</f>
        <v/>
      </c>
      <c r="Y257" s="83" t="n">
        <v>0</v>
      </c>
      <c r="AA257" s="84" t="n">
        <v>2</v>
      </c>
      <c r="AB257" s="84" t="inlineStr">
        <is>
          <t>D</t>
        </is>
      </c>
      <c r="AC257" s="84" t="inlineStr">
        <is>
          <t>D+</t>
        </is>
      </c>
      <c r="AD257" s="84" t="n">
        <v>11</v>
      </c>
      <c r="AE257" s="84" t="n">
        <v>10</v>
      </c>
      <c r="AF257" s="84" t="n">
        <v>0.8</v>
      </c>
      <c r="AG257" s="84" t="n">
        <v>0.88</v>
      </c>
      <c r="AH257" s="84" t="n">
        <v>0</v>
      </c>
      <c r="AI257" s="84" t="n">
        <v>0</v>
      </c>
      <c r="AJ257" s="84">
        <f>SUMIFS(AH$8:AH$1039,$O$8:$O$1039,O257,$AB$8:$AB$1039,AB257,$R$8:$R$1039,R257,$AA$8:$AA$1039,"&lt;="&amp;AA257)</f>
        <v/>
      </c>
      <c r="AK257" s="84">
        <f>C23</f>
        <v/>
      </c>
      <c r="AL257" s="84">
        <f>C29</f>
        <v/>
      </c>
      <c r="AM257" s="84">
        <f>MAX(0,AJ257-AK257)</f>
        <v/>
      </c>
      <c r="AN257" s="84">
        <f>IF(AM257=0,AH257,IF(AM257&gt;=AH257,0,AH257-AM257))</f>
        <v/>
      </c>
      <c r="AO257" s="84">
        <f>IF(AM257&gt;=AH257,AI257,AI257*AM257/AH257)</f>
        <v/>
      </c>
      <c r="AP257">
        <f t="array" ref="AP257">INDEX($AU$8:$BB$25,6*(R257-1)+MATCH(AB257,$AS$8:$AS$13,0),MATCH(O257,$AU$7:$BB$7,0))</f>
        <v/>
      </c>
    </row>
    <row r="258" ht="14.25" customHeight="1">
      <c r="O258" s="43" t="inlineStr">
        <is>
          <t>Q2’26</t>
        </is>
      </c>
      <c r="P258" s="43" t="n">
        <v>3</v>
      </c>
      <c r="Q258" s="43" t="n">
        <v>15</v>
      </c>
      <c r="R258" s="43" t="n">
        <v>2</v>
      </c>
      <c r="S258" s="45" t="n">
        <v>2177.784415458469</v>
      </c>
      <c r="T258">
        <f>(S257+S258+S259)=O4</f>
        <v/>
      </c>
      <c r="X258" s="84">
        <f>MAX(S255-S258,0)</f>
        <v/>
      </c>
      <c r="Y258" s="83" t="n">
        <v>0</v>
      </c>
      <c r="AA258" s="84" t="n">
        <v>2</v>
      </c>
      <c r="AB258" s="84" t="inlineStr">
        <is>
          <t>D</t>
        </is>
      </c>
      <c r="AC258" s="84" t="inlineStr">
        <is>
          <t>D+</t>
        </is>
      </c>
      <c r="AD258" s="84" t="n">
        <v>11</v>
      </c>
      <c r="AE258" s="84" t="n">
        <v>10</v>
      </c>
      <c r="AF258" s="84" t="n">
        <v>0.8</v>
      </c>
      <c r="AG258" s="84" t="n">
        <v>0.88</v>
      </c>
      <c r="AH258" s="84" t="n">
        <v>0</v>
      </c>
      <c r="AI258" s="84" t="n">
        <v>0</v>
      </c>
      <c r="AJ258" s="84">
        <f>SUMIFS(AH$8:AH$1039,$O$8:$O$1039,O258,$AB$8:$AB$1039,AB258,$R$8:$R$1039,R258,$AA$8:$AA$1039,"&lt;="&amp;AA258)</f>
        <v/>
      </c>
      <c r="AK258" s="84">
        <f>D23</f>
        <v/>
      </c>
      <c r="AL258" s="84">
        <f>D29</f>
        <v/>
      </c>
      <c r="AM258" s="84">
        <f>MAX(0,AJ258-AK258)</f>
        <v/>
      </c>
      <c r="AN258" s="84">
        <f>IF(AM258=0,AH258,IF(AM258&gt;=AH258,0,AH258-AM258))</f>
        <v/>
      </c>
      <c r="AO258" s="84">
        <f>IF(AM258&gt;=AH258,AI258,AI258*AM258/AH258)</f>
        <v/>
      </c>
      <c r="AP258">
        <f t="array" ref="AP258">INDEX($AU$8:$BB$25,6*(R258-1)+MATCH(AB258,$AS$8:$AS$13,0),MATCH(O258,$AU$7:$BB$7,0))</f>
        <v/>
      </c>
    </row>
    <row r="259" ht="14.25" customHeight="1">
      <c r="O259" s="43" t="inlineStr">
        <is>
          <t>Q2’26</t>
        </is>
      </c>
      <c r="P259" s="43" t="n">
        <v>3</v>
      </c>
      <c r="Q259" s="43" t="n">
        <v>15</v>
      </c>
      <c r="R259" s="43" t="n">
        <v>3</v>
      </c>
      <c r="S259" s="45" t="n">
        <v>2322.215584541531</v>
      </c>
      <c r="T259">
        <f>(S257+S258+S259)=O4</f>
        <v/>
      </c>
      <c r="X259" s="84">
        <f>MAX(S256-S259,0)</f>
        <v/>
      </c>
      <c r="Y259" s="83" t="n">
        <v>0</v>
      </c>
      <c r="AA259" s="84" t="n">
        <v>2</v>
      </c>
      <c r="AB259" s="84" t="inlineStr">
        <is>
          <t>D</t>
        </is>
      </c>
      <c r="AC259" s="84" t="inlineStr">
        <is>
          <t>D+</t>
        </is>
      </c>
      <c r="AD259" s="84" t="n">
        <v>11</v>
      </c>
      <c r="AE259" s="84" t="n">
        <v>10</v>
      </c>
      <c r="AF259" s="84" t="n">
        <v>0.8</v>
      </c>
      <c r="AG259" s="84" t="n">
        <v>0.88</v>
      </c>
      <c r="AH259" s="84" t="n">
        <v>0</v>
      </c>
      <c r="AI259" s="84" t="n">
        <v>0</v>
      </c>
      <c r="AJ259" s="84">
        <f>SUMIFS(AH$8:AH$1039,$O$8:$O$1039,O259,$AB$8:$AB$1039,AB259,$R$8:$R$1039,R259,$AA$8:$AA$1039,"&lt;="&amp;AA259)</f>
        <v/>
      </c>
      <c r="AK259" s="84">
        <f>E23</f>
        <v/>
      </c>
      <c r="AL259" s="84">
        <f>E29</f>
        <v/>
      </c>
      <c r="AM259" s="84">
        <f>MAX(0,AJ259-AK259)</f>
        <v/>
      </c>
      <c r="AN259" s="84">
        <f>IF(AM259=0,AH259,IF(AM259&gt;=AH259,0,AH259-AM259))</f>
        <v/>
      </c>
      <c r="AO259" s="84">
        <f>IF(AM259&gt;=AH259,AI259,AI259*AM259/AH259)</f>
        <v/>
      </c>
      <c r="AP259">
        <f t="array" ref="AP259">INDEX($AU$8:$BB$25,6*(R259-1)+MATCH(AB259,$AS$8:$AS$13,0),MATCH(O259,$AU$7:$BB$7,0))</f>
        <v/>
      </c>
    </row>
    <row r="260" ht="14.25" customHeight="1">
      <c r="O260" s="43" t="inlineStr">
        <is>
          <t>Q2’26</t>
        </is>
      </c>
      <c r="P260" s="43" t="n">
        <v>3</v>
      </c>
      <c r="Q260" s="43" t="n">
        <v>16</v>
      </c>
      <c r="R260" s="43" t="n">
        <v>1</v>
      </c>
      <c r="S260" s="45" t="n">
        <v>0</v>
      </c>
      <c r="T260">
        <f>(S260+S261+S262)=O4</f>
        <v/>
      </c>
      <c r="X260" s="84">
        <f>MAX(S257-S260,0)</f>
        <v/>
      </c>
      <c r="Y260" s="83" t="n">
        <v>0</v>
      </c>
      <c r="AA260" s="84" t="n">
        <v>4</v>
      </c>
      <c r="AB260" s="84" t="inlineStr">
        <is>
          <t>C</t>
        </is>
      </c>
      <c r="AC260" s="84" t="inlineStr">
        <is>
          <t>C+</t>
        </is>
      </c>
      <c r="AD260" s="84" t="n">
        <v>25</v>
      </c>
      <c r="AE260" s="84" t="n">
        <v>20</v>
      </c>
      <c r="AF260" s="84" t="n">
        <v>0.8</v>
      </c>
      <c r="AG260" s="84" t="n">
        <v>0.86</v>
      </c>
      <c r="AH260" s="84" t="n">
        <v>0</v>
      </c>
      <c r="AI260" s="84" t="n">
        <v>0</v>
      </c>
      <c r="AJ260" s="84">
        <f>SUMIFS(AH$8:AH$1039,$O$8:$O$1039,O260,$AB$8:$AB$1039,AB260,$R$8:$R$1039,R260,$AA$8:$AA$1039,"&lt;="&amp;AA260)</f>
        <v/>
      </c>
      <c r="AK260" s="84">
        <f>C22</f>
        <v/>
      </c>
      <c r="AL260" s="84">
        <f>C28</f>
        <v/>
      </c>
      <c r="AM260" s="84">
        <f>MAX(0,AJ260-AK260)</f>
        <v/>
      </c>
      <c r="AN260" s="84">
        <f>IF(AM260=0,AH260,IF(AM260&gt;=AH260,0,AH260-AM260))</f>
        <v/>
      </c>
      <c r="AO260" s="84">
        <f>IF(AM260&gt;=AH260,AI260,AI260*AM260/AH260)</f>
        <v/>
      </c>
      <c r="AP260">
        <f t="array" ref="AP260">INDEX($AU$8:$BB$25,6*(R260-1)+MATCH(AB260,$AS$8:$AS$13,0),MATCH(O260,$AU$7:$BB$7,0))</f>
        <v/>
      </c>
    </row>
    <row r="261" ht="14.25" customHeight="1">
      <c r="O261" s="43" t="inlineStr">
        <is>
          <t>Q2’26</t>
        </is>
      </c>
      <c r="P261" s="43" t="n">
        <v>3</v>
      </c>
      <c r="Q261" s="43" t="n">
        <v>16</v>
      </c>
      <c r="R261" s="43" t="n">
        <v>2</v>
      </c>
      <c r="S261" s="45" t="n">
        <v>2177.784415458469</v>
      </c>
      <c r="T261">
        <f>(S260+S261+S262)=O4</f>
        <v/>
      </c>
      <c r="X261" s="84">
        <f>MAX(S258-S261,0)</f>
        <v/>
      </c>
      <c r="Y261" s="83" t="n">
        <v>0</v>
      </c>
      <c r="AA261" s="84" t="n">
        <v>4</v>
      </c>
      <c r="AB261" s="84" t="inlineStr">
        <is>
          <t>C</t>
        </is>
      </c>
      <c r="AC261" s="84" t="inlineStr">
        <is>
          <t>C+</t>
        </is>
      </c>
      <c r="AD261" s="84" t="n">
        <v>25</v>
      </c>
      <c r="AE261" s="84" t="n">
        <v>20</v>
      </c>
      <c r="AF261" s="84" t="n">
        <v>0.8</v>
      </c>
      <c r="AG261" s="84" t="n">
        <v>0.86</v>
      </c>
      <c r="AH261" s="84" t="n">
        <v>0</v>
      </c>
      <c r="AI261" s="84" t="n">
        <v>0</v>
      </c>
      <c r="AJ261" s="84">
        <f>SUMIFS(AH$8:AH$1039,$O$8:$O$1039,O261,$AB$8:$AB$1039,AB261,$R$8:$R$1039,R261,$AA$8:$AA$1039,"&lt;="&amp;AA261)</f>
        <v/>
      </c>
      <c r="AK261" s="84">
        <f>D22</f>
        <v/>
      </c>
      <c r="AL261" s="84">
        <f>D28</f>
        <v/>
      </c>
      <c r="AM261" s="84">
        <f>MAX(0,AJ261-AK261)</f>
        <v/>
      </c>
      <c r="AN261" s="84">
        <f>IF(AM261=0,AH261,IF(AM261&gt;=AH261,0,AH261-AM261))</f>
        <v/>
      </c>
      <c r="AO261" s="84">
        <f>IF(AM261&gt;=AH261,AI261,AI261*AM261/AH261)</f>
        <v/>
      </c>
      <c r="AP261">
        <f t="array" ref="AP261">INDEX($AU$8:$BB$25,6*(R261-1)+MATCH(AB261,$AS$8:$AS$13,0),MATCH(O261,$AU$7:$BB$7,0))</f>
        <v/>
      </c>
    </row>
    <row r="262" ht="14.25" customHeight="1">
      <c r="O262" s="43" t="inlineStr">
        <is>
          <t>Q2’26</t>
        </is>
      </c>
      <c r="P262" s="43" t="n">
        <v>3</v>
      </c>
      <c r="Q262" s="43" t="n">
        <v>16</v>
      </c>
      <c r="R262" s="43" t="n">
        <v>3</v>
      </c>
      <c r="S262" s="45" t="n">
        <v>2322.215584541531</v>
      </c>
      <c r="T262">
        <f>(S260+S261+S262)=O4</f>
        <v/>
      </c>
      <c r="X262" s="84">
        <f>MAX(S259-S262,0)</f>
        <v/>
      </c>
      <c r="Y262" s="83" t="n">
        <v>0</v>
      </c>
      <c r="AA262" s="84" t="n">
        <v>4</v>
      </c>
      <c r="AB262" s="84" t="inlineStr">
        <is>
          <t>C</t>
        </is>
      </c>
      <c r="AC262" s="84" t="inlineStr">
        <is>
          <t>C+</t>
        </is>
      </c>
      <c r="AD262" s="84" t="n">
        <v>25</v>
      </c>
      <c r="AE262" s="84" t="n">
        <v>20</v>
      </c>
      <c r="AF262" s="84" t="n">
        <v>0.8</v>
      </c>
      <c r="AG262" s="84" t="n">
        <v>0.86</v>
      </c>
      <c r="AH262" s="84" t="n">
        <v>0</v>
      </c>
      <c r="AI262" s="84" t="n">
        <v>0</v>
      </c>
      <c r="AJ262" s="84">
        <f>SUMIFS(AH$8:AH$1039,$O$8:$O$1039,O262,$AB$8:$AB$1039,AB262,$R$8:$R$1039,R262,$AA$8:$AA$1039,"&lt;="&amp;AA262)</f>
        <v/>
      </c>
      <c r="AK262" s="84">
        <f>E22</f>
        <v/>
      </c>
      <c r="AL262" s="84">
        <f>E28</f>
        <v/>
      </c>
      <c r="AM262" s="84">
        <f>MAX(0,AJ262-AK262)</f>
        <v/>
      </c>
      <c r="AN262" s="84">
        <f>IF(AM262=0,AH262,IF(AM262&gt;=AH262,0,AH262-AM262))</f>
        <v/>
      </c>
      <c r="AO262" s="84">
        <f>IF(AM262&gt;=AH262,AI262,AI262*AM262/AH262)</f>
        <v/>
      </c>
      <c r="AP262">
        <f t="array" ref="AP262">INDEX($AU$8:$BB$25,6*(R262-1)+MATCH(AB262,$AS$8:$AS$13,0),MATCH(O262,$AU$7:$BB$7,0))</f>
        <v/>
      </c>
    </row>
    <row r="263" ht="14.25" customHeight="1">
      <c r="O263" s="43" t="inlineStr">
        <is>
          <t>Q2’26</t>
        </is>
      </c>
      <c r="P263" s="43" t="n">
        <v>3</v>
      </c>
      <c r="Q263" s="43" t="n">
        <v>17</v>
      </c>
      <c r="R263" s="43" t="n">
        <v>1</v>
      </c>
      <c r="S263" s="45" t="n">
        <v>0</v>
      </c>
      <c r="T263">
        <f>(S263+S264+S265)=O4</f>
        <v/>
      </c>
      <c r="X263" s="84">
        <f>MAX(S260-S263,0)</f>
        <v/>
      </c>
      <c r="Y263" s="83" t="n">
        <v>0</v>
      </c>
      <c r="AA263" s="84" t="n">
        <v>1</v>
      </c>
      <c r="AB263" s="84" t="inlineStr">
        <is>
          <t>F</t>
        </is>
      </c>
      <c r="AC263" s="84" t="inlineStr">
        <is>
          <t>F+</t>
        </is>
      </c>
      <c r="AD263" s="84" t="n">
        <v>14</v>
      </c>
      <c r="AE263" s="84" t="n">
        <v>13</v>
      </c>
      <c r="AF263" s="84" t="n">
        <v>0.8</v>
      </c>
      <c r="AG263" s="84" t="n">
        <v>0.9</v>
      </c>
      <c r="AH263" s="84" t="n">
        <v>0</v>
      </c>
      <c r="AI263" s="84" t="n">
        <v>0</v>
      </c>
      <c r="AJ263" s="84">
        <f>SUMIFS(AH$8:AH$1039,$O$8:$O$1039,O263,$AB$8:$AB$1039,AB263,$R$8:$R$1039,R263,$AA$8:$AA$1039,"&lt;="&amp;AA263)</f>
        <v/>
      </c>
      <c r="AK263" s="84">
        <f>C25</f>
        <v/>
      </c>
      <c r="AL263" s="84">
        <f>C31</f>
        <v/>
      </c>
      <c r="AM263" s="84">
        <f>MAX(0,AJ263-AK263)</f>
        <v/>
      </c>
      <c r="AN263" s="84">
        <f>IF(AM263=0,AH263,IF(AM263&gt;=AH263,0,AH263-AM263))</f>
        <v/>
      </c>
      <c r="AO263" s="84">
        <f>IF(AM263&gt;=AH263,AI263,AI263*AM263/AH263)</f>
        <v/>
      </c>
      <c r="AP263">
        <f t="array" ref="AP263">INDEX($AU$8:$BB$25,6*(R263-1)+MATCH(AB263,$AS$8:$AS$13,0),MATCH(O263,$AU$7:$BB$7,0))</f>
        <v/>
      </c>
    </row>
    <row r="264" ht="14.25" customHeight="1">
      <c r="O264" s="43" t="inlineStr">
        <is>
          <t>Q2’26</t>
        </is>
      </c>
      <c r="P264" s="43" t="n">
        <v>3</v>
      </c>
      <c r="Q264" s="43" t="n">
        <v>17</v>
      </c>
      <c r="R264" s="43" t="n">
        <v>2</v>
      </c>
      <c r="S264" s="45" t="n">
        <v>2177.784415458469</v>
      </c>
      <c r="T264">
        <f>(S263+S264+S265)=O4</f>
        <v/>
      </c>
      <c r="X264" s="84">
        <f>MAX(S261-S264,0)</f>
        <v/>
      </c>
      <c r="Y264" s="83" t="n">
        <v>0</v>
      </c>
      <c r="AA264" s="84" t="n">
        <v>1</v>
      </c>
      <c r="AB264" s="84" t="inlineStr">
        <is>
          <t>F</t>
        </is>
      </c>
      <c r="AC264" s="84" t="inlineStr">
        <is>
          <t>F+</t>
        </is>
      </c>
      <c r="AD264" s="84" t="n">
        <v>14</v>
      </c>
      <c r="AE264" s="84" t="n">
        <v>13</v>
      </c>
      <c r="AF264" s="84" t="n">
        <v>0.8</v>
      </c>
      <c r="AG264" s="84" t="n">
        <v>0.9</v>
      </c>
      <c r="AH264" s="84" t="n">
        <v>0</v>
      </c>
      <c r="AI264" s="84" t="n">
        <v>0</v>
      </c>
      <c r="AJ264" s="84">
        <f>SUMIFS(AH$8:AH$1039,$O$8:$O$1039,O264,$AB$8:$AB$1039,AB264,$R$8:$R$1039,R264,$AA$8:$AA$1039,"&lt;="&amp;AA264)</f>
        <v/>
      </c>
      <c r="AK264" s="84">
        <f>D25</f>
        <v/>
      </c>
      <c r="AL264" s="84">
        <f>D31</f>
        <v/>
      </c>
      <c r="AM264" s="84">
        <f>MAX(0,AJ264-AK264)</f>
        <v/>
      </c>
      <c r="AN264" s="84">
        <f>IF(AM264=0,AH264,IF(AM264&gt;=AH264,0,AH264-AM264))</f>
        <v/>
      </c>
      <c r="AO264" s="84">
        <f>IF(AM264&gt;=AH264,AI264,AI264*AM264/AH264)</f>
        <v/>
      </c>
      <c r="AP264">
        <f t="array" ref="AP264">INDEX($AU$8:$BB$25,6*(R264-1)+MATCH(AB264,$AS$8:$AS$13,0),MATCH(O264,$AU$7:$BB$7,0))</f>
        <v/>
      </c>
    </row>
    <row r="265" ht="14.25" customHeight="1">
      <c r="O265" s="43" t="inlineStr">
        <is>
          <t>Q2’26</t>
        </is>
      </c>
      <c r="P265" s="43" t="n">
        <v>3</v>
      </c>
      <c r="Q265" s="43" t="n">
        <v>17</v>
      </c>
      <c r="R265" s="43" t="n">
        <v>3</v>
      </c>
      <c r="S265" s="45" t="n">
        <v>2322.215584541531</v>
      </c>
      <c r="T265">
        <f>(S263+S264+S265)=O4</f>
        <v/>
      </c>
      <c r="X265" s="84">
        <f>MAX(S262-S265,0)</f>
        <v/>
      </c>
      <c r="Y265" s="83" t="n">
        <v>0</v>
      </c>
      <c r="AA265" s="84" t="n">
        <v>1</v>
      </c>
      <c r="AB265" s="84" t="inlineStr">
        <is>
          <t>F</t>
        </is>
      </c>
      <c r="AC265" s="84" t="inlineStr">
        <is>
          <t>F+</t>
        </is>
      </c>
      <c r="AD265" s="84" t="n">
        <v>14</v>
      </c>
      <c r="AE265" s="84" t="n">
        <v>13</v>
      </c>
      <c r="AF265" s="84" t="n">
        <v>0.8</v>
      </c>
      <c r="AG265" s="84" t="n">
        <v>0.9</v>
      </c>
      <c r="AH265" s="84" t="n">
        <v>0</v>
      </c>
      <c r="AI265" s="84" t="n">
        <v>0</v>
      </c>
      <c r="AJ265" s="84">
        <f>SUMIFS(AH$8:AH$1039,$O$8:$O$1039,O265,$AB$8:$AB$1039,AB265,$R$8:$R$1039,R265,$AA$8:$AA$1039,"&lt;="&amp;AA265)</f>
        <v/>
      </c>
      <c r="AK265" s="84">
        <f>E25</f>
        <v/>
      </c>
      <c r="AL265" s="84">
        <f>E31</f>
        <v/>
      </c>
      <c r="AM265" s="84">
        <f>MAX(0,AJ265-AK265)</f>
        <v/>
      </c>
      <c r="AN265" s="84">
        <f>IF(AM265=0,AH265,IF(AM265&gt;=AH265,0,AH265-AM265))</f>
        <v/>
      </c>
      <c r="AO265" s="84">
        <f>IF(AM265&gt;=AH265,AI265,AI265*AM265/AH265)</f>
        <v/>
      </c>
      <c r="AP265">
        <f t="array" ref="AP265">INDEX($AU$8:$BB$25,6*(R265-1)+MATCH(AB265,$AS$8:$AS$13,0),MATCH(O265,$AU$7:$BB$7,0))</f>
        <v/>
      </c>
    </row>
    <row r="266" ht="14.25" customHeight="1">
      <c r="O266" s="43" t="inlineStr">
        <is>
          <t>Q3’26</t>
        </is>
      </c>
      <c r="P266" s="43" t="n">
        <v>1</v>
      </c>
      <c r="Q266" s="43" t="n">
        <v>1</v>
      </c>
      <c r="R266" s="43" t="n">
        <v>1</v>
      </c>
      <c r="S266" s="45" t="n">
        <v>6118.427599602685</v>
      </c>
      <c r="T266">
        <f>(S266+S267+S268)=P2</f>
        <v/>
      </c>
      <c r="X266" s="84" t="n">
        <v>0</v>
      </c>
      <c r="Y266" s="83" t="n">
        <v>0</v>
      </c>
      <c r="AA266" s="84" t="n">
        <v>4</v>
      </c>
      <c r="AB266" s="84" t="inlineStr">
        <is>
          <t>D</t>
        </is>
      </c>
      <c r="AC266" s="84" t="inlineStr">
        <is>
          <t>D+</t>
        </is>
      </c>
      <c r="AD266" s="84" t="n">
        <v>14</v>
      </c>
      <c r="AE266" s="84" t="n">
        <v>12</v>
      </c>
      <c r="AF266" s="84" t="n">
        <v>0.8</v>
      </c>
      <c r="AG266" s="84" t="n">
        <v>0.88</v>
      </c>
      <c r="AH266" s="84" t="n">
        <v>0</v>
      </c>
      <c r="AI266" s="84" t="n">
        <v>0</v>
      </c>
      <c r="AJ266" s="84">
        <f>SUMIFS(AH$8:AH$1039,$O$8:$O$1039,O266,$AB$8:$AB$1039,AB266,$R$8:$R$1039,R266,$AA$8:$AA$1039,"&lt;="&amp;AA266)</f>
        <v/>
      </c>
      <c r="AK266" s="84">
        <f>C35</f>
        <v/>
      </c>
      <c r="AL266" s="84">
        <f>C41</f>
        <v/>
      </c>
      <c r="AM266" s="84">
        <f>MAX(0,AJ266-AK266)</f>
        <v/>
      </c>
      <c r="AN266" s="84">
        <f>IF(AM266=0,AH266,IF(AM266&gt;=AH266,0,AH266-AM266))</f>
        <v/>
      </c>
      <c r="AO266" s="84">
        <f>IF(AM266&gt;=AH266,AI266,AI266*AM266/AH266)</f>
        <v/>
      </c>
      <c r="AP266">
        <f t="array" ref="AP266">INDEX($AU$8:$BB$25,6*(R266-1)+MATCH(AB266,$AS$8:$AS$13,0),MATCH(O266,$AU$7:$BB$7,0))</f>
        <v/>
      </c>
    </row>
    <row r="267" ht="14.25" customHeight="1">
      <c r="O267" s="43" t="inlineStr">
        <is>
          <t>Q3’26</t>
        </is>
      </c>
      <c r="P267" s="43" t="n">
        <v>1</v>
      </c>
      <c r="Q267" s="43" t="n">
        <v>1</v>
      </c>
      <c r="R267" s="43" t="n">
        <v>2</v>
      </c>
      <c r="S267" s="45" t="n">
        <v>1807.994208144822</v>
      </c>
      <c r="T267">
        <f>(S266+S267+S268)=P2</f>
        <v/>
      </c>
      <c r="X267" s="84" t="n">
        <v>0</v>
      </c>
      <c r="Y267" s="83" t="n">
        <v>0</v>
      </c>
      <c r="AA267" s="84" t="n">
        <v>4</v>
      </c>
      <c r="AB267" s="84" t="inlineStr">
        <is>
          <t>D</t>
        </is>
      </c>
      <c r="AC267" s="84" t="inlineStr">
        <is>
          <t>D+</t>
        </is>
      </c>
      <c r="AD267" s="84" t="n">
        <v>14</v>
      </c>
      <c r="AE267" s="84" t="n">
        <v>12</v>
      </c>
      <c r="AF267" s="84" t="n">
        <v>0.8</v>
      </c>
      <c r="AG267" s="84" t="n">
        <v>0.88</v>
      </c>
      <c r="AH267" s="84" t="n">
        <v>0</v>
      </c>
      <c r="AI267" s="84" t="n">
        <v>0</v>
      </c>
      <c r="AJ267" s="84">
        <f>SUMIFS(AH$8:AH$1039,$O$8:$O$1039,O267,$AB$8:$AB$1039,AB267,$R$8:$R$1039,R267,$AA$8:$AA$1039,"&lt;="&amp;AA267)</f>
        <v/>
      </c>
      <c r="AK267" s="84">
        <f>D35</f>
        <v/>
      </c>
      <c r="AL267" s="84">
        <f>D41</f>
        <v/>
      </c>
      <c r="AM267" s="84">
        <f>MAX(0,AJ267-AK267)</f>
        <v/>
      </c>
      <c r="AN267" s="84">
        <f>IF(AM267=0,AH267,IF(AM267&gt;=AH267,0,AH267-AM267))</f>
        <v/>
      </c>
      <c r="AO267" s="84">
        <f>IF(AM267&gt;=AH267,AI267,AI267*AM267/AH267)</f>
        <v/>
      </c>
      <c r="AP267">
        <f t="array" ref="AP267">INDEX($AU$8:$BB$25,6*(R267-1)+MATCH(AB267,$AS$8:$AS$13,0),MATCH(O267,$AU$7:$BB$7,0))</f>
        <v/>
      </c>
    </row>
    <row r="268" ht="14.25" customHeight="1">
      <c r="O268" s="43" t="inlineStr">
        <is>
          <t>Q3’26</t>
        </is>
      </c>
      <c r="P268" s="43" t="n">
        <v>1</v>
      </c>
      <c r="Q268" s="43" t="n">
        <v>1</v>
      </c>
      <c r="R268" s="43" t="n">
        <v>3</v>
      </c>
      <c r="S268" s="45" t="n">
        <v>573.578192252493</v>
      </c>
      <c r="T268">
        <f>(S266+S267+S268)=P2</f>
        <v/>
      </c>
      <c r="X268" s="84" t="n">
        <v>0</v>
      </c>
      <c r="Y268" s="83" t="n">
        <v>0</v>
      </c>
      <c r="AA268" s="84" t="n">
        <v>4</v>
      </c>
      <c r="AB268" s="84" t="inlineStr">
        <is>
          <t>D</t>
        </is>
      </c>
      <c r="AC268" s="84" t="inlineStr">
        <is>
          <t>D+</t>
        </is>
      </c>
      <c r="AD268" s="84" t="n">
        <v>14</v>
      </c>
      <c r="AE268" s="84" t="n">
        <v>12</v>
      </c>
      <c r="AF268" s="84" t="n">
        <v>0.8</v>
      </c>
      <c r="AG268" s="84" t="n">
        <v>0.88</v>
      </c>
      <c r="AH268" s="84" t="n">
        <v>0</v>
      </c>
      <c r="AI268" s="84" t="n">
        <v>0</v>
      </c>
      <c r="AJ268" s="84">
        <f>SUMIFS(AH$8:AH$1039,$O$8:$O$1039,O268,$AB$8:$AB$1039,AB268,$R$8:$R$1039,R268,$AA$8:$AA$1039,"&lt;="&amp;AA268)</f>
        <v/>
      </c>
      <c r="AK268" s="84">
        <f>E35</f>
        <v/>
      </c>
      <c r="AL268" s="84">
        <f>E41</f>
        <v/>
      </c>
      <c r="AM268" s="84">
        <f>MAX(0,AJ268-AK268)</f>
        <v/>
      </c>
      <c r="AN268" s="84">
        <f>IF(AM268=0,AH268,IF(AM268&gt;=AH268,0,AH268-AM268))</f>
        <v/>
      </c>
      <c r="AO268" s="84">
        <f>IF(AM268&gt;=AH268,AI268,AI268*AM268/AH268)</f>
        <v/>
      </c>
      <c r="AP268">
        <f t="array" ref="AP268">INDEX($AU$8:$BB$25,6*(R268-1)+MATCH(AB268,$AS$8:$AS$13,0),MATCH(O268,$AU$7:$BB$7,0))</f>
        <v/>
      </c>
    </row>
    <row r="269" ht="14.25" customHeight="1">
      <c r="O269" s="43" t="inlineStr">
        <is>
          <t>Q3’26</t>
        </is>
      </c>
      <c r="P269" s="43" t="n">
        <v>1</v>
      </c>
      <c r="Q269" s="43" t="n">
        <v>2</v>
      </c>
      <c r="R269" s="43" t="n">
        <v>1</v>
      </c>
      <c r="S269" s="45" t="n">
        <v>6118.427599602685</v>
      </c>
      <c r="T269">
        <f>(S269+S270+S271)=P2</f>
        <v/>
      </c>
      <c r="X269" s="84">
        <f>MAX(S266-S269,0)</f>
        <v/>
      </c>
      <c r="Y269" s="83" t="n">
        <v>0</v>
      </c>
      <c r="AA269" s="84" t="n">
        <v>10</v>
      </c>
      <c r="AB269" s="84" t="inlineStr">
        <is>
          <t>F</t>
        </is>
      </c>
      <c r="AC269" s="84" t="inlineStr">
        <is>
          <t>F+</t>
        </is>
      </c>
      <c r="AD269" s="84" t="n">
        <v>25</v>
      </c>
      <c r="AE269" s="84" t="n">
        <v>21</v>
      </c>
      <c r="AF269" s="84" t="n">
        <v>0.8</v>
      </c>
      <c r="AG269" s="84" t="n">
        <v>0.9</v>
      </c>
      <c r="AH269" s="84" t="n">
        <v>0</v>
      </c>
      <c r="AI269" s="84" t="n">
        <v>0</v>
      </c>
      <c r="AJ269" s="84">
        <f>SUMIFS(AH$8:AH$1039,$O$8:$O$1039,O269,$AB$8:$AB$1039,AB269,$R$8:$R$1039,R269,$AA$8:$AA$1039,"&lt;="&amp;AA269)</f>
        <v/>
      </c>
      <c r="AK269" s="84">
        <f>C37</f>
        <v/>
      </c>
      <c r="AL269" s="84">
        <f>C43</f>
        <v/>
      </c>
      <c r="AM269" s="84">
        <f>MAX(0,AJ269-AK269)</f>
        <v/>
      </c>
      <c r="AN269" s="84">
        <f>IF(AM269=0,AH269,IF(AM269&gt;=AH269,0,AH269-AM269))</f>
        <v/>
      </c>
      <c r="AO269" s="84">
        <f>IF(AM269&gt;=AH269,AI269,AI269*AM269/AH269)</f>
        <v/>
      </c>
      <c r="AP269">
        <f t="array" ref="AP269">INDEX($AU$8:$BB$25,6*(R269-1)+MATCH(AB269,$AS$8:$AS$13,0),MATCH(O269,$AU$7:$BB$7,0))</f>
        <v/>
      </c>
    </row>
    <row r="270" ht="14.25" customHeight="1">
      <c r="O270" s="43" t="inlineStr">
        <is>
          <t>Q3’26</t>
        </is>
      </c>
      <c r="P270" s="43" t="n">
        <v>1</v>
      </c>
      <c r="Q270" s="43" t="n">
        <v>2</v>
      </c>
      <c r="R270" s="43" t="n">
        <v>2</v>
      </c>
      <c r="S270" s="45" t="n">
        <v>1807.994208144821</v>
      </c>
      <c r="T270">
        <f>(S269+S270+S271)=P2</f>
        <v/>
      </c>
      <c r="X270" s="84">
        <f>MAX(S267-S270,0)</f>
        <v/>
      </c>
      <c r="Y270" s="83" t="n">
        <v>0</v>
      </c>
      <c r="AA270" s="84" t="n">
        <v>10</v>
      </c>
      <c r="AB270" s="84" t="inlineStr">
        <is>
          <t>F</t>
        </is>
      </c>
      <c r="AC270" s="84" t="inlineStr">
        <is>
          <t>F+</t>
        </is>
      </c>
      <c r="AD270" s="84" t="n">
        <v>25</v>
      </c>
      <c r="AE270" s="84" t="n">
        <v>21</v>
      </c>
      <c r="AF270" s="84" t="n">
        <v>0.8</v>
      </c>
      <c r="AG270" s="84" t="n">
        <v>0.9</v>
      </c>
      <c r="AH270" s="84" t="n">
        <v>0</v>
      </c>
      <c r="AI270" s="84" t="n">
        <v>0</v>
      </c>
      <c r="AJ270" s="84">
        <f>SUMIFS(AH$8:AH$1039,$O$8:$O$1039,O270,$AB$8:$AB$1039,AB270,$R$8:$R$1039,R270,$AA$8:$AA$1039,"&lt;="&amp;AA270)</f>
        <v/>
      </c>
      <c r="AK270" s="84">
        <f>D37</f>
        <v/>
      </c>
      <c r="AL270" s="84">
        <f>D43</f>
        <v/>
      </c>
      <c r="AM270" s="84">
        <f>MAX(0,AJ270-AK270)</f>
        <v/>
      </c>
      <c r="AN270" s="84">
        <f>IF(AM270=0,AH270,IF(AM270&gt;=AH270,0,AH270-AM270))</f>
        <v/>
      </c>
      <c r="AO270" s="84">
        <f>IF(AM270&gt;=AH270,AI270,AI270*AM270/AH270)</f>
        <v/>
      </c>
      <c r="AP270">
        <f t="array" ref="AP270">INDEX($AU$8:$BB$25,6*(R270-1)+MATCH(AB270,$AS$8:$AS$13,0),MATCH(O270,$AU$7:$BB$7,0))</f>
        <v/>
      </c>
    </row>
    <row r="271" ht="14.25" customHeight="1">
      <c r="O271" s="43" t="inlineStr">
        <is>
          <t>Q3’26</t>
        </is>
      </c>
      <c r="P271" s="43" t="n">
        <v>1</v>
      </c>
      <c r="Q271" s="43" t="n">
        <v>2</v>
      </c>
      <c r="R271" s="43" t="n">
        <v>3</v>
      </c>
      <c r="S271" s="45" t="n">
        <v>573.578192252493</v>
      </c>
      <c r="T271">
        <f>(S269+S270+S271)=P2</f>
        <v/>
      </c>
      <c r="X271" s="84">
        <f>MAX(S268-S271,0)</f>
        <v/>
      </c>
      <c r="Y271" s="83" t="n">
        <v>0</v>
      </c>
      <c r="AA271" s="84" t="n">
        <v>10</v>
      </c>
      <c r="AB271" s="84" t="inlineStr">
        <is>
          <t>F</t>
        </is>
      </c>
      <c r="AC271" s="84" t="inlineStr">
        <is>
          <t>F+</t>
        </is>
      </c>
      <c r="AD271" s="84" t="n">
        <v>25</v>
      </c>
      <c r="AE271" s="84" t="n">
        <v>21</v>
      </c>
      <c r="AF271" s="84" t="n">
        <v>0.8</v>
      </c>
      <c r="AG271" s="84" t="n">
        <v>0.9</v>
      </c>
      <c r="AH271" s="84" t="n">
        <v>0</v>
      </c>
      <c r="AI271" s="84" t="n">
        <v>0</v>
      </c>
      <c r="AJ271" s="84">
        <f>SUMIFS(AH$8:AH$1039,$O$8:$O$1039,O271,$AB$8:$AB$1039,AB271,$R$8:$R$1039,R271,$AA$8:$AA$1039,"&lt;="&amp;AA271)</f>
        <v/>
      </c>
      <c r="AK271" s="84">
        <f>E37</f>
        <v/>
      </c>
      <c r="AL271" s="84">
        <f>E43</f>
        <v/>
      </c>
      <c r="AM271" s="84">
        <f>MAX(0,AJ271-AK271)</f>
        <v/>
      </c>
      <c r="AN271" s="84">
        <f>IF(AM271=0,AH271,IF(AM271&gt;=AH271,0,AH271-AM271))</f>
        <v/>
      </c>
      <c r="AO271" s="84">
        <f>IF(AM271&gt;=AH271,AI271,AI271*AM271/AH271)</f>
        <v/>
      </c>
      <c r="AP271">
        <f t="array" ref="AP271">INDEX($AU$8:$BB$25,6*(R271-1)+MATCH(AB271,$AS$8:$AS$13,0),MATCH(O271,$AU$7:$BB$7,0))</f>
        <v/>
      </c>
    </row>
    <row r="272" ht="14.25" customHeight="1">
      <c r="O272" s="43" t="inlineStr">
        <is>
          <t>Q3’26</t>
        </is>
      </c>
      <c r="P272" s="43" t="n">
        <v>1</v>
      </c>
      <c r="Q272" s="43" t="n">
        <v>3</v>
      </c>
      <c r="R272" s="43" t="n">
        <v>1</v>
      </c>
      <c r="S272" s="45" t="n">
        <v>6118.427599602685</v>
      </c>
      <c r="T272">
        <f>(S272+S273+S274)=P2</f>
        <v/>
      </c>
      <c r="X272" s="84">
        <f>MAX(S269-S272,0)</f>
        <v/>
      </c>
      <c r="Y272" s="83" t="n">
        <v>0</v>
      </c>
      <c r="AA272" s="84" t="n">
        <v>8</v>
      </c>
      <c r="AB272" s="84" t="inlineStr">
        <is>
          <t>F</t>
        </is>
      </c>
      <c r="AC272" s="84" t="inlineStr">
        <is>
          <t>F+</t>
        </is>
      </c>
      <c r="AD272" s="84" t="n">
        <v>27</v>
      </c>
      <c r="AE272" s="84" t="n">
        <v>23</v>
      </c>
      <c r="AF272" s="84" t="n">
        <v>0.8</v>
      </c>
      <c r="AG272" s="84" t="n">
        <v>0.9</v>
      </c>
      <c r="AH272" s="84" t="n">
        <v>0</v>
      </c>
      <c r="AI272" s="84" t="n">
        <v>0</v>
      </c>
      <c r="AJ272" s="84">
        <f>SUMIFS(AH$8:AH$1039,$O$8:$O$1039,O272,$AB$8:$AB$1039,AB272,$R$8:$R$1039,R272,$AA$8:$AA$1039,"&lt;="&amp;AA272)</f>
        <v/>
      </c>
      <c r="AK272" s="84">
        <f>C37</f>
        <v/>
      </c>
      <c r="AL272" s="84">
        <f>C43</f>
        <v/>
      </c>
      <c r="AM272" s="84">
        <f>MAX(0,AJ272-AK272)</f>
        <v/>
      </c>
      <c r="AN272" s="84">
        <f>IF(AM272=0,AH272,IF(AM272&gt;=AH272,0,AH272-AM272))</f>
        <v/>
      </c>
      <c r="AO272" s="84">
        <f>IF(AM272&gt;=AH272,AI272,AI272*AM272/AH272)</f>
        <v/>
      </c>
      <c r="AP272">
        <f t="array" ref="AP272">INDEX($AU$8:$BB$25,6*(R272-1)+MATCH(AB272,$AS$8:$AS$13,0),MATCH(O272,$AU$7:$BB$7,0))</f>
        <v/>
      </c>
    </row>
    <row r="273" ht="14.25" customHeight="1">
      <c r="O273" s="43" t="inlineStr">
        <is>
          <t>Q3’26</t>
        </is>
      </c>
      <c r="P273" s="43" t="n">
        <v>1</v>
      </c>
      <c r="Q273" s="43" t="n">
        <v>3</v>
      </c>
      <c r="R273" s="43" t="n">
        <v>2</v>
      </c>
      <c r="S273" s="45" t="n">
        <v>1807.994208144815</v>
      </c>
      <c r="T273">
        <f>(S272+S273+S274)=P2</f>
        <v/>
      </c>
      <c r="X273" s="84">
        <f>MAX(S270-S273,0)</f>
        <v/>
      </c>
      <c r="Y273" s="83" t="n">
        <v>0</v>
      </c>
      <c r="AA273" s="84" t="n">
        <v>8</v>
      </c>
      <c r="AB273" s="84" t="inlineStr">
        <is>
          <t>F</t>
        </is>
      </c>
      <c r="AC273" s="84" t="inlineStr">
        <is>
          <t>F+</t>
        </is>
      </c>
      <c r="AD273" s="84" t="n">
        <v>27</v>
      </c>
      <c r="AE273" s="84" t="n">
        <v>23</v>
      </c>
      <c r="AF273" s="84" t="n">
        <v>0.8</v>
      </c>
      <c r="AG273" s="84" t="n">
        <v>0.9</v>
      </c>
      <c r="AH273" s="84" t="n">
        <v>0</v>
      </c>
      <c r="AI273" s="84" t="n">
        <v>0</v>
      </c>
      <c r="AJ273" s="84">
        <f>SUMIFS(AH$8:AH$1039,$O$8:$O$1039,O273,$AB$8:$AB$1039,AB273,$R$8:$R$1039,R273,$AA$8:$AA$1039,"&lt;="&amp;AA273)</f>
        <v/>
      </c>
      <c r="AK273" s="84">
        <f>D37</f>
        <v/>
      </c>
      <c r="AL273" s="84">
        <f>D43</f>
        <v/>
      </c>
      <c r="AM273" s="84">
        <f>MAX(0,AJ273-AK273)</f>
        <v/>
      </c>
      <c r="AN273" s="84">
        <f>IF(AM273=0,AH273,IF(AM273&gt;=AH273,0,AH273-AM273))</f>
        <v/>
      </c>
      <c r="AO273" s="84">
        <f>IF(AM273&gt;=AH273,AI273,AI273*AM273/AH273)</f>
        <v/>
      </c>
      <c r="AP273">
        <f t="array" ref="AP273">INDEX($AU$8:$BB$25,6*(R273-1)+MATCH(AB273,$AS$8:$AS$13,0),MATCH(O273,$AU$7:$BB$7,0))</f>
        <v/>
      </c>
    </row>
    <row r="274" ht="14.25" customHeight="1">
      <c r="O274" s="43" t="inlineStr">
        <is>
          <t>Q3’26</t>
        </is>
      </c>
      <c r="P274" s="43" t="n">
        <v>1</v>
      </c>
      <c r="Q274" s="43" t="n">
        <v>3</v>
      </c>
      <c r="R274" s="43" t="n">
        <v>3</v>
      </c>
      <c r="S274" s="45" t="n">
        <v>573.5781922525</v>
      </c>
      <c r="T274">
        <f>(S272+S273+S274)=P2</f>
        <v/>
      </c>
      <c r="X274" s="84">
        <f>MAX(S271-S274,0)</f>
        <v/>
      </c>
      <c r="Y274" s="83" t="n">
        <v>0</v>
      </c>
      <c r="AA274" s="84" t="n">
        <v>8</v>
      </c>
      <c r="AB274" s="84" t="inlineStr">
        <is>
          <t>F</t>
        </is>
      </c>
      <c r="AC274" s="84" t="inlineStr">
        <is>
          <t>F+</t>
        </is>
      </c>
      <c r="AD274" s="84" t="n">
        <v>27</v>
      </c>
      <c r="AE274" s="84" t="n">
        <v>23</v>
      </c>
      <c r="AF274" s="84" t="n">
        <v>0.8</v>
      </c>
      <c r="AG274" s="84" t="n">
        <v>0.9</v>
      </c>
      <c r="AH274" s="84" t="n">
        <v>0</v>
      </c>
      <c r="AI274" s="84" t="n">
        <v>0</v>
      </c>
      <c r="AJ274" s="84">
        <f>SUMIFS(AH$8:AH$1039,$O$8:$O$1039,O274,$AB$8:$AB$1039,AB274,$R$8:$R$1039,R274,$AA$8:$AA$1039,"&lt;="&amp;AA274)</f>
        <v/>
      </c>
      <c r="AK274" s="84">
        <f>E37</f>
        <v/>
      </c>
      <c r="AL274" s="84">
        <f>E43</f>
        <v/>
      </c>
      <c r="AM274" s="84">
        <f>MAX(0,AJ274-AK274)</f>
        <v/>
      </c>
      <c r="AN274" s="84">
        <f>IF(AM274=0,AH274,IF(AM274&gt;=AH274,0,AH274-AM274))</f>
        <v/>
      </c>
      <c r="AO274" s="84">
        <f>IF(AM274&gt;=AH274,AI274,AI274*AM274/AH274)</f>
        <v/>
      </c>
      <c r="AP274">
        <f t="array" ref="AP274">INDEX($AU$8:$BB$25,6*(R274-1)+MATCH(AB274,$AS$8:$AS$13,0),MATCH(O274,$AU$7:$BB$7,0))</f>
        <v/>
      </c>
    </row>
    <row r="275" ht="14.25" customHeight="1">
      <c r="O275" s="43" t="inlineStr">
        <is>
          <t>Q3’26</t>
        </is>
      </c>
      <c r="P275" s="43" t="n">
        <v>1</v>
      </c>
      <c r="Q275" s="43" t="n">
        <v>4</v>
      </c>
      <c r="R275" s="43" t="n">
        <v>1</v>
      </c>
      <c r="S275" s="45" t="n">
        <v>6118.427599602686</v>
      </c>
      <c r="T275">
        <f>(S275+S276+S277)=P2</f>
        <v/>
      </c>
      <c r="X275" s="84">
        <f>MAX(S272-S275,0)</f>
        <v/>
      </c>
      <c r="Y275" s="83" t="n">
        <v>0</v>
      </c>
      <c r="AA275" s="84" t="n">
        <v>3</v>
      </c>
      <c r="AB275" s="84" t="inlineStr">
        <is>
          <t>A</t>
        </is>
      </c>
      <c r="AC275" s="84" t="inlineStr">
        <is>
          <t>A+</t>
        </is>
      </c>
      <c r="AD275" s="84" t="n">
        <v>20</v>
      </c>
      <c r="AE275" s="84" t="n">
        <v>16</v>
      </c>
      <c r="AF275" s="84" t="n">
        <v>0.78</v>
      </c>
      <c r="AG275" s="84" t="n">
        <v>0.84</v>
      </c>
      <c r="AH275" s="84" t="n">
        <v>0</v>
      </c>
      <c r="AI275" s="84" t="n">
        <v>0</v>
      </c>
      <c r="AJ275" s="84">
        <f>SUMIFS(AH$8:AH$1039,$O$8:$O$1039,O275,$AB$8:$AB$1039,AB275,$R$8:$R$1039,R275,$AA$8:$AA$1039,"&lt;="&amp;AA275)</f>
        <v/>
      </c>
      <c r="AK275" s="84">
        <f>C32</f>
        <v/>
      </c>
      <c r="AL275" s="84">
        <f>C38</f>
        <v/>
      </c>
      <c r="AM275" s="84">
        <f>MAX(0,AJ275-AK275)</f>
        <v/>
      </c>
      <c r="AN275" s="84">
        <f>IF(AM275=0,AH275,IF(AM275&gt;=AH275,0,AH275-AM275))</f>
        <v/>
      </c>
      <c r="AO275" s="84">
        <f>IF(AM275&gt;=AH275,AI275,AI275*AM275/AH275)</f>
        <v/>
      </c>
      <c r="AP275">
        <f t="array" ref="AP275">INDEX($AU$8:$BB$25,6*(R275-1)+MATCH(AB275,$AS$8:$AS$13,0),MATCH(O275,$AU$7:$BB$7,0))</f>
        <v/>
      </c>
    </row>
    <row r="276" ht="14.25" customHeight="1">
      <c r="O276" s="43" t="inlineStr">
        <is>
          <t>Q3’26</t>
        </is>
      </c>
      <c r="P276" s="43" t="n">
        <v>1</v>
      </c>
      <c r="Q276" s="43" t="n">
        <v>4</v>
      </c>
      <c r="R276" s="43" t="n">
        <v>2</v>
      </c>
      <c r="S276" s="45" t="n">
        <v>1807.994208144814</v>
      </c>
      <c r="T276">
        <f>(S275+S276+S277)=P2</f>
        <v/>
      </c>
      <c r="X276" s="84">
        <f>MAX(S273-S276,0)</f>
        <v/>
      </c>
      <c r="Y276" s="83" t="n">
        <v>0</v>
      </c>
      <c r="AA276" s="84" t="n">
        <v>3</v>
      </c>
      <c r="AB276" s="84" t="inlineStr">
        <is>
          <t>A</t>
        </is>
      </c>
      <c r="AC276" s="84" t="inlineStr">
        <is>
          <t>A+</t>
        </is>
      </c>
      <c r="AD276" s="84" t="n">
        <v>20</v>
      </c>
      <c r="AE276" s="84" t="n">
        <v>16</v>
      </c>
      <c r="AF276" s="84" t="n">
        <v>0.78</v>
      </c>
      <c r="AG276" s="84" t="n">
        <v>0.84</v>
      </c>
      <c r="AH276" s="84" t="n">
        <v>0</v>
      </c>
      <c r="AI276" s="84" t="n">
        <v>0</v>
      </c>
      <c r="AJ276" s="84">
        <f>SUMIFS(AH$8:AH$1039,$O$8:$O$1039,O276,$AB$8:$AB$1039,AB276,$R$8:$R$1039,R276,$AA$8:$AA$1039,"&lt;="&amp;AA276)</f>
        <v/>
      </c>
      <c r="AK276" s="84">
        <f>D32</f>
        <v/>
      </c>
      <c r="AL276" s="84">
        <f>D38</f>
        <v/>
      </c>
      <c r="AM276" s="84">
        <f>MAX(0,AJ276-AK276)</f>
        <v/>
      </c>
      <c r="AN276" s="84">
        <f>IF(AM276=0,AH276,IF(AM276&gt;=AH276,0,AH276-AM276))</f>
        <v/>
      </c>
      <c r="AO276" s="84">
        <f>IF(AM276&gt;=AH276,AI276,AI276*AM276/AH276)</f>
        <v/>
      </c>
      <c r="AP276">
        <f t="array" ref="AP276">INDEX($AU$8:$BB$25,6*(R276-1)+MATCH(AB276,$AS$8:$AS$13,0),MATCH(O276,$AU$7:$BB$7,0))</f>
        <v/>
      </c>
    </row>
    <row r="277" ht="14.25" customHeight="1">
      <c r="O277" s="43" t="inlineStr">
        <is>
          <t>Q3’26</t>
        </is>
      </c>
      <c r="P277" s="43" t="n">
        <v>1</v>
      </c>
      <c r="Q277" s="43" t="n">
        <v>4</v>
      </c>
      <c r="R277" s="43" t="n">
        <v>3</v>
      </c>
      <c r="S277" s="45" t="n">
        <v>573.5781922525</v>
      </c>
      <c r="T277">
        <f>(S275+S276+S277)=P2</f>
        <v/>
      </c>
      <c r="X277" s="84">
        <f>MAX(S274-S277,0)</f>
        <v/>
      </c>
      <c r="Y277" s="83" t="n">
        <v>0</v>
      </c>
      <c r="AA277" s="84" t="n">
        <v>3</v>
      </c>
      <c r="AB277" s="84" t="inlineStr">
        <is>
          <t>A</t>
        </is>
      </c>
      <c r="AC277" s="84" t="inlineStr">
        <is>
          <t>A+</t>
        </is>
      </c>
      <c r="AD277" s="84" t="n">
        <v>20</v>
      </c>
      <c r="AE277" s="84" t="n">
        <v>16</v>
      </c>
      <c r="AF277" s="84" t="n">
        <v>0.78</v>
      </c>
      <c r="AG277" s="84" t="n">
        <v>0.84</v>
      </c>
      <c r="AH277" s="84" t="n">
        <v>0</v>
      </c>
      <c r="AI277" s="84" t="n">
        <v>0</v>
      </c>
      <c r="AJ277" s="84">
        <f>SUMIFS(AH$8:AH$1039,$O$8:$O$1039,O277,$AB$8:$AB$1039,AB277,$R$8:$R$1039,R277,$AA$8:$AA$1039,"&lt;="&amp;AA277)</f>
        <v/>
      </c>
      <c r="AK277" s="84">
        <f>E32</f>
        <v/>
      </c>
      <c r="AL277" s="84">
        <f>E38</f>
        <v/>
      </c>
      <c r="AM277" s="84">
        <f>MAX(0,AJ277-AK277)</f>
        <v/>
      </c>
      <c r="AN277" s="84">
        <f>IF(AM277=0,AH277,IF(AM277&gt;=AH277,0,AH277-AM277))</f>
        <v/>
      </c>
      <c r="AO277" s="84">
        <f>IF(AM277&gt;=AH277,AI277,AI277*AM277/AH277)</f>
        <v/>
      </c>
      <c r="AP277">
        <f t="array" ref="AP277">INDEX($AU$8:$BB$25,6*(R277-1)+MATCH(AB277,$AS$8:$AS$13,0),MATCH(O277,$AU$7:$BB$7,0))</f>
        <v/>
      </c>
    </row>
    <row r="278" ht="14.25" customHeight="1">
      <c r="O278" s="43" t="inlineStr">
        <is>
          <t>Q3’26</t>
        </is>
      </c>
      <c r="P278" s="43" t="n">
        <v>1</v>
      </c>
      <c r="Q278" s="43" t="n">
        <v>5</v>
      </c>
      <c r="R278" s="43" t="n">
        <v>1</v>
      </c>
      <c r="S278" s="45" t="n">
        <v>6118.427599602685</v>
      </c>
      <c r="T278">
        <f>(S278+S279+S280)=P2</f>
        <v/>
      </c>
      <c r="X278" s="84">
        <f>MAX(S275-S278,0)</f>
        <v/>
      </c>
      <c r="Y278" s="83" t="n">
        <v>0</v>
      </c>
      <c r="AA278" s="84" t="n">
        <v>11</v>
      </c>
      <c r="AB278" s="84" t="inlineStr">
        <is>
          <t>F</t>
        </is>
      </c>
      <c r="AC278" s="84" t="inlineStr">
        <is>
          <t>F+</t>
        </is>
      </c>
      <c r="AD278" s="84" t="n">
        <v>12</v>
      </c>
      <c r="AE278" s="84" t="n">
        <v>9</v>
      </c>
      <c r="AF278" s="84" t="n">
        <v>0.8</v>
      </c>
      <c r="AG278" s="84" t="n">
        <v>0.9</v>
      </c>
      <c r="AH278" s="84" t="n">
        <v>0</v>
      </c>
      <c r="AI278" s="84" t="n">
        <v>0</v>
      </c>
      <c r="AJ278" s="84">
        <f>SUMIFS(AH$8:AH$1039,$O$8:$O$1039,O278,$AB$8:$AB$1039,AB278,$R$8:$R$1039,R278,$AA$8:$AA$1039,"&lt;="&amp;AA278)</f>
        <v/>
      </c>
      <c r="AK278" s="84">
        <f>C37</f>
        <v/>
      </c>
      <c r="AL278" s="84">
        <f>C43</f>
        <v/>
      </c>
      <c r="AM278" s="84">
        <f>MAX(0,AJ278-AK278)</f>
        <v/>
      </c>
      <c r="AN278" s="84">
        <f>IF(AM278=0,AH278,IF(AM278&gt;=AH278,0,AH278-AM278))</f>
        <v/>
      </c>
      <c r="AO278" s="84">
        <f>IF(AM278&gt;=AH278,AI278,AI278*AM278/AH278)</f>
        <v/>
      </c>
      <c r="AP278">
        <f t="array" ref="AP278">INDEX($AU$8:$BB$25,6*(R278-1)+MATCH(AB278,$AS$8:$AS$13,0),MATCH(O278,$AU$7:$BB$7,0))</f>
        <v/>
      </c>
    </row>
    <row r="279" ht="14.25" customHeight="1">
      <c r="O279" s="43" t="inlineStr">
        <is>
          <t>Q3’26</t>
        </is>
      </c>
      <c r="P279" s="43" t="n">
        <v>1</v>
      </c>
      <c r="Q279" s="43" t="n">
        <v>5</v>
      </c>
      <c r="R279" s="43" t="n">
        <v>2</v>
      </c>
      <c r="S279" s="45" t="n">
        <v>1807.994208144815</v>
      </c>
      <c r="T279">
        <f>(S278+S279+S280)=P2</f>
        <v/>
      </c>
      <c r="X279" s="84">
        <f>MAX(S276-S279,0)</f>
        <v/>
      </c>
      <c r="Y279" s="83" t="n">
        <v>0</v>
      </c>
      <c r="AA279" s="84" t="n">
        <v>11</v>
      </c>
      <c r="AB279" s="84" t="inlineStr">
        <is>
          <t>F</t>
        </is>
      </c>
      <c r="AC279" s="84" t="inlineStr">
        <is>
          <t>F+</t>
        </is>
      </c>
      <c r="AD279" s="84" t="n">
        <v>12</v>
      </c>
      <c r="AE279" s="84" t="n">
        <v>9</v>
      </c>
      <c r="AF279" s="84" t="n">
        <v>0.8</v>
      </c>
      <c r="AG279" s="84" t="n">
        <v>0.9</v>
      </c>
      <c r="AH279" s="84" t="n">
        <v>0</v>
      </c>
      <c r="AI279" s="84" t="n">
        <v>0</v>
      </c>
      <c r="AJ279" s="84">
        <f>SUMIFS(AH$8:AH$1039,$O$8:$O$1039,O279,$AB$8:$AB$1039,AB279,$R$8:$R$1039,R279,$AA$8:$AA$1039,"&lt;="&amp;AA279)</f>
        <v/>
      </c>
      <c r="AK279" s="84">
        <f>D37</f>
        <v/>
      </c>
      <c r="AL279" s="84">
        <f>D43</f>
        <v/>
      </c>
      <c r="AM279" s="84">
        <f>MAX(0,AJ279-AK279)</f>
        <v/>
      </c>
      <c r="AN279" s="84">
        <f>IF(AM279=0,AH279,IF(AM279&gt;=AH279,0,AH279-AM279))</f>
        <v/>
      </c>
      <c r="AO279" s="84">
        <f>IF(AM279&gt;=AH279,AI279,AI279*AM279/AH279)</f>
        <v/>
      </c>
      <c r="AP279">
        <f t="array" ref="AP279">INDEX($AU$8:$BB$25,6*(R279-1)+MATCH(AB279,$AS$8:$AS$13,0),MATCH(O279,$AU$7:$BB$7,0))</f>
        <v/>
      </c>
    </row>
    <row r="280" ht="14.25" customHeight="1">
      <c r="O280" s="43" t="inlineStr">
        <is>
          <t>Q3’26</t>
        </is>
      </c>
      <c r="P280" s="43" t="n">
        <v>1</v>
      </c>
      <c r="Q280" s="43" t="n">
        <v>5</v>
      </c>
      <c r="R280" s="43" t="n">
        <v>3</v>
      </c>
      <c r="S280" s="45" t="n">
        <v>573.5781922525</v>
      </c>
      <c r="T280">
        <f>(S278+S279+S280)=P2</f>
        <v/>
      </c>
      <c r="X280" s="84">
        <f>MAX(S277-S280,0)</f>
        <v/>
      </c>
      <c r="Y280" s="83" t="n">
        <v>0</v>
      </c>
      <c r="AA280" s="84" t="n">
        <v>11</v>
      </c>
      <c r="AB280" s="84" t="inlineStr">
        <is>
          <t>F</t>
        </is>
      </c>
      <c r="AC280" s="84" t="inlineStr">
        <is>
          <t>F+</t>
        </is>
      </c>
      <c r="AD280" s="84" t="n">
        <v>12</v>
      </c>
      <c r="AE280" s="84" t="n">
        <v>9</v>
      </c>
      <c r="AF280" s="84" t="n">
        <v>0.8</v>
      </c>
      <c r="AG280" s="84" t="n">
        <v>0.9</v>
      </c>
      <c r="AH280" s="84" t="n">
        <v>0</v>
      </c>
      <c r="AI280" s="84" t="n">
        <v>0</v>
      </c>
      <c r="AJ280" s="84">
        <f>SUMIFS(AH$8:AH$1039,$O$8:$O$1039,O280,$AB$8:$AB$1039,AB280,$R$8:$R$1039,R280,$AA$8:$AA$1039,"&lt;="&amp;AA280)</f>
        <v/>
      </c>
      <c r="AK280" s="84">
        <f>E37</f>
        <v/>
      </c>
      <c r="AL280" s="84">
        <f>E43</f>
        <v/>
      </c>
      <c r="AM280" s="84">
        <f>MAX(0,AJ280-AK280)</f>
        <v/>
      </c>
      <c r="AN280" s="84">
        <f>IF(AM280=0,AH280,IF(AM280&gt;=AH280,0,AH280-AM280))</f>
        <v/>
      </c>
      <c r="AO280" s="84">
        <f>IF(AM280&gt;=AH280,AI280,AI280*AM280/AH280)</f>
        <v/>
      </c>
      <c r="AP280">
        <f t="array" ref="AP280">INDEX($AU$8:$BB$25,6*(R280-1)+MATCH(AB280,$AS$8:$AS$13,0),MATCH(O280,$AU$7:$BB$7,0))</f>
        <v/>
      </c>
    </row>
    <row r="281" ht="14.25" customHeight="1">
      <c r="O281" s="43" t="inlineStr">
        <is>
          <t>Q3’26</t>
        </is>
      </c>
      <c r="P281" s="43" t="n">
        <v>1</v>
      </c>
      <c r="Q281" s="43" t="n">
        <v>6</v>
      </c>
      <c r="R281" s="43" t="n">
        <v>1</v>
      </c>
      <c r="S281" s="45" t="n">
        <v>6118.427599602686</v>
      </c>
      <c r="T281">
        <f>(S281+S282+S283)=P2</f>
        <v/>
      </c>
      <c r="X281" s="84">
        <f>MAX(S278-S281,0)</f>
        <v/>
      </c>
      <c r="Y281" s="83" t="n">
        <v>0</v>
      </c>
      <c r="AA281" s="84" t="n">
        <v>7</v>
      </c>
      <c r="AB281" s="84" t="inlineStr">
        <is>
          <t>D</t>
        </is>
      </c>
      <c r="AC281" s="84" t="inlineStr">
        <is>
          <t>D+</t>
        </is>
      </c>
      <c r="AD281" s="84" t="n">
        <v>27</v>
      </c>
      <c r="AE281" s="84" t="n">
        <v>21</v>
      </c>
      <c r="AF281" s="84" t="n">
        <v>0.8</v>
      </c>
      <c r="AG281" s="84" t="n">
        <v>0.88</v>
      </c>
      <c r="AH281" s="84" t="n">
        <v>0</v>
      </c>
      <c r="AI281" s="84" t="n">
        <v>0</v>
      </c>
      <c r="AJ281" s="84">
        <f>SUMIFS(AH$8:AH$1039,$O$8:$O$1039,O281,$AB$8:$AB$1039,AB281,$R$8:$R$1039,R281,$AA$8:$AA$1039,"&lt;="&amp;AA281)</f>
        <v/>
      </c>
      <c r="AK281" s="84">
        <f>C35</f>
        <v/>
      </c>
      <c r="AL281" s="84">
        <f>C41</f>
        <v/>
      </c>
      <c r="AM281" s="84">
        <f>MAX(0,AJ281-AK281)</f>
        <v/>
      </c>
      <c r="AN281" s="84">
        <f>IF(AM281=0,AH281,IF(AM281&gt;=AH281,0,AH281-AM281))</f>
        <v/>
      </c>
      <c r="AO281" s="84">
        <f>IF(AM281&gt;=AH281,AI281,AI281*AM281/AH281)</f>
        <v/>
      </c>
      <c r="AP281">
        <f t="array" ref="AP281">INDEX($AU$8:$BB$25,6*(R281-1)+MATCH(AB281,$AS$8:$AS$13,0),MATCH(O281,$AU$7:$BB$7,0))</f>
        <v/>
      </c>
    </row>
    <row r="282" ht="14.25" customHeight="1">
      <c r="O282" s="43" t="inlineStr">
        <is>
          <t>Q3’26</t>
        </is>
      </c>
      <c r="P282" s="43" t="n">
        <v>1</v>
      </c>
      <c r="Q282" s="43" t="n">
        <v>6</v>
      </c>
      <c r="R282" s="43" t="n">
        <v>2</v>
      </c>
      <c r="S282" s="45" t="n">
        <v>1807.994208144814</v>
      </c>
      <c r="T282">
        <f>(S281+S282+S283)=P2</f>
        <v/>
      </c>
      <c r="X282" s="84">
        <f>MAX(S279-S282,0)</f>
        <v/>
      </c>
      <c r="Y282" s="83" t="n">
        <v>0</v>
      </c>
      <c r="AA282" s="84" t="n">
        <v>7</v>
      </c>
      <c r="AB282" s="84" t="inlineStr">
        <is>
          <t>D</t>
        </is>
      </c>
      <c r="AC282" s="84" t="inlineStr">
        <is>
          <t>D+</t>
        </is>
      </c>
      <c r="AD282" s="84" t="n">
        <v>27</v>
      </c>
      <c r="AE282" s="84" t="n">
        <v>21</v>
      </c>
      <c r="AF282" s="84" t="n">
        <v>0.8</v>
      </c>
      <c r="AG282" s="84" t="n">
        <v>0.88</v>
      </c>
      <c r="AH282" s="84" t="n">
        <v>0</v>
      </c>
      <c r="AI282" s="84" t="n">
        <v>0</v>
      </c>
      <c r="AJ282" s="84">
        <f>SUMIFS(AH$8:AH$1039,$O$8:$O$1039,O282,$AB$8:$AB$1039,AB282,$R$8:$R$1039,R282,$AA$8:$AA$1039,"&lt;="&amp;AA282)</f>
        <v/>
      </c>
      <c r="AK282" s="84">
        <f>D35</f>
        <v/>
      </c>
      <c r="AL282" s="84">
        <f>D41</f>
        <v/>
      </c>
      <c r="AM282" s="84">
        <f>MAX(0,AJ282-AK282)</f>
        <v/>
      </c>
      <c r="AN282" s="84">
        <f>IF(AM282=0,AH282,IF(AM282&gt;=AH282,0,AH282-AM282))</f>
        <v/>
      </c>
      <c r="AO282" s="84">
        <f>IF(AM282&gt;=AH282,AI282,AI282*AM282/AH282)</f>
        <v/>
      </c>
      <c r="AP282">
        <f t="array" ref="AP282">INDEX($AU$8:$BB$25,6*(R282-1)+MATCH(AB282,$AS$8:$AS$13,0),MATCH(O282,$AU$7:$BB$7,0))</f>
        <v/>
      </c>
    </row>
    <row r="283" ht="14.25" customHeight="1">
      <c r="O283" s="43" t="inlineStr">
        <is>
          <t>Q3’26</t>
        </is>
      </c>
      <c r="P283" s="43" t="n">
        <v>1</v>
      </c>
      <c r="Q283" s="43" t="n">
        <v>6</v>
      </c>
      <c r="R283" s="43" t="n">
        <v>3</v>
      </c>
      <c r="S283" s="45" t="n">
        <v>573.5781922525</v>
      </c>
      <c r="T283">
        <f>(S281+S282+S283)=P2</f>
        <v/>
      </c>
      <c r="X283" s="84">
        <f>MAX(S280-S283,0)</f>
        <v/>
      </c>
      <c r="Y283" s="83" t="n">
        <v>0</v>
      </c>
      <c r="AA283" s="84" t="n">
        <v>7</v>
      </c>
      <c r="AB283" s="84" t="inlineStr">
        <is>
          <t>D</t>
        </is>
      </c>
      <c r="AC283" s="84" t="inlineStr">
        <is>
          <t>D+</t>
        </is>
      </c>
      <c r="AD283" s="84" t="n">
        <v>27</v>
      </c>
      <c r="AE283" s="84" t="n">
        <v>21</v>
      </c>
      <c r="AF283" s="84" t="n">
        <v>0.8</v>
      </c>
      <c r="AG283" s="84" t="n">
        <v>0.88</v>
      </c>
      <c r="AH283" s="84" t="n">
        <v>0</v>
      </c>
      <c r="AI283" s="84" t="n">
        <v>0</v>
      </c>
      <c r="AJ283" s="84">
        <f>SUMIFS(AH$8:AH$1039,$O$8:$O$1039,O283,$AB$8:$AB$1039,AB283,$R$8:$R$1039,R283,$AA$8:$AA$1039,"&lt;="&amp;AA283)</f>
        <v/>
      </c>
      <c r="AK283" s="84">
        <f>E35</f>
        <v/>
      </c>
      <c r="AL283" s="84">
        <f>E41</f>
        <v/>
      </c>
      <c r="AM283" s="84">
        <f>MAX(0,AJ283-AK283)</f>
        <v/>
      </c>
      <c r="AN283" s="84">
        <f>IF(AM283=0,AH283,IF(AM283&gt;=AH283,0,AH283-AM283))</f>
        <v/>
      </c>
      <c r="AO283" s="84">
        <f>IF(AM283&gt;=AH283,AI283,AI283*AM283/AH283)</f>
        <v/>
      </c>
      <c r="AP283">
        <f t="array" ref="AP283">INDEX($AU$8:$BB$25,6*(R283-1)+MATCH(AB283,$AS$8:$AS$13,0),MATCH(O283,$AU$7:$BB$7,0))</f>
        <v/>
      </c>
    </row>
    <row r="284" ht="14.25" customHeight="1">
      <c r="O284" s="43" t="inlineStr">
        <is>
          <t>Q3’26</t>
        </is>
      </c>
      <c r="P284" s="43" t="n">
        <v>1</v>
      </c>
      <c r="Q284" s="43" t="n">
        <v>7</v>
      </c>
      <c r="R284" s="43" t="n">
        <v>1</v>
      </c>
      <c r="S284" s="45" t="n">
        <v>6118.427599602706</v>
      </c>
      <c r="T284">
        <f>(S284+S285+S286)=P2</f>
        <v/>
      </c>
      <c r="X284" s="84">
        <f>MAX(S281-S284,0)</f>
        <v/>
      </c>
      <c r="Y284" s="83" t="n">
        <v>0</v>
      </c>
      <c r="AA284" s="84" t="n">
        <v>9</v>
      </c>
      <c r="AB284" s="84" t="inlineStr">
        <is>
          <t>D</t>
        </is>
      </c>
      <c r="AC284" s="84" t="inlineStr">
        <is>
          <t>D+</t>
        </is>
      </c>
      <c r="AD284" s="84" t="n">
        <v>17</v>
      </c>
      <c r="AE284" s="84" t="n">
        <v>13</v>
      </c>
      <c r="AF284" s="84" t="n">
        <v>0.8</v>
      </c>
      <c r="AG284" s="84" t="n">
        <v>0.88</v>
      </c>
      <c r="AH284" s="84" t="n">
        <v>0</v>
      </c>
      <c r="AI284" s="84" t="n">
        <v>0</v>
      </c>
      <c r="AJ284" s="84">
        <f>SUMIFS(AH$8:AH$1039,$O$8:$O$1039,O284,$AB$8:$AB$1039,AB284,$R$8:$R$1039,R284,$AA$8:$AA$1039,"&lt;="&amp;AA284)</f>
        <v/>
      </c>
      <c r="AK284" s="84">
        <f>C35</f>
        <v/>
      </c>
      <c r="AL284" s="84">
        <f>C41</f>
        <v/>
      </c>
      <c r="AM284" s="84">
        <f>MAX(0,AJ284-AK284)</f>
        <v/>
      </c>
      <c r="AN284" s="84">
        <f>IF(AM284=0,AH284,IF(AM284&gt;=AH284,0,AH284-AM284))</f>
        <v/>
      </c>
      <c r="AO284" s="84">
        <f>IF(AM284&gt;=AH284,AI284,AI284*AM284/AH284)</f>
        <v/>
      </c>
      <c r="AP284">
        <f t="array" ref="AP284">INDEX($AU$8:$BB$25,6*(R284-1)+MATCH(AB284,$AS$8:$AS$13,0),MATCH(O284,$AU$7:$BB$7,0))</f>
        <v/>
      </c>
    </row>
    <row r="285" ht="14.25" customHeight="1">
      <c r="O285" s="43" t="inlineStr">
        <is>
          <t>Q3’26</t>
        </is>
      </c>
      <c r="P285" s="43" t="n">
        <v>1</v>
      </c>
      <c r="Q285" s="43" t="n">
        <v>7</v>
      </c>
      <c r="R285" s="43" t="n">
        <v>2</v>
      </c>
      <c r="S285" s="45" t="n">
        <v>1807.994208144794</v>
      </c>
      <c r="T285">
        <f>(S284+S285+S286)=P2</f>
        <v/>
      </c>
      <c r="X285" s="84">
        <f>MAX(S282-S285,0)</f>
        <v/>
      </c>
      <c r="Y285" s="83" t="n">
        <v>0</v>
      </c>
      <c r="AA285" s="84" t="n">
        <v>9</v>
      </c>
      <c r="AB285" s="84" t="inlineStr">
        <is>
          <t>D</t>
        </is>
      </c>
      <c r="AC285" s="84" t="inlineStr">
        <is>
          <t>D+</t>
        </is>
      </c>
      <c r="AD285" s="84" t="n">
        <v>17</v>
      </c>
      <c r="AE285" s="84" t="n">
        <v>13</v>
      </c>
      <c r="AF285" s="84" t="n">
        <v>0.8</v>
      </c>
      <c r="AG285" s="84" t="n">
        <v>0.88</v>
      </c>
      <c r="AH285" s="84" t="n">
        <v>0</v>
      </c>
      <c r="AI285" s="84" t="n">
        <v>0</v>
      </c>
      <c r="AJ285" s="84">
        <f>SUMIFS(AH$8:AH$1039,$O$8:$O$1039,O285,$AB$8:$AB$1039,AB285,$R$8:$R$1039,R285,$AA$8:$AA$1039,"&lt;="&amp;AA285)</f>
        <v/>
      </c>
      <c r="AK285" s="84">
        <f>D35</f>
        <v/>
      </c>
      <c r="AL285" s="84">
        <f>D41</f>
        <v/>
      </c>
      <c r="AM285" s="84">
        <f>MAX(0,AJ285-AK285)</f>
        <v/>
      </c>
      <c r="AN285" s="84">
        <f>IF(AM285=0,AH285,IF(AM285&gt;=AH285,0,AH285-AM285))</f>
        <v/>
      </c>
      <c r="AO285" s="84">
        <f>IF(AM285&gt;=AH285,AI285,AI285*AM285/AH285)</f>
        <v/>
      </c>
      <c r="AP285">
        <f t="array" ref="AP285">INDEX($AU$8:$BB$25,6*(R285-1)+MATCH(AB285,$AS$8:$AS$13,0),MATCH(O285,$AU$7:$BB$7,0))</f>
        <v/>
      </c>
    </row>
    <row r="286" ht="14.25" customHeight="1">
      <c r="O286" s="43" t="inlineStr">
        <is>
          <t>Q3’26</t>
        </is>
      </c>
      <c r="P286" s="43" t="n">
        <v>1</v>
      </c>
      <c r="Q286" s="43" t="n">
        <v>7</v>
      </c>
      <c r="R286" s="43" t="n">
        <v>3</v>
      </c>
      <c r="S286" s="45" t="n">
        <v>573.5781922525</v>
      </c>
      <c r="T286">
        <f>(S284+S285+S286)=P2</f>
        <v/>
      </c>
      <c r="X286" s="84">
        <f>MAX(S283-S286,0)</f>
        <v/>
      </c>
      <c r="Y286" s="83" t="n">
        <v>0</v>
      </c>
      <c r="AA286" s="84" t="n">
        <v>9</v>
      </c>
      <c r="AB286" s="84" t="inlineStr">
        <is>
          <t>D</t>
        </is>
      </c>
      <c r="AC286" s="84" t="inlineStr">
        <is>
          <t>D+</t>
        </is>
      </c>
      <c r="AD286" s="84" t="n">
        <v>17</v>
      </c>
      <c r="AE286" s="84" t="n">
        <v>13</v>
      </c>
      <c r="AF286" s="84" t="n">
        <v>0.8</v>
      </c>
      <c r="AG286" s="84" t="n">
        <v>0.88</v>
      </c>
      <c r="AH286" s="84" t="n">
        <v>0</v>
      </c>
      <c r="AI286" s="84" t="n">
        <v>0</v>
      </c>
      <c r="AJ286" s="84">
        <f>SUMIFS(AH$8:AH$1039,$O$8:$O$1039,O286,$AB$8:$AB$1039,AB286,$R$8:$R$1039,R286,$AA$8:$AA$1039,"&lt;="&amp;AA286)</f>
        <v/>
      </c>
      <c r="AK286" s="84">
        <f>E35</f>
        <v/>
      </c>
      <c r="AL286" s="84">
        <f>E41</f>
        <v/>
      </c>
      <c r="AM286" s="84">
        <f>MAX(0,AJ286-AK286)</f>
        <v/>
      </c>
      <c r="AN286" s="84">
        <f>IF(AM286=0,AH286,IF(AM286&gt;=AH286,0,AH286-AM286))</f>
        <v/>
      </c>
      <c r="AO286" s="84">
        <f>IF(AM286&gt;=AH286,AI286,AI286*AM286/AH286)</f>
        <v/>
      </c>
      <c r="AP286">
        <f t="array" ref="AP286">INDEX($AU$8:$BB$25,6*(R286-1)+MATCH(AB286,$AS$8:$AS$13,0),MATCH(O286,$AU$7:$BB$7,0))</f>
        <v/>
      </c>
    </row>
    <row r="287" ht="14.25" customHeight="1">
      <c r="O287" s="43" t="inlineStr">
        <is>
          <t>Q3’26</t>
        </is>
      </c>
      <c r="P287" s="43" t="n">
        <v>1</v>
      </c>
      <c r="Q287" s="43" t="n">
        <v>8</v>
      </c>
      <c r="R287" s="43" t="n">
        <v>1</v>
      </c>
      <c r="S287" s="45" t="n">
        <v>6118.427599602665</v>
      </c>
      <c r="T287">
        <f>(S287+S288+S289)=P2</f>
        <v/>
      </c>
      <c r="X287" s="84">
        <f>MAX(S284-S287,0)</f>
        <v/>
      </c>
      <c r="Y287" s="83" t="n">
        <v>0</v>
      </c>
      <c r="AA287" s="84" t="n">
        <v>1</v>
      </c>
      <c r="AB287" s="84" t="inlineStr">
        <is>
          <t>A</t>
        </is>
      </c>
      <c r="AC287" s="84" t="inlineStr">
        <is>
          <t>A+</t>
        </is>
      </c>
      <c r="AD287" s="84" t="n">
        <v>18</v>
      </c>
      <c r="AE287" s="84" t="n">
        <v>16</v>
      </c>
      <c r="AF287" s="84" t="n">
        <v>0.78</v>
      </c>
      <c r="AG287" s="84" t="n">
        <v>0.84</v>
      </c>
      <c r="AH287" s="84" t="n">
        <v>0</v>
      </c>
      <c r="AI287" s="84" t="n">
        <v>0</v>
      </c>
      <c r="AJ287" s="84">
        <f>SUMIFS(AH$8:AH$1039,$O$8:$O$1039,O287,$AB$8:$AB$1039,AB287,$R$8:$R$1039,R287,$AA$8:$AA$1039,"&lt;="&amp;AA287)</f>
        <v/>
      </c>
      <c r="AK287" s="84">
        <f>C32</f>
        <v/>
      </c>
      <c r="AL287" s="84">
        <f>C38</f>
        <v/>
      </c>
      <c r="AM287" s="84">
        <f>MAX(0,AJ287-AK287)</f>
        <v/>
      </c>
      <c r="AN287" s="84">
        <f>IF(AM287=0,AH287,IF(AM287&gt;=AH287,0,AH287-AM287))</f>
        <v/>
      </c>
      <c r="AO287" s="84">
        <f>IF(AM287&gt;=AH287,AI287,AI287*AM287/AH287)</f>
        <v/>
      </c>
      <c r="AP287">
        <f t="array" ref="AP287">INDEX($AU$8:$BB$25,6*(R287-1)+MATCH(AB287,$AS$8:$AS$13,0),MATCH(O287,$AU$7:$BB$7,0))</f>
        <v/>
      </c>
    </row>
    <row r="288" ht="14.25" customHeight="1">
      <c r="O288" s="43" t="inlineStr">
        <is>
          <t>Q3’26</t>
        </is>
      </c>
      <c r="P288" s="43" t="n">
        <v>1</v>
      </c>
      <c r="Q288" s="43" t="n">
        <v>8</v>
      </c>
      <c r="R288" s="43" t="n">
        <v>2</v>
      </c>
      <c r="S288" s="45" t="n">
        <v>1807.994208144835</v>
      </c>
      <c r="T288">
        <f>(S287+S288+S289)=P2</f>
        <v/>
      </c>
      <c r="X288" s="84">
        <f>MAX(S285-S288,0)</f>
        <v/>
      </c>
      <c r="Y288" s="83" t="n">
        <v>0</v>
      </c>
      <c r="AA288" s="84" t="n">
        <v>1</v>
      </c>
      <c r="AB288" s="84" t="inlineStr">
        <is>
          <t>A</t>
        </is>
      </c>
      <c r="AC288" s="84" t="inlineStr">
        <is>
          <t>A+</t>
        </is>
      </c>
      <c r="AD288" s="84" t="n">
        <v>18</v>
      </c>
      <c r="AE288" s="84" t="n">
        <v>16</v>
      </c>
      <c r="AF288" s="84" t="n">
        <v>0.78</v>
      </c>
      <c r="AG288" s="84" t="n">
        <v>0.84</v>
      </c>
      <c r="AH288" s="84" t="n">
        <v>0</v>
      </c>
      <c r="AI288" s="84" t="n">
        <v>0</v>
      </c>
      <c r="AJ288" s="84">
        <f>SUMIFS(AH$8:AH$1039,$O$8:$O$1039,O288,$AB$8:$AB$1039,AB288,$R$8:$R$1039,R288,$AA$8:$AA$1039,"&lt;="&amp;AA288)</f>
        <v/>
      </c>
      <c r="AK288" s="84">
        <f>D32</f>
        <v/>
      </c>
      <c r="AL288" s="84">
        <f>D38</f>
        <v/>
      </c>
      <c r="AM288" s="84">
        <f>MAX(0,AJ288-AK288)</f>
        <v/>
      </c>
      <c r="AN288" s="84">
        <f>IF(AM288=0,AH288,IF(AM288&gt;=AH288,0,AH288-AM288))</f>
        <v/>
      </c>
      <c r="AO288" s="84">
        <f>IF(AM288&gt;=AH288,AI288,AI288*AM288/AH288)</f>
        <v/>
      </c>
      <c r="AP288">
        <f t="array" ref="AP288">INDEX($AU$8:$BB$25,6*(R288-1)+MATCH(AB288,$AS$8:$AS$13,0),MATCH(O288,$AU$7:$BB$7,0))</f>
        <v/>
      </c>
    </row>
    <row r="289" ht="14.25" customHeight="1">
      <c r="O289" s="43" t="inlineStr">
        <is>
          <t>Q3’26</t>
        </is>
      </c>
      <c r="P289" s="43" t="n">
        <v>1</v>
      </c>
      <c r="Q289" s="43" t="n">
        <v>8</v>
      </c>
      <c r="R289" s="43" t="n">
        <v>3</v>
      </c>
      <c r="S289" s="45" t="n">
        <v>573.5781922525</v>
      </c>
      <c r="T289">
        <f>(S287+S288+S289)=P2</f>
        <v/>
      </c>
      <c r="X289" s="84">
        <f>MAX(S286-S289,0)</f>
        <v/>
      </c>
      <c r="Y289" s="83" t="n">
        <v>0</v>
      </c>
      <c r="AA289" s="84" t="n">
        <v>1</v>
      </c>
      <c r="AB289" s="84" t="inlineStr">
        <is>
          <t>A</t>
        </is>
      </c>
      <c r="AC289" s="84" t="inlineStr">
        <is>
          <t>A+</t>
        </is>
      </c>
      <c r="AD289" s="84" t="n">
        <v>18</v>
      </c>
      <c r="AE289" s="84" t="n">
        <v>16</v>
      </c>
      <c r="AF289" s="84" t="n">
        <v>0.78</v>
      </c>
      <c r="AG289" s="84" t="n">
        <v>0.84</v>
      </c>
      <c r="AH289" s="84" t="n">
        <v>0</v>
      </c>
      <c r="AI289" s="84" t="n">
        <v>0</v>
      </c>
      <c r="AJ289" s="84">
        <f>SUMIFS(AH$8:AH$1039,$O$8:$O$1039,O289,$AB$8:$AB$1039,AB289,$R$8:$R$1039,R289,$AA$8:$AA$1039,"&lt;="&amp;AA289)</f>
        <v/>
      </c>
      <c r="AK289" s="84">
        <f>E32</f>
        <v/>
      </c>
      <c r="AL289" s="84">
        <f>E38</f>
        <v/>
      </c>
      <c r="AM289" s="84">
        <f>MAX(0,AJ289-AK289)</f>
        <v/>
      </c>
      <c r="AN289" s="84">
        <f>IF(AM289=0,AH289,IF(AM289&gt;=AH289,0,AH289-AM289))</f>
        <v/>
      </c>
      <c r="AO289" s="84">
        <f>IF(AM289&gt;=AH289,AI289,AI289*AM289/AH289)</f>
        <v/>
      </c>
      <c r="AP289">
        <f t="array" ref="AP289">INDEX($AU$8:$BB$25,6*(R289-1)+MATCH(AB289,$AS$8:$AS$13,0),MATCH(O289,$AU$7:$BB$7,0))</f>
        <v/>
      </c>
    </row>
    <row r="290" ht="14.25" customHeight="1">
      <c r="O290" s="43" t="inlineStr">
        <is>
          <t>Q3’26</t>
        </is>
      </c>
      <c r="P290" s="43" t="n">
        <v>1</v>
      </c>
      <c r="Q290" s="43" t="n">
        <v>9</v>
      </c>
      <c r="R290" s="43" t="n">
        <v>1</v>
      </c>
      <c r="S290" s="45" t="n">
        <v>6118.427599602666</v>
      </c>
      <c r="T290">
        <f>(S290+S291+S292)=P2</f>
        <v/>
      </c>
      <c r="X290" s="84">
        <f>MAX(S287-S290,0)</f>
        <v/>
      </c>
      <c r="Y290" s="83" t="n">
        <v>0</v>
      </c>
      <c r="AA290" s="84" t="n">
        <v>2</v>
      </c>
      <c r="AB290" s="84" t="inlineStr">
        <is>
          <t>A</t>
        </is>
      </c>
      <c r="AC290" s="84" t="inlineStr">
        <is>
          <t>A+</t>
        </is>
      </c>
      <c r="AD290" s="84" t="n">
        <v>16</v>
      </c>
      <c r="AE290" s="84" t="n">
        <v>13</v>
      </c>
      <c r="AF290" s="84" t="n">
        <v>0.78</v>
      </c>
      <c r="AG290" s="84" t="n">
        <v>0.84</v>
      </c>
      <c r="AH290" s="84" t="n">
        <v>0</v>
      </c>
      <c r="AI290" s="84" t="n">
        <v>0</v>
      </c>
      <c r="AJ290" s="84">
        <f>SUMIFS(AH$8:AH$1039,$O$8:$O$1039,O290,$AB$8:$AB$1039,AB290,$R$8:$R$1039,R290,$AA$8:$AA$1039,"&lt;="&amp;AA290)</f>
        <v/>
      </c>
      <c r="AK290" s="84">
        <f>C32</f>
        <v/>
      </c>
      <c r="AL290" s="84">
        <f>C38</f>
        <v/>
      </c>
      <c r="AM290" s="84">
        <f>MAX(0,AJ290-AK290)</f>
        <v/>
      </c>
      <c r="AN290" s="84">
        <f>IF(AM290=0,AH290,IF(AM290&gt;=AH290,0,AH290-AM290))</f>
        <v/>
      </c>
      <c r="AO290" s="84">
        <f>IF(AM290&gt;=AH290,AI290,AI290*AM290/AH290)</f>
        <v/>
      </c>
      <c r="AP290">
        <f t="array" ref="AP290">INDEX($AU$8:$BB$25,6*(R290-1)+MATCH(AB290,$AS$8:$AS$13,0),MATCH(O290,$AU$7:$BB$7,0))</f>
        <v/>
      </c>
    </row>
    <row r="291" ht="14.25" customHeight="1">
      <c r="O291" s="43" t="inlineStr">
        <is>
          <t>Q3’26</t>
        </is>
      </c>
      <c r="P291" s="43" t="n">
        <v>1</v>
      </c>
      <c r="Q291" s="43" t="n">
        <v>9</v>
      </c>
      <c r="R291" s="43" t="n">
        <v>2</v>
      </c>
      <c r="S291" s="45" t="n">
        <v>1807.994208144835</v>
      </c>
      <c r="T291">
        <f>(S290+S291+S292)=P2</f>
        <v/>
      </c>
      <c r="X291" s="84">
        <f>MAX(S288-S291,0)</f>
        <v/>
      </c>
      <c r="Y291" s="83" t="n">
        <v>0</v>
      </c>
      <c r="AA291" s="84" t="n">
        <v>2</v>
      </c>
      <c r="AB291" s="84" t="inlineStr">
        <is>
          <t>A</t>
        </is>
      </c>
      <c r="AC291" s="84" t="inlineStr">
        <is>
          <t>A+</t>
        </is>
      </c>
      <c r="AD291" s="84" t="n">
        <v>16</v>
      </c>
      <c r="AE291" s="84" t="n">
        <v>13</v>
      </c>
      <c r="AF291" s="84" t="n">
        <v>0.78</v>
      </c>
      <c r="AG291" s="84" t="n">
        <v>0.84</v>
      </c>
      <c r="AH291" s="84" t="n">
        <v>0</v>
      </c>
      <c r="AI291" s="84" t="n">
        <v>0</v>
      </c>
      <c r="AJ291" s="84">
        <f>SUMIFS(AH$8:AH$1039,$O$8:$O$1039,O291,$AB$8:$AB$1039,AB291,$R$8:$R$1039,R291,$AA$8:$AA$1039,"&lt;="&amp;AA291)</f>
        <v/>
      </c>
      <c r="AK291" s="84">
        <f>D32</f>
        <v/>
      </c>
      <c r="AL291" s="84">
        <f>D38</f>
        <v/>
      </c>
      <c r="AM291" s="84">
        <f>MAX(0,AJ291-AK291)</f>
        <v/>
      </c>
      <c r="AN291" s="84">
        <f>IF(AM291=0,AH291,IF(AM291&gt;=AH291,0,AH291-AM291))</f>
        <v/>
      </c>
      <c r="AO291" s="84">
        <f>IF(AM291&gt;=AH291,AI291,AI291*AM291/AH291)</f>
        <v/>
      </c>
      <c r="AP291">
        <f t="array" ref="AP291">INDEX($AU$8:$BB$25,6*(R291-1)+MATCH(AB291,$AS$8:$AS$13,0),MATCH(O291,$AU$7:$BB$7,0))</f>
        <v/>
      </c>
    </row>
    <row r="292" ht="14.25" customHeight="1">
      <c r="O292" s="43" t="inlineStr">
        <is>
          <t>Q3’26</t>
        </is>
      </c>
      <c r="P292" s="43" t="n">
        <v>1</v>
      </c>
      <c r="Q292" s="43" t="n">
        <v>9</v>
      </c>
      <c r="R292" s="43" t="n">
        <v>3</v>
      </c>
      <c r="S292" s="45" t="n">
        <v>573.578192252499</v>
      </c>
      <c r="T292">
        <f>(S290+S291+S292)=P2</f>
        <v/>
      </c>
      <c r="X292" s="84">
        <f>MAX(S289-S292,0)</f>
        <v/>
      </c>
      <c r="Y292" s="83" t="n">
        <v>0</v>
      </c>
      <c r="AA292" s="84" t="n">
        <v>2</v>
      </c>
      <c r="AB292" s="84" t="inlineStr">
        <is>
          <t>A</t>
        </is>
      </c>
      <c r="AC292" s="84" t="inlineStr">
        <is>
          <t>A+</t>
        </is>
      </c>
      <c r="AD292" s="84" t="n">
        <v>16</v>
      </c>
      <c r="AE292" s="84" t="n">
        <v>13</v>
      </c>
      <c r="AF292" s="84" t="n">
        <v>0.78</v>
      </c>
      <c r="AG292" s="84" t="n">
        <v>0.84</v>
      </c>
      <c r="AH292" s="84" t="n">
        <v>0</v>
      </c>
      <c r="AI292" s="84" t="n">
        <v>0</v>
      </c>
      <c r="AJ292" s="84">
        <f>SUMIFS(AH$8:AH$1039,$O$8:$O$1039,O292,$AB$8:$AB$1039,AB292,$R$8:$R$1039,R292,$AA$8:$AA$1039,"&lt;="&amp;AA292)</f>
        <v/>
      </c>
      <c r="AK292" s="84">
        <f>E32</f>
        <v/>
      </c>
      <c r="AL292" s="84">
        <f>E38</f>
        <v/>
      </c>
      <c r="AM292" s="84">
        <f>MAX(0,AJ292-AK292)</f>
        <v/>
      </c>
      <c r="AN292" s="84">
        <f>IF(AM292=0,AH292,IF(AM292&gt;=AH292,0,AH292-AM292))</f>
        <v/>
      </c>
      <c r="AO292" s="84">
        <f>IF(AM292&gt;=AH292,AI292,AI292*AM292/AH292)</f>
        <v/>
      </c>
      <c r="AP292">
        <f t="array" ref="AP292">INDEX($AU$8:$BB$25,6*(R292-1)+MATCH(AB292,$AS$8:$AS$13,0),MATCH(O292,$AU$7:$BB$7,0))</f>
        <v/>
      </c>
    </row>
    <row r="293" ht="14.25" customHeight="1">
      <c r="O293" s="43" t="inlineStr">
        <is>
          <t>Q3’26</t>
        </is>
      </c>
      <c r="P293" s="43" t="n">
        <v>1</v>
      </c>
      <c r="Q293" s="43" t="n">
        <v>10</v>
      </c>
      <c r="R293" s="43" t="n">
        <v>1</v>
      </c>
      <c r="S293" s="45" t="n">
        <v>6118.427599602666</v>
      </c>
      <c r="T293">
        <f>(S293+S294+S295)=P2</f>
        <v/>
      </c>
      <c r="X293" s="84">
        <f>MAX(S290-S293,0)</f>
        <v/>
      </c>
      <c r="Y293" s="83" t="n">
        <v>0</v>
      </c>
      <c r="AA293" s="84" t="n">
        <v>6</v>
      </c>
      <c r="AB293" s="84" t="inlineStr">
        <is>
          <t>D</t>
        </is>
      </c>
      <c r="AC293" s="84" t="inlineStr">
        <is>
          <t>D+</t>
        </is>
      </c>
      <c r="AD293" s="84" t="n">
        <v>14</v>
      </c>
      <c r="AE293" s="84" t="n">
        <v>11</v>
      </c>
      <c r="AF293" s="84" t="n">
        <v>0.8</v>
      </c>
      <c r="AG293" s="84" t="n">
        <v>0.88</v>
      </c>
      <c r="AH293" s="84" t="n">
        <v>0</v>
      </c>
      <c r="AI293" s="84" t="n">
        <v>0</v>
      </c>
      <c r="AJ293" s="84">
        <f>SUMIFS(AH$8:AH$1039,$O$8:$O$1039,O293,$AB$8:$AB$1039,AB293,$R$8:$R$1039,R293,$AA$8:$AA$1039,"&lt;="&amp;AA293)</f>
        <v/>
      </c>
      <c r="AK293" s="84">
        <f>C35</f>
        <v/>
      </c>
      <c r="AL293" s="84">
        <f>C41</f>
        <v/>
      </c>
      <c r="AM293" s="84">
        <f>MAX(0,AJ293-AK293)</f>
        <v/>
      </c>
      <c r="AN293" s="84">
        <f>IF(AM293=0,AH293,IF(AM293&gt;=AH293,0,AH293-AM293))</f>
        <v/>
      </c>
      <c r="AO293" s="84">
        <f>IF(AM293&gt;=AH293,AI293,AI293*AM293/AH293)</f>
        <v/>
      </c>
      <c r="AP293">
        <f t="array" ref="AP293">INDEX($AU$8:$BB$25,6*(R293-1)+MATCH(AB293,$AS$8:$AS$13,0),MATCH(O293,$AU$7:$BB$7,0))</f>
        <v/>
      </c>
    </row>
    <row r="294" ht="14.25" customHeight="1">
      <c r="O294" s="43" t="inlineStr">
        <is>
          <t>Q3’26</t>
        </is>
      </c>
      <c r="P294" s="43" t="n">
        <v>1</v>
      </c>
      <c r="Q294" s="43" t="n">
        <v>10</v>
      </c>
      <c r="R294" s="43" t="n">
        <v>2</v>
      </c>
      <c r="S294" s="45" t="n">
        <v>1807.994208144835</v>
      </c>
      <c r="T294">
        <f>(S293+S294+S295)=P2</f>
        <v/>
      </c>
      <c r="X294" s="84">
        <f>MAX(S291-S294,0)</f>
        <v/>
      </c>
      <c r="Y294" s="83" t="n">
        <v>0</v>
      </c>
      <c r="AA294" s="84" t="n">
        <v>6</v>
      </c>
      <c r="AB294" s="84" t="inlineStr">
        <is>
          <t>D</t>
        </is>
      </c>
      <c r="AC294" s="84" t="inlineStr">
        <is>
          <t>D+</t>
        </is>
      </c>
      <c r="AD294" s="84" t="n">
        <v>14</v>
      </c>
      <c r="AE294" s="84" t="n">
        <v>11</v>
      </c>
      <c r="AF294" s="84" t="n">
        <v>0.8</v>
      </c>
      <c r="AG294" s="84" t="n">
        <v>0.88</v>
      </c>
      <c r="AH294" s="84" t="n">
        <v>0</v>
      </c>
      <c r="AI294" s="84" t="n">
        <v>0</v>
      </c>
      <c r="AJ294" s="84">
        <f>SUMIFS(AH$8:AH$1039,$O$8:$O$1039,O294,$AB$8:$AB$1039,AB294,$R$8:$R$1039,R294,$AA$8:$AA$1039,"&lt;="&amp;AA294)</f>
        <v/>
      </c>
      <c r="AK294" s="84">
        <f>D35</f>
        <v/>
      </c>
      <c r="AL294" s="84">
        <f>D41</f>
        <v/>
      </c>
      <c r="AM294" s="84">
        <f>MAX(0,AJ294-AK294)</f>
        <v/>
      </c>
      <c r="AN294" s="84">
        <f>IF(AM294=0,AH294,IF(AM294&gt;=AH294,0,AH294-AM294))</f>
        <v/>
      </c>
      <c r="AO294" s="84">
        <f>IF(AM294&gt;=AH294,AI294,AI294*AM294/AH294)</f>
        <v/>
      </c>
      <c r="AP294">
        <f t="array" ref="AP294">INDEX($AU$8:$BB$25,6*(R294-1)+MATCH(AB294,$AS$8:$AS$13,0),MATCH(O294,$AU$7:$BB$7,0))</f>
        <v/>
      </c>
    </row>
    <row r="295" ht="14.25" customHeight="1">
      <c r="O295" s="43" t="inlineStr">
        <is>
          <t>Q3’26</t>
        </is>
      </c>
      <c r="P295" s="43" t="n">
        <v>1</v>
      </c>
      <c r="Q295" s="43" t="n">
        <v>10</v>
      </c>
      <c r="R295" s="43" t="n">
        <v>3</v>
      </c>
      <c r="S295" s="45" t="n">
        <v>573.578192252499</v>
      </c>
      <c r="T295">
        <f>(S293+S294+S295)=P2</f>
        <v/>
      </c>
      <c r="X295" s="84">
        <f>MAX(S292-S295,0)</f>
        <v/>
      </c>
      <c r="Y295" s="83" t="n">
        <v>0</v>
      </c>
      <c r="AA295" s="84" t="n">
        <v>6</v>
      </c>
      <c r="AB295" s="84" t="inlineStr">
        <is>
          <t>D</t>
        </is>
      </c>
      <c r="AC295" s="84" t="inlineStr">
        <is>
          <t>D+</t>
        </is>
      </c>
      <c r="AD295" s="84" t="n">
        <v>14</v>
      </c>
      <c r="AE295" s="84" t="n">
        <v>11</v>
      </c>
      <c r="AF295" s="84" t="n">
        <v>0.8</v>
      </c>
      <c r="AG295" s="84" t="n">
        <v>0.88</v>
      </c>
      <c r="AH295" s="84" t="n">
        <v>0</v>
      </c>
      <c r="AI295" s="84" t="n">
        <v>0</v>
      </c>
      <c r="AJ295" s="84">
        <f>SUMIFS(AH$8:AH$1039,$O$8:$O$1039,O295,$AB$8:$AB$1039,AB295,$R$8:$R$1039,R295,$AA$8:$AA$1039,"&lt;="&amp;AA295)</f>
        <v/>
      </c>
      <c r="AK295" s="84">
        <f>E35</f>
        <v/>
      </c>
      <c r="AL295" s="84">
        <f>E41</f>
        <v/>
      </c>
      <c r="AM295" s="84">
        <f>MAX(0,AJ295-AK295)</f>
        <v/>
      </c>
      <c r="AN295" s="84">
        <f>IF(AM295=0,AH295,IF(AM295&gt;=AH295,0,AH295-AM295))</f>
        <v/>
      </c>
      <c r="AO295" s="84">
        <f>IF(AM295&gt;=AH295,AI295,AI295*AM295/AH295)</f>
        <v/>
      </c>
      <c r="AP295">
        <f t="array" ref="AP295">INDEX($AU$8:$BB$25,6*(R295-1)+MATCH(AB295,$AS$8:$AS$13,0),MATCH(O295,$AU$7:$BB$7,0))</f>
        <v/>
      </c>
    </row>
    <row r="296" ht="14.25" customHeight="1">
      <c r="O296" s="43" t="inlineStr">
        <is>
          <t>Q3’26</t>
        </is>
      </c>
      <c r="P296" s="43" t="n">
        <v>1</v>
      </c>
      <c r="Q296" s="43" t="n">
        <v>11</v>
      </c>
      <c r="R296" s="43" t="n">
        <v>1</v>
      </c>
      <c r="S296" s="45" t="n">
        <v>6118.427599602665</v>
      </c>
      <c r="T296">
        <f>(S296+S297+S298)=P2</f>
        <v/>
      </c>
      <c r="X296" s="84">
        <f>MAX(S293-S296,0)</f>
        <v/>
      </c>
      <c r="Y296" s="83" t="n">
        <v>0</v>
      </c>
      <c r="AA296" s="84" t="n">
        <v>3</v>
      </c>
      <c r="AB296" s="84" t="inlineStr">
        <is>
          <t>F</t>
        </is>
      </c>
      <c r="AC296" s="84" t="inlineStr">
        <is>
          <t>F+</t>
        </is>
      </c>
      <c r="AD296" s="84" t="n">
        <v>18</v>
      </c>
      <c r="AE296" s="84" t="n">
        <v>16</v>
      </c>
      <c r="AF296" s="84" t="n">
        <v>0.8</v>
      </c>
      <c r="AG296" s="84" t="n">
        <v>0.9</v>
      </c>
      <c r="AH296" s="84" t="n">
        <v>0</v>
      </c>
      <c r="AI296" s="84" t="n">
        <v>0</v>
      </c>
      <c r="AJ296" s="84">
        <f>SUMIFS(AH$8:AH$1039,$O$8:$O$1039,O296,$AB$8:$AB$1039,AB296,$R$8:$R$1039,R296,$AA$8:$AA$1039,"&lt;="&amp;AA296)</f>
        <v/>
      </c>
      <c r="AK296" s="84">
        <f>C37</f>
        <v/>
      </c>
      <c r="AL296" s="84">
        <f>C43</f>
        <v/>
      </c>
      <c r="AM296" s="84">
        <f>MAX(0,AJ296-AK296)</f>
        <v/>
      </c>
      <c r="AN296" s="84">
        <f>IF(AM296=0,AH296,IF(AM296&gt;=AH296,0,AH296-AM296))</f>
        <v/>
      </c>
      <c r="AO296" s="84">
        <f>IF(AM296&gt;=AH296,AI296,AI296*AM296/AH296)</f>
        <v/>
      </c>
      <c r="AP296">
        <f t="array" ref="AP296">INDEX($AU$8:$BB$25,6*(R296-1)+MATCH(AB296,$AS$8:$AS$13,0),MATCH(O296,$AU$7:$BB$7,0))</f>
        <v/>
      </c>
    </row>
    <row r="297" ht="14.25" customHeight="1">
      <c r="O297" s="43" t="inlineStr">
        <is>
          <t>Q3’26</t>
        </is>
      </c>
      <c r="P297" s="43" t="n">
        <v>1</v>
      </c>
      <c r="Q297" s="43" t="n">
        <v>11</v>
      </c>
      <c r="R297" s="43" t="n">
        <v>2</v>
      </c>
      <c r="S297" s="45" t="n">
        <v>1807.994208144835</v>
      </c>
      <c r="T297">
        <f>(S296+S297+S298)=P2</f>
        <v/>
      </c>
      <c r="X297" s="84">
        <f>MAX(S294-S297,0)</f>
        <v/>
      </c>
      <c r="Y297" s="83" t="n">
        <v>0</v>
      </c>
      <c r="AA297" s="84" t="n">
        <v>3</v>
      </c>
      <c r="AB297" s="84" t="inlineStr">
        <is>
          <t>F</t>
        </is>
      </c>
      <c r="AC297" s="84" t="inlineStr">
        <is>
          <t>F+</t>
        </is>
      </c>
      <c r="AD297" s="84" t="n">
        <v>18</v>
      </c>
      <c r="AE297" s="84" t="n">
        <v>16</v>
      </c>
      <c r="AF297" s="84" t="n">
        <v>0.8</v>
      </c>
      <c r="AG297" s="84" t="n">
        <v>0.9</v>
      </c>
      <c r="AH297" s="84" t="n">
        <v>0</v>
      </c>
      <c r="AI297" s="84" t="n">
        <v>0</v>
      </c>
      <c r="AJ297" s="84">
        <f>SUMIFS(AH$8:AH$1039,$O$8:$O$1039,O297,$AB$8:$AB$1039,AB297,$R$8:$R$1039,R297,$AA$8:$AA$1039,"&lt;="&amp;AA297)</f>
        <v/>
      </c>
      <c r="AK297" s="84">
        <f>D37</f>
        <v/>
      </c>
      <c r="AL297" s="84">
        <f>D43</f>
        <v/>
      </c>
      <c r="AM297" s="84">
        <f>MAX(0,AJ297-AK297)</f>
        <v/>
      </c>
      <c r="AN297" s="84">
        <f>IF(AM297=0,AH297,IF(AM297&gt;=AH297,0,AH297-AM297))</f>
        <v/>
      </c>
      <c r="AO297" s="84">
        <f>IF(AM297&gt;=AH297,AI297,AI297*AM297/AH297)</f>
        <v/>
      </c>
      <c r="AP297">
        <f t="array" ref="AP297">INDEX($AU$8:$BB$25,6*(R297-1)+MATCH(AB297,$AS$8:$AS$13,0),MATCH(O297,$AU$7:$BB$7,0))</f>
        <v/>
      </c>
    </row>
    <row r="298" ht="14.25" customHeight="1">
      <c r="O298" s="43" t="inlineStr">
        <is>
          <t>Q3’26</t>
        </is>
      </c>
      <c r="P298" s="43" t="n">
        <v>1</v>
      </c>
      <c r="Q298" s="43" t="n">
        <v>11</v>
      </c>
      <c r="R298" s="43" t="n">
        <v>3</v>
      </c>
      <c r="S298" s="45" t="n">
        <v>573.5781922525</v>
      </c>
      <c r="T298">
        <f>(S296+S297+S298)=P2</f>
        <v/>
      </c>
      <c r="X298" s="84">
        <f>MAX(S295-S298,0)</f>
        <v/>
      </c>
      <c r="Y298" s="83" t="n">
        <v>0</v>
      </c>
      <c r="AA298" s="84" t="n">
        <v>3</v>
      </c>
      <c r="AB298" s="84" t="inlineStr">
        <is>
          <t>F</t>
        </is>
      </c>
      <c r="AC298" s="84" t="inlineStr">
        <is>
          <t>F+</t>
        </is>
      </c>
      <c r="AD298" s="84" t="n">
        <v>18</v>
      </c>
      <c r="AE298" s="84" t="n">
        <v>16</v>
      </c>
      <c r="AF298" s="84" t="n">
        <v>0.8</v>
      </c>
      <c r="AG298" s="84" t="n">
        <v>0.9</v>
      </c>
      <c r="AH298" s="84" t="n">
        <v>0</v>
      </c>
      <c r="AI298" s="84" t="n">
        <v>0</v>
      </c>
      <c r="AJ298" s="84">
        <f>SUMIFS(AH$8:AH$1039,$O$8:$O$1039,O298,$AB$8:$AB$1039,AB298,$R$8:$R$1039,R298,$AA$8:$AA$1039,"&lt;="&amp;AA298)</f>
        <v/>
      </c>
      <c r="AK298" s="84">
        <f>E37</f>
        <v/>
      </c>
      <c r="AL298" s="84">
        <f>E43</f>
        <v/>
      </c>
      <c r="AM298" s="84">
        <f>MAX(0,AJ298-AK298)</f>
        <v/>
      </c>
      <c r="AN298" s="84">
        <f>IF(AM298=0,AH298,IF(AM298&gt;=AH298,0,AH298-AM298))</f>
        <v/>
      </c>
      <c r="AO298" s="84">
        <f>IF(AM298&gt;=AH298,AI298,AI298*AM298/AH298)</f>
        <v/>
      </c>
      <c r="AP298">
        <f t="array" ref="AP298">INDEX($AU$8:$BB$25,6*(R298-1)+MATCH(AB298,$AS$8:$AS$13,0),MATCH(O298,$AU$7:$BB$7,0))</f>
        <v/>
      </c>
    </row>
    <row r="299" ht="14.25" customHeight="1">
      <c r="O299" s="43" t="inlineStr">
        <is>
          <t>Q3’26</t>
        </is>
      </c>
      <c r="P299" s="43" t="n">
        <v>2</v>
      </c>
      <c r="Q299" s="43" t="n">
        <v>1</v>
      </c>
      <c r="R299" s="43" t="n">
        <v>1</v>
      </c>
      <c r="S299" s="45" t="n">
        <v>3563.162790697632</v>
      </c>
      <c r="T299">
        <f>(S299+S300+S301)=P3</f>
        <v/>
      </c>
      <c r="X299" s="84" t="n">
        <v>0</v>
      </c>
      <c r="Y299" s="83" t="n">
        <v>0</v>
      </c>
      <c r="AA299" s="84" t="n">
        <v>9</v>
      </c>
      <c r="AB299" s="84" t="inlineStr">
        <is>
          <t>F</t>
        </is>
      </c>
      <c r="AC299" s="84" t="inlineStr">
        <is>
          <t>F+</t>
        </is>
      </c>
      <c r="AD299" s="84" t="n">
        <v>19</v>
      </c>
      <c r="AE299" s="84" t="n">
        <v>16</v>
      </c>
      <c r="AF299" s="84" t="n">
        <v>0.8</v>
      </c>
      <c r="AG299" s="84" t="n">
        <v>0.9</v>
      </c>
      <c r="AH299" s="84" t="n">
        <v>0</v>
      </c>
      <c r="AI299" s="84" t="n">
        <v>0</v>
      </c>
      <c r="AJ299" s="84">
        <f>SUMIFS(AH$8:AH$1039,$O$8:$O$1039,O299,$AB$8:$AB$1039,AB299,$R$8:$R$1039,R299,$AA$8:$AA$1039,"&lt;="&amp;AA299)</f>
        <v/>
      </c>
      <c r="AK299" s="84">
        <f>C37</f>
        <v/>
      </c>
      <c r="AL299" s="84">
        <f>C43</f>
        <v/>
      </c>
      <c r="AM299" s="84">
        <f>MAX(0,AJ299-AK299)</f>
        <v/>
      </c>
      <c r="AN299" s="84">
        <f>IF(AM299=0,AH299,IF(AM299&gt;=AH299,0,AH299-AM299))</f>
        <v/>
      </c>
      <c r="AO299" s="84">
        <f>IF(AM299&gt;=AH299,AI299,AI299*AM299/AH299)</f>
        <v/>
      </c>
      <c r="AP299">
        <f t="array" ref="AP299">INDEX($AU$8:$BB$25,6*(R299-1)+MATCH(AB299,$AS$8:$AS$13,0),MATCH(O299,$AU$7:$BB$7,0))</f>
        <v/>
      </c>
    </row>
    <row r="300" ht="14.25" customHeight="1">
      <c r="O300" s="43" t="inlineStr">
        <is>
          <t>Q3’26</t>
        </is>
      </c>
      <c r="P300" s="43" t="n">
        <v>2</v>
      </c>
      <c r="Q300" s="43" t="n">
        <v>1</v>
      </c>
      <c r="R300" s="43" t="n">
        <v>2</v>
      </c>
      <c r="S300" s="45" t="n">
        <v>1836.837209302368</v>
      </c>
      <c r="T300">
        <f>(S299+S300+S301)=P3</f>
        <v/>
      </c>
      <c r="X300" s="84" t="n">
        <v>0</v>
      </c>
      <c r="Y300" s="83" t="n">
        <v>0</v>
      </c>
      <c r="AA300" s="84" t="n">
        <v>9</v>
      </c>
      <c r="AB300" s="84" t="inlineStr">
        <is>
          <t>F</t>
        </is>
      </c>
      <c r="AC300" s="84" t="inlineStr">
        <is>
          <t>F+</t>
        </is>
      </c>
      <c r="AD300" s="84" t="n">
        <v>19</v>
      </c>
      <c r="AE300" s="84" t="n">
        <v>16</v>
      </c>
      <c r="AF300" s="84" t="n">
        <v>0.8</v>
      </c>
      <c r="AG300" s="84" t="n">
        <v>0.9</v>
      </c>
      <c r="AH300" s="84" t="n">
        <v>0</v>
      </c>
      <c r="AI300" s="84" t="n">
        <v>0</v>
      </c>
      <c r="AJ300" s="84">
        <f>SUMIFS(AH$8:AH$1039,$O$8:$O$1039,O300,$AB$8:$AB$1039,AB300,$R$8:$R$1039,R300,$AA$8:$AA$1039,"&lt;="&amp;AA300)</f>
        <v/>
      </c>
      <c r="AK300" s="84">
        <f>D37</f>
        <v/>
      </c>
      <c r="AL300" s="84">
        <f>D43</f>
        <v/>
      </c>
      <c r="AM300" s="84">
        <f>MAX(0,AJ300-AK300)</f>
        <v/>
      </c>
      <c r="AN300" s="84">
        <f>IF(AM300=0,AH300,IF(AM300&gt;=AH300,0,AH300-AM300))</f>
        <v/>
      </c>
      <c r="AO300" s="84">
        <f>IF(AM300&gt;=AH300,AI300,AI300*AM300/AH300)</f>
        <v/>
      </c>
      <c r="AP300">
        <f t="array" ref="AP300">INDEX($AU$8:$BB$25,6*(R300-1)+MATCH(AB300,$AS$8:$AS$13,0),MATCH(O300,$AU$7:$BB$7,0))</f>
        <v/>
      </c>
    </row>
    <row r="301" ht="14.25" customHeight="1">
      <c r="O301" s="43" t="inlineStr">
        <is>
          <t>Q3’26</t>
        </is>
      </c>
      <c r="P301" s="43" t="n">
        <v>2</v>
      </c>
      <c r="Q301" s="43" t="n">
        <v>1</v>
      </c>
      <c r="R301" s="43" t="n">
        <v>3</v>
      </c>
      <c r="S301" s="45" t="n">
        <v>0</v>
      </c>
      <c r="T301">
        <f>(S299+S300+S301)=P3</f>
        <v/>
      </c>
      <c r="X301" s="84" t="n">
        <v>0</v>
      </c>
      <c r="Y301" s="83" t="n">
        <v>0</v>
      </c>
      <c r="AA301" s="84" t="n">
        <v>9</v>
      </c>
      <c r="AB301" s="84" t="inlineStr">
        <is>
          <t>F</t>
        </is>
      </c>
      <c r="AC301" s="84" t="inlineStr">
        <is>
          <t>F+</t>
        </is>
      </c>
      <c r="AD301" s="84" t="n">
        <v>19</v>
      </c>
      <c r="AE301" s="84" t="n">
        <v>16</v>
      </c>
      <c r="AF301" s="84" t="n">
        <v>0.8</v>
      </c>
      <c r="AG301" s="84" t="n">
        <v>0.9</v>
      </c>
      <c r="AH301" s="84" t="n">
        <v>0</v>
      </c>
      <c r="AI301" s="84" t="n">
        <v>0</v>
      </c>
      <c r="AJ301" s="84">
        <f>SUMIFS(AH$8:AH$1039,$O$8:$O$1039,O301,$AB$8:$AB$1039,AB301,$R$8:$R$1039,R301,$AA$8:$AA$1039,"&lt;="&amp;AA301)</f>
        <v/>
      </c>
      <c r="AK301" s="84">
        <f>E37</f>
        <v/>
      </c>
      <c r="AL301" s="84">
        <f>E43</f>
        <v/>
      </c>
      <c r="AM301" s="84">
        <f>MAX(0,AJ301-AK301)</f>
        <v/>
      </c>
      <c r="AN301" s="84">
        <f>IF(AM301=0,AH301,IF(AM301&gt;=AH301,0,AH301-AM301))</f>
        <v/>
      </c>
      <c r="AO301" s="84">
        <f>IF(AM301&gt;=AH301,AI301,AI301*AM301/AH301)</f>
        <v/>
      </c>
      <c r="AP301">
        <f t="array" ref="AP301">INDEX($AU$8:$BB$25,6*(R301-1)+MATCH(AB301,$AS$8:$AS$13,0),MATCH(O301,$AU$7:$BB$7,0))</f>
        <v/>
      </c>
    </row>
    <row r="302" ht="14.25" customHeight="1">
      <c r="O302" s="43" t="inlineStr">
        <is>
          <t>Q3’26</t>
        </is>
      </c>
      <c r="P302" s="43" t="n">
        <v>2</v>
      </c>
      <c r="Q302" s="43" t="n">
        <v>2</v>
      </c>
      <c r="R302" s="43" t="n">
        <v>1</v>
      </c>
      <c r="S302" s="45" t="n">
        <v>3563.162790697632</v>
      </c>
      <c r="T302">
        <f>(S302+S303+S304)=P3</f>
        <v/>
      </c>
      <c r="X302" s="84">
        <f>MAX(S299-S302,0)</f>
        <v/>
      </c>
      <c r="Y302" s="83" t="n">
        <v>0</v>
      </c>
      <c r="AA302" s="84" t="n">
        <v>1</v>
      </c>
      <c r="AB302" s="84" t="inlineStr">
        <is>
          <t>B</t>
        </is>
      </c>
      <c r="AC302" s="84" t="inlineStr">
        <is>
          <t>B+</t>
        </is>
      </c>
      <c r="AD302" s="84" t="n">
        <v>20</v>
      </c>
      <c r="AE302" s="84" t="n">
        <v>18</v>
      </c>
      <c r="AF302" s="84" t="n">
        <v>0.76</v>
      </c>
      <c r="AG302" s="84" t="n">
        <v>0.8100000000000001</v>
      </c>
      <c r="AH302" s="84" t="n">
        <v>0</v>
      </c>
      <c r="AI302" s="84" t="n">
        <v>0</v>
      </c>
      <c r="AJ302" s="84">
        <f>SUMIFS(AH$8:AH$1039,$O$8:$O$1039,O302,$AB$8:$AB$1039,AB302,$R$8:$R$1039,R302,$AA$8:$AA$1039,"&lt;="&amp;AA302)</f>
        <v/>
      </c>
      <c r="AK302" s="84">
        <f>C33</f>
        <v/>
      </c>
      <c r="AL302" s="84">
        <f>C39</f>
        <v/>
      </c>
      <c r="AM302" s="84">
        <f>MAX(0,AJ302-AK302)</f>
        <v/>
      </c>
      <c r="AN302" s="84">
        <f>IF(AM302=0,AH302,IF(AM302&gt;=AH302,0,AH302-AM302))</f>
        <v/>
      </c>
      <c r="AO302" s="84">
        <f>IF(AM302&gt;=AH302,AI302,AI302*AM302/AH302)</f>
        <v/>
      </c>
      <c r="AP302">
        <f t="array" ref="AP302">INDEX($AU$8:$BB$25,6*(R302-1)+MATCH(AB302,$AS$8:$AS$13,0),MATCH(O302,$AU$7:$BB$7,0))</f>
        <v/>
      </c>
    </row>
    <row r="303" ht="14.25" customHeight="1">
      <c r="O303" s="43" t="inlineStr">
        <is>
          <t>Q3’26</t>
        </is>
      </c>
      <c r="P303" s="43" t="n">
        <v>2</v>
      </c>
      <c r="Q303" s="43" t="n">
        <v>2</v>
      </c>
      <c r="R303" s="43" t="n">
        <v>2</v>
      </c>
      <c r="S303" s="45" t="n">
        <v>1836.837209302368</v>
      </c>
      <c r="T303">
        <f>(S302+S303+S304)=P3</f>
        <v/>
      </c>
      <c r="X303" s="84">
        <f>MAX(S300-S303,0)</f>
        <v/>
      </c>
      <c r="Y303" s="83" t="n">
        <v>0</v>
      </c>
      <c r="AA303" s="84" t="n">
        <v>1</v>
      </c>
      <c r="AB303" s="84" t="inlineStr">
        <is>
          <t>B</t>
        </is>
      </c>
      <c r="AC303" s="84" t="inlineStr">
        <is>
          <t>B+</t>
        </is>
      </c>
      <c r="AD303" s="84" t="n">
        <v>20</v>
      </c>
      <c r="AE303" s="84" t="n">
        <v>18</v>
      </c>
      <c r="AF303" s="84" t="n">
        <v>0.76</v>
      </c>
      <c r="AG303" s="84" t="n">
        <v>0.8100000000000001</v>
      </c>
      <c r="AH303" s="84" t="n">
        <v>0</v>
      </c>
      <c r="AI303" s="84" t="n">
        <v>0</v>
      </c>
      <c r="AJ303" s="84">
        <f>SUMIFS(AH$8:AH$1039,$O$8:$O$1039,O303,$AB$8:$AB$1039,AB303,$R$8:$R$1039,R303,$AA$8:$AA$1039,"&lt;="&amp;AA303)</f>
        <v/>
      </c>
      <c r="AK303" s="84">
        <f>D33</f>
        <v/>
      </c>
      <c r="AL303" s="84">
        <f>D39</f>
        <v/>
      </c>
      <c r="AM303" s="84">
        <f>MAX(0,AJ303-AK303)</f>
        <v/>
      </c>
      <c r="AN303" s="84">
        <f>IF(AM303=0,AH303,IF(AM303&gt;=AH303,0,AH303-AM303))</f>
        <v/>
      </c>
      <c r="AO303" s="84">
        <f>IF(AM303&gt;=AH303,AI303,AI303*AM303/AH303)</f>
        <v/>
      </c>
      <c r="AP303">
        <f t="array" ref="AP303">INDEX($AU$8:$BB$25,6*(R303-1)+MATCH(AB303,$AS$8:$AS$13,0),MATCH(O303,$AU$7:$BB$7,0))</f>
        <v/>
      </c>
    </row>
    <row r="304" ht="14.25" customHeight="1">
      <c r="O304" s="43" t="inlineStr">
        <is>
          <t>Q3’26</t>
        </is>
      </c>
      <c r="P304" s="43" t="n">
        <v>2</v>
      </c>
      <c r="Q304" s="43" t="n">
        <v>2</v>
      </c>
      <c r="R304" s="43" t="n">
        <v>3</v>
      </c>
      <c r="S304" s="45" t="n">
        <v>0</v>
      </c>
      <c r="T304">
        <f>(S302+S303+S304)=P3</f>
        <v/>
      </c>
      <c r="X304" s="84">
        <f>MAX(S301-S304,0)</f>
        <v/>
      </c>
      <c r="Y304" s="83" t="n">
        <v>0</v>
      </c>
      <c r="AA304" s="84" t="n">
        <v>1</v>
      </c>
      <c r="AB304" s="84" t="inlineStr">
        <is>
          <t>B</t>
        </is>
      </c>
      <c r="AC304" s="84" t="inlineStr">
        <is>
          <t>B+</t>
        </is>
      </c>
      <c r="AD304" s="84" t="n">
        <v>20</v>
      </c>
      <c r="AE304" s="84" t="n">
        <v>18</v>
      </c>
      <c r="AF304" s="84" t="n">
        <v>0.76</v>
      </c>
      <c r="AG304" s="84" t="n">
        <v>0.8100000000000001</v>
      </c>
      <c r="AH304" s="84" t="n">
        <v>0</v>
      </c>
      <c r="AI304" s="84" t="n">
        <v>0</v>
      </c>
      <c r="AJ304" s="84">
        <f>SUMIFS(AH$8:AH$1039,$O$8:$O$1039,O304,$AB$8:$AB$1039,AB304,$R$8:$R$1039,R304,$AA$8:$AA$1039,"&lt;="&amp;AA304)</f>
        <v/>
      </c>
      <c r="AK304" s="84">
        <f>E33</f>
        <v/>
      </c>
      <c r="AL304" s="84">
        <f>E39</f>
        <v/>
      </c>
      <c r="AM304" s="84">
        <f>MAX(0,AJ304-AK304)</f>
        <v/>
      </c>
      <c r="AN304" s="84">
        <f>IF(AM304=0,AH304,IF(AM304&gt;=AH304,0,AH304-AM304))</f>
        <v/>
      </c>
      <c r="AO304" s="84">
        <f>IF(AM304&gt;=AH304,AI304,AI304*AM304/AH304)</f>
        <v/>
      </c>
      <c r="AP304">
        <f t="array" ref="AP304">INDEX($AU$8:$BB$25,6*(R304-1)+MATCH(AB304,$AS$8:$AS$13,0),MATCH(O304,$AU$7:$BB$7,0))</f>
        <v/>
      </c>
    </row>
    <row r="305" ht="14.25" customHeight="1">
      <c r="O305" s="43" t="inlineStr">
        <is>
          <t>Q3’26</t>
        </is>
      </c>
      <c r="P305" s="43" t="n">
        <v>2</v>
      </c>
      <c r="Q305" s="43" t="n">
        <v>3</v>
      </c>
      <c r="R305" s="43" t="n">
        <v>1</v>
      </c>
      <c r="S305" s="45" t="n">
        <v>3563.162790697626</v>
      </c>
      <c r="T305">
        <f>(S305+S306+S307)=P3</f>
        <v/>
      </c>
      <c r="X305" s="84">
        <f>MAX(S302-S305,0)</f>
        <v/>
      </c>
      <c r="Y305" s="83" t="n">
        <v>0</v>
      </c>
      <c r="AA305" s="84" t="n">
        <v>11</v>
      </c>
      <c r="AB305" s="84" t="inlineStr">
        <is>
          <t>E</t>
        </is>
      </c>
      <c r="AC305" s="84" t="inlineStr">
        <is>
          <t>E+</t>
        </is>
      </c>
      <c r="AD305" s="84" t="n">
        <v>10</v>
      </c>
      <c r="AE305" s="84" t="n">
        <v>7</v>
      </c>
      <c r="AF305" s="84" t="n">
        <v>0.76</v>
      </c>
      <c r="AG305" s="84" t="n">
        <v>0.84</v>
      </c>
      <c r="AH305" s="84" t="n">
        <v>0</v>
      </c>
      <c r="AI305" s="84" t="n">
        <v>0</v>
      </c>
      <c r="AJ305" s="84">
        <f>SUMIFS(AH$8:AH$1039,$O$8:$O$1039,O305,$AB$8:$AB$1039,AB305,$R$8:$R$1039,R305,$AA$8:$AA$1039,"&lt;="&amp;AA305)</f>
        <v/>
      </c>
      <c r="AK305" s="84">
        <f>C36</f>
        <v/>
      </c>
      <c r="AL305" s="84">
        <f>C42</f>
        <v/>
      </c>
      <c r="AM305" s="84">
        <f>MAX(0,AJ305-AK305)</f>
        <v/>
      </c>
      <c r="AN305" s="84">
        <f>IF(AM305=0,AH305,IF(AM305&gt;=AH305,0,AH305-AM305))</f>
        <v/>
      </c>
      <c r="AO305" s="84">
        <f>IF(AM305&gt;=AH305,AI305,AI305*AM305/AH305)</f>
        <v/>
      </c>
      <c r="AP305">
        <f t="array" ref="AP305">INDEX($AU$8:$BB$25,6*(R305-1)+MATCH(AB305,$AS$8:$AS$13,0),MATCH(O305,$AU$7:$BB$7,0))</f>
        <v/>
      </c>
    </row>
    <row r="306" ht="14.25" customHeight="1">
      <c r="O306" s="43" t="inlineStr">
        <is>
          <t>Q3’26</t>
        </is>
      </c>
      <c r="P306" s="43" t="n">
        <v>2</v>
      </c>
      <c r="Q306" s="43" t="n">
        <v>3</v>
      </c>
      <c r="R306" s="43" t="n">
        <v>2</v>
      </c>
      <c r="S306" s="45" t="n">
        <v>1836.837209302374</v>
      </c>
      <c r="T306">
        <f>(S305+S306+S307)=P3</f>
        <v/>
      </c>
      <c r="X306" s="84">
        <f>MAX(S303-S306,0)</f>
        <v/>
      </c>
      <c r="Y306" s="83" t="n">
        <v>0</v>
      </c>
      <c r="AA306" s="84" t="n">
        <v>11</v>
      </c>
      <c r="AB306" s="84" t="inlineStr">
        <is>
          <t>E</t>
        </is>
      </c>
      <c r="AC306" s="84" t="inlineStr">
        <is>
          <t>E+</t>
        </is>
      </c>
      <c r="AD306" s="84" t="n">
        <v>10</v>
      </c>
      <c r="AE306" s="84" t="n">
        <v>7</v>
      </c>
      <c r="AF306" s="84" t="n">
        <v>0.76</v>
      </c>
      <c r="AG306" s="84" t="n">
        <v>0.84</v>
      </c>
      <c r="AH306" s="84" t="n">
        <v>0</v>
      </c>
      <c r="AI306" s="84" t="n">
        <v>0</v>
      </c>
      <c r="AJ306" s="84">
        <f>SUMIFS(AH$8:AH$1039,$O$8:$O$1039,O306,$AB$8:$AB$1039,AB306,$R$8:$R$1039,R306,$AA$8:$AA$1039,"&lt;="&amp;AA306)</f>
        <v/>
      </c>
      <c r="AK306" s="84">
        <f>D36</f>
        <v/>
      </c>
      <c r="AL306" s="84">
        <f>D42</f>
        <v/>
      </c>
      <c r="AM306" s="84">
        <f>MAX(0,AJ306-AK306)</f>
        <v/>
      </c>
      <c r="AN306" s="84">
        <f>IF(AM306=0,AH306,IF(AM306&gt;=AH306,0,AH306-AM306))</f>
        <v/>
      </c>
      <c r="AO306" s="84">
        <f>IF(AM306&gt;=AH306,AI306,AI306*AM306/AH306)</f>
        <v/>
      </c>
      <c r="AP306">
        <f t="array" ref="AP306">INDEX($AU$8:$BB$25,6*(R306-1)+MATCH(AB306,$AS$8:$AS$13,0),MATCH(O306,$AU$7:$BB$7,0))</f>
        <v/>
      </c>
    </row>
    <row r="307" ht="14.25" customHeight="1">
      <c r="O307" s="43" t="inlineStr">
        <is>
          <t>Q3’26</t>
        </is>
      </c>
      <c r="P307" s="43" t="n">
        <v>2</v>
      </c>
      <c r="Q307" s="43" t="n">
        <v>3</v>
      </c>
      <c r="R307" s="43" t="n">
        <v>3</v>
      </c>
      <c r="S307" s="45" t="n">
        <v>0</v>
      </c>
      <c r="T307">
        <f>(S305+S306+S307)=P3</f>
        <v/>
      </c>
      <c r="X307" s="84">
        <f>MAX(S304-S307,0)</f>
        <v/>
      </c>
      <c r="Y307" s="83" t="n">
        <v>0</v>
      </c>
      <c r="AA307" s="84" t="n">
        <v>11</v>
      </c>
      <c r="AB307" s="84" t="inlineStr">
        <is>
          <t>E</t>
        </is>
      </c>
      <c r="AC307" s="84" t="inlineStr">
        <is>
          <t>E+</t>
        </is>
      </c>
      <c r="AD307" s="84" t="n">
        <v>10</v>
      </c>
      <c r="AE307" s="84" t="n">
        <v>7</v>
      </c>
      <c r="AF307" s="84" t="n">
        <v>0.76</v>
      </c>
      <c r="AG307" s="84" t="n">
        <v>0.84</v>
      </c>
      <c r="AH307" s="84" t="n">
        <v>0</v>
      </c>
      <c r="AI307" s="84" t="n">
        <v>0</v>
      </c>
      <c r="AJ307" s="84">
        <f>SUMIFS(AH$8:AH$1039,$O$8:$O$1039,O307,$AB$8:$AB$1039,AB307,$R$8:$R$1039,R307,$AA$8:$AA$1039,"&lt;="&amp;AA307)</f>
        <v/>
      </c>
      <c r="AK307" s="84">
        <f>E36</f>
        <v/>
      </c>
      <c r="AL307" s="84">
        <f>E42</f>
        <v/>
      </c>
      <c r="AM307" s="84">
        <f>MAX(0,AJ307-AK307)</f>
        <v/>
      </c>
      <c r="AN307" s="84">
        <f>IF(AM307=0,AH307,IF(AM307&gt;=AH307,0,AH307-AM307))</f>
        <v/>
      </c>
      <c r="AO307" s="84">
        <f>IF(AM307&gt;=AH307,AI307,AI307*AM307/AH307)</f>
        <v/>
      </c>
      <c r="AP307">
        <f t="array" ref="AP307">INDEX($AU$8:$BB$25,6*(R307-1)+MATCH(AB307,$AS$8:$AS$13,0),MATCH(O307,$AU$7:$BB$7,0))</f>
        <v/>
      </c>
    </row>
    <row r="308" ht="14.25" customHeight="1">
      <c r="O308" s="43" t="inlineStr">
        <is>
          <t>Q3’26</t>
        </is>
      </c>
      <c r="P308" s="43" t="n">
        <v>2</v>
      </c>
      <c r="Q308" s="43" t="n">
        <v>4</v>
      </c>
      <c r="R308" s="43" t="n">
        <v>1</v>
      </c>
      <c r="S308" s="45" t="n">
        <v>3563.162790697626</v>
      </c>
      <c r="T308">
        <f>(S308+S309+S310)=P3</f>
        <v/>
      </c>
      <c r="X308" s="84">
        <f>MAX(S305-S308,0)</f>
        <v/>
      </c>
      <c r="Y308" s="83" t="n">
        <v>0</v>
      </c>
      <c r="AA308" s="84" t="n">
        <v>2</v>
      </c>
      <c r="AB308" s="84" t="inlineStr">
        <is>
          <t>B</t>
        </is>
      </c>
      <c r="AC308" s="84" t="inlineStr">
        <is>
          <t>B+</t>
        </is>
      </c>
      <c r="AD308" s="84" t="n">
        <v>25</v>
      </c>
      <c r="AE308" s="84" t="n">
        <v>19</v>
      </c>
      <c r="AF308" s="84" t="n">
        <v>0.76</v>
      </c>
      <c r="AG308" s="84" t="n">
        <v>0.8100000000000001</v>
      </c>
      <c r="AH308" s="84" t="n">
        <v>0</v>
      </c>
      <c r="AI308" s="84" t="n">
        <v>0</v>
      </c>
      <c r="AJ308" s="84">
        <f>SUMIFS(AH$8:AH$1039,$O$8:$O$1039,O308,$AB$8:$AB$1039,AB308,$R$8:$R$1039,R308,$AA$8:$AA$1039,"&lt;="&amp;AA308)</f>
        <v/>
      </c>
      <c r="AK308" s="84">
        <f>C33</f>
        <v/>
      </c>
      <c r="AL308" s="84">
        <f>C39</f>
        <v/>
      </c>
      <c r="AM308" s="84">
        <f>MAX(0,AJ308-AK308)</f>
        <v/>
      </c>
      <c r="AN308" s="84">
        <f>IF(AM308=0,AH308,IF(AM308&gt;=AH308,0,AH308-AM308))</f>
        <v/>
      </c>
      <c r="AO308" s="84">
        <f>IF(AM308&gt;=AH308,AI308,AI308*AM308/AH308)</f>
        <v/>
      </c>
      <c r="AP308">
        <f t="array" ref="AP308">INDEX($AU$8:$BB$25,6*(R308-1)+MATCH(AB308,$AS$8:$AS$13,0),MATCH(O308,$AU$7:$BB$7,0))</f>
        <v/>
      </c>
    </row>
    <row r="309" ht="14.25" customHeight="1">
      <c r="O309" s="43" t="inlineStr">
        <is>
          <t>Q3’26</t>
        </is>
      </c>
      <c r="P309" s="43" t="n">
        <v>2</v>
      </c>
      <c r="Q309" s="43" t="n">
        <v>4</v>
      </c>
      <c r="R309" s="43" t="n">
        <v>2</v>
      </c>
      <c r="S309" s="45" t="n">
        <v>1836.837209302374</v>
      </c>
      <c r="T309">
        <f>(S308+S309+S310)=P3</f>
        <v/>
      </c>
      <c r="X309" s="84">
        <f>MAX(S306-S309,0)</f>
        <v/>
      </c>
      <c r="Y309" s="83" t="n">
        <v>0</v>
      </c>
      <c r="AA309" s="84" t="n">
        <v>2</v>
      </c>
      <c r="AB309" s="84" t="inlineStr">
        <is>
          <t>B</t>
        </is>
      </c>
      <c r="AC309" s="84" t="inlineStr">
        <is>
          <t>B+</t>
        </is>
      </c>
      <c r="AD309" s="84" t="n">
        <v>25</v>
      </c>
      <c r="AE309" s="84" t="n">
        <v>19</v>
      </c>
      <c r="AF309" s="84" t="n">
        <v>0.76</v>
      </c>
      <c r="AG309" s="84" t="n">
        <v>0.8100000000000001</v>
      </c>
      <c r="AH309" s="84" t="n">
        <v>0</v>
      </c>
      <c r="AI309" s="84" t="n">
        <v>0</v>
      </c>
      <c r="AJ309" s="84">
        <f>SUMIFS(AH$8:AH$1039,$O$8:$O$1039,O309,$AB$8:$AB$1039,AB309,$R$8:$R$1039,R309,$AA$8:$AA$1039,"&lt;="&amp;AA309)</f>
        <v/>
      </c>
      <c r="AK309" s="84">
        <f>D33</f>
        <v/>
      </c>
      <c r="AL309" s="84">
        <f>D39</f>
        <v/>
      </c>
      <c r="AM309" s="84">
        <f>MAX(0,AJ309-AK309)</f>
        <v/>
      </c>
      <c r="AN309" s="84">
        <f>IF(AM309=0,AH309,IF(AM309&gt;=AH309,0,AH309-AM309))</f>
        <v/>
      </c>
      <c r="AO309" s="84">
        <f>IF(AM309&gt;=AH309,AI309,AI309*AM309/AH309)</f>
        <v/>
      </c>
      <c r="AP309">
        <f t="array" ref="AP309">INDEX($AU$8:$BB$25,6*(R309-1)+MATCH(AB309,$AS$8:$AS$13,0),MATCH(O309,$AU$7:$BB$7,0))</f>
        <v/>
      </c>
    </row>
    <row r="310" ht="14.25" customHeight="1">
      <c r="O310" s="43" t="inlineStr">
        <is>
          <t>Q3’26</t>
        </is>
      </c>
      <c r="P310" s="43" t="n">
        <v>2</v>
      </c>
      <c r="Q310" s="43" t="n">
        <v>4</v>
      </c>
      <c r="R310" s="43" t="n">
        <v>3</v>
      </c>
      <c r="S310" s="45" t="n">
        <v>0</v>
      </c>
      <c r="T310">
        <f>(S308+S309+S310)=P3</f>
        <v/>
      </c>
      <c r="X310" s="84">
        <f>MAX(S307-S310,0)</f>
        <v/>
      </c>
      <c r="Y310" s="83" t="n">
        <v>0</v>
      </c>
      <c r="AA310" s="84" t="n">
        <v>2</v>
      </c>
      <c r="AB310" s="84" t="inlineStr">
        <is>
          <t>B</t>
        </is>
      </c>
      <c r="AC310" s="84" t="inlineStr">
        <is>
          <t>B+</t>
        </is>
      </c>
      <c r="AD310" s="84" t="n">
        <v>25</v>
      </c>
      <c r="AE310" s="84" t="n">
        <v>19</v>
      </c>
      <c r="AF310" s="84" t="n">
        <v>0.76</v>
      </c>
      <c r="AG310" s="84" t="n">
        <v>0.8100000000000001</v>
      </c>
      <c r="AH310" s="84" t="n">
        <v>0</v>
      </c>
      <c r="AI310" s="84" t="n">
        <v>0</v>
      </c>
      <c r="AJ310" s="84">
        <f>SUMIFS(AH$8:AH$1039,$O$8:$O$1039,O310,$AB$8:$AB$1039,AB310,$R$8:$R$1039,R310,$AA$8:$AA$1039,"&lt;="&amp;AA310)</f>
        <v/>
      </c>
      <c r="AK310" s="84">
        <f>E33</f>
        <v/>
      </c>
      <c r="AL310" s="84">
        <f>E39</f>
        <v/>
      </c>
      <c r="AM310" s="84">
        <f>MAX(0,AJ310-AK310)</f>
        <v/>
      </c>
      <c r="AN310" s="84">
        <f>IF(AM310=0,AH310,IF(AM310&gt;=AH310,0,AH310-AM310))</f>
        <v/>
      </c>
      <c r="AO310" s="84">
        <f>IF(AM310&gt;=AH310,AI310,AI310*AM310/AH310)</f>
        <v/>
      </c>
      <c r="AP310">
        <f t="array" ref="AP310">INDEX($AU$8:$BB$25,6*(R310-1)+MATCH(AB310,$AS$8:$AS$13,0),MATCH(O310,$AU$7:$BB$7,0))</f>
        <v/>
      </c>
    </row>
    <row r="311" ht="14.25" customHeight="1">
      <c r="O311" s="43" t="inlineStr">
        <is>
          <t>Q3’26</t>
        </is>
      </c>
      <c r="P311" s="43" t="n">
        <v>2</v>
      </c>
      <c r="Q311" s="43" t="n">
        <v>5</v>
      </c>
      <c r="R311" s="43" t="n">
        <v>1</v>
      </c>
      <c r="S311" s="45" t="n">
        <v>3563.162790697639</v>
      </c>
      <c r="T311">
        <f>(S311+S312+S313)=P3</f>
        <v/>
      </c>
      <c r="X311" s="84">
        <f>MAX(S308-S311,0)</f>
        <v/>
      </c>
      <c r="Y311" s="83" t="n">
        <v>0</v>
      </c>
      <c r="AA311" s="84" t="n">
        <v>3</v>
      </c>
      <c r="AB311" s="84" t="inlineStr">
        <is>
          <t>B</t>
        </is>
      </c>
      <c r="AC311" s="84" t="inlineStr">
        <is>
          <t>B+</t>
        </is>
      </c>
      <c r="AD311" s="84" t="n">
        <v>15</v>
      </c>
      <c r="AE311" s="84" t="n">
        <v>11</v>
      </c>
      <c r="AF311" s="84" t="n">
        <v>0.76</v>
      </c>
      <c r="AG311" s="84" t="n">
        <v>0.8100000000000001</v>
      </c>
      <c r="AH311" s="84" t="n">
        <v>0</v>
      </c>
      <c r="AI311" s="84" t="n">
        <v>0</v>
      </c>
      <c r="AJ311" s="84">
        <f>SUMIFS(AH$8:AH$1039,$O$8:$O$1039,O311,$AB$8:$AB$1039,AB311,$R$8:$R$1039,R311,$AA$8:$AA$1039,"&lt;="&amp;AA311)</f>
        <v/>
      </c>
      <c r="AK311" s="84">
        <f>C33</f>
        <v/>
      </c>
      <c r="AL311" s="84">
        <f>C39</f>
        <v/>
      </c>
      <c r="AM311" s="84">
        <f>MAX(0,AJ311-AK311)</f>
        <v/>
      </c>
      <c r="AN311" s="84">
        <f>IF(AM311=0,AH311,IF(AM311&gt;=AH311,0,AH311-AM311))</f>
        <v/>
      </c>
      <c r="AO311" s="84">
        <f>IF(AM311&gt;=AH311,AI311,AI311*AM311/AH311)</f>
        <v/>
      </c>
      <c r="AP311">
        <f t="array" ref="AP311">INDEX($AU$8:$BB$25,6*(R311-1)+MATCH(AB311,$AS$8:$AS$13,0),MATCH(O311,$AU$7:$BB$7,0))</f>
        <v/>
      </c>
    </row>
    <row r="312" ht="14.25" customHeight="1">
      <c r="O312" s="43" t="inlineStr">
        <is>
          <t>Q3’26</t>
        </is>
      </c>
      <c r="P312" s="43" t="n">
        <v>2</v>
      </c>
      <c r="Q312" s="43" t="n">
        <v>5</v>
      </c>
      <c r="R312" s="43" t="n">
        <v>2</v>
      </c>
      <c r="S312" s="45" t="n">
        <v>1836.837209302361</v>
      </c>
      <c r="T312">
        <f>(S311+S312+S313)=P3</f>
        <v/>
      </c>
      <c r="X312" s="84">
        <f>MAX(S309-S312,0)</f>
        <v/>
      </c>
      <c r="Y312" s="83" t="n">
        <v>0</v>
      </c>
      <c r="AA312" s="84" t="n">
        <v>3</v>
      </c>
      <c r="AB312" s="84" t="inlineStr">
        <is>
          <t>B</t>
        </is>
      </c>
      <c r="AC312" s="84" t="inlineStr">
        <is>
          <t>B+</t>
        </is>
      </c>
      <c r="AD312" s="84" t="n">
        <v>15</v>
      </c>
      <c r="AE312" s="84" t="n">
        <v>11</v>
      </c>
      <c r="AF312" s="84" t="n">
        <v>0.76</v>
      </c>
      <c r="AG312" s="84" t="n">
        <v>0.8100000000000001</v>
      </c>
      <c r="AH312" s="84" t="n">
        <v>0</v>
      </c>
      <c r="AI312" s="84" t="n">
        <v>0</v>
      </c>
      <c r="AJ312" s="84">
        <f>SUMIFS(AH$8:AH$1039,$O$8:$O$1039,O312,$AB$8:$AB$1039,AB312,$R$8:$R$1039,R312,$AA$8:$AA$1039,"&lt;="&amp;AA312)</f>
        <v/>
      </c>
      <c r="AK312" s="84">
        <f>D33</f>
        <v/>
      </c>
      <c r="AL312" s="84">
        <f>D39</f>
        <v/>
      </c>
      <c r="AM312" s="84">
        <f>MAX(0,AJ312-AK312)</f>
        <v/>
      </c>
      <c r="AN312" s="84">
        <f>IF(AM312=0,AH312,IF(AM312&gt;=AH312,0,AH312-AM312))</f>
        <v/>
      </c>
      <c r="AO312" s="84">
        <f>IF(AM312&gt;=AH312,AI312,AI312*AM312/AH312)</f>
        <v/>
      </c>
      <c r="AP312">
        <f t="array" ref="AP312">INDEX($AU$8:$BB$25,6*(R312-1)+MATCH(AB312,$AS$8:$AS$13,0),MATCH(O312,$AU$7:$BB$7,0))</f>
        <v/>
      </c>
    </row>
    <row r="313" ht="14.25" customHeight="1">
      <c r="O313" s="43" t="inlineStr">
        <is>
          <t>Q3’26</t>
        </is>
      </c>
      <c r="P313" s="43" t="n">
        <v>2</v>
      </c>
      <c r="Q313" s="43" t="n">
        <v>5</v>
      </c>
      <c r="R313" s="43" t="n">
        <v>3</v>
      </c>
      <c r="S313" s="45" t="n">
        <v>0</v>
      </c>
      <c r="T313">
        <f>(S311+S312+S313)=P3</f>
        <v/>
      </c>
      <c r="X313" s="84">
        <f>MAX(S310-S313,0)</f>
        <v/>
      </c>
      <c r="Y313" s="83" t="n">
        <v>0</v>
      </c>
      <c r="AA313" s="84" t="n">
        <v>3</v>
      </c>
      <c r="AB313" s="84" t="inlineStr">
        <is>
          <t>B</t>
        </is>
      </c>
      <c r="AC313" s="84" t="inlineStr">
        <is>
          <t>B+</t>
        </is>
      </c>
      <c r="AD313" s="84" t="n">
        <v>15</v>
      </c>
      <c r="AE313" s="84" t="n">
        <v>11</v>
      </c>
      <c r="AF313" s="84" t="n">
        <v>0.76</v>
      </c>
      <c r="AG313" s="84" t="n">
        <v>0.8100000000000001</v>
      </c>
      <c r="AH313" s="84" t="n">
        <v>0</v>
      </c>
      <c r="AI313" s="84" t="n">
        <v>0</v>
      </c>
      <c r="AJ313" s="84">
        <f>SUMIFS(AH$8:AH$1039,$O$8:$O$1039,O313,$AB$8:$AB$1039,AB313,$R$8:$R$1039,R313,$AA$8:$AA$1039,"&lt;="&amp;AA313)</f>
        <v/>
      </c>
      <c r="AK313" s="84">
        <f>E33</f>
        <v/>
      </c>
      <c r="AL313" s="84">
        <f>E39</f>
        <v/>
      </c>
      <c r="AM313" s="84">
        <f>MAX(0,AJ313-AK313)</f>
        <v/>
      </c>
      <c r="AN313" s="84">
        <f>IF(AM313=0,AH313,IF(AM313&gt;=AH313,0,AH313-AM313))</f>
        <v/>
      </c>
      <c r="AO313" s="84">
        <f>IF(AM313&gt;=AH313,AI313,AI313*AM313/AH313)</f>
        <v/>
      </c>
      <c r="AP313">
        <f t="array" ref="AP313">INDEX($AU$8:$BB$25,6*(R313-1)+MATCH(AB313,$AS$8:$AS$13,0),MATCH(O313,$AU$7:$BB$7,0))</f>
        <v/>
      </c>
    </row>
    <row r="314" ht="14.25" customHeight="1">
      <c r="O314" s="43" t="inlineStr">
        <is>
          <t>Q3’26</t>
        </is>
      </c>
      <c r="P314" s="43" t="n">
        <v>2</v>
      </c>
      <c r="Q314" s="43" t="n">
        <v>6</v>
      </c>
      <c r="R314" s="43" t="n">
        <v>1</v>
      </c>
      <c r="S314" s="45" t="n">
        <v>3563.162790697671</v>
      </c>
      <c r="T314">
        <f>(S314+S315+S316)=P3</f>
        <v/>
      </c>
      <c r="X314" s="84">
        <f>MAX(S311-S314,0)</f>
        <v/>
      </c>
      <c r="Y314" s="83" t="n">
        <v>0</v>
      </c>
      <c r="AA314" s="84" t="n">
        <v>5</v>
      </c>
      <c r="AB314" s="84" t="inlineStr">
        <is>
          <t>F</t>
        </is>
      </c>
      <c r="AC314" s="84" t="inlineStr">
        <is>
          <t>F+</t>
        </is>
      </c>
      <c r="AD314" s="84" t="n">
        <v>16</v>
      </c>
      <c r="AE314" s="84" t="n">
        <v>14</v>
      </c>
      <c r="AF314" s="84" t="n">
        <v>0.8</v>
      </c>
      <c r="AG314" s="84" t="n">
        <v>0.9</v>
      </c>
      <c r="AH314" s="84" t="n">
        <v>0</v>
      </c>
      <c r="AI314" s="84" t="n">
        <v>0</v>
      </c>
      <c r="AJ314" s="84">
        <f>SUMIFS(AH$8:AH$1039,$O$8:$O$1039,O314,$AB$8:$AB$1039,AB314,$R$8:$R$1039,R314,$AA$8:$AA$1039,"&lt;="&amp;AA314)</f>
        <v/>
      </c>
      <c r="AK314" s="84">
        <f>C37</f>
        <v/>
      </c>
      <c r="AL314" s="84">
        <f>C43</f>
        <v/>
      </c>
      <c r="AM314" s="84">
        <f>MAX(0,AJ314-AK314)</f>
        <v/>
      </c>
      <c r="AN314" s="84">
        <f>IF(AM314=0,AH314,IF(AM314&gt;=AH314,0,AH314-AM314))</f>
        <v/>
      </c>
      <c r="AO314" s="84">
        <f>IF(AM314&gt;=AH314,AI314,AI314*AM314/AH314)</f>
        <v/>
      </c>
      <c r="AP314">
        <f t="array" ref="AP314">INDEX($AU$8:$BB$25,6*(R314-1)+MATCH(AB314,$AS$8:$AS$13,0),MATCH(O314,$AU$7:$BB$7,0))</f>
        <v/>
      </c>
    </row>
    <row r="315" ht="14.25" customHeight="1">
      <c r="O315" s="43" t="inlineStr">
        <is>
          <t>Q3’26</t>
        </is>
      </c>
      <c r="P315" s="43" t="n">
        <v>2</v>
      </c>
      <c r="Q315" s="43" t="n">
        <v>6</v>
      </c>
      <c r="R315" s="43" t="n">
        <v>2</v>
      </c>
      <c r="S315" s="45" t="n">
        <v>1836.837209302329</v>
      </c>
      <c r="T315">
        <f>(S314+S315+S316)=P3</f>
        <v/>
      </c>
      <c r="X315" s="84">
        <f>MAX(S312-S315,0)</f>
        <v/>
      </c>
      <c r="Y315" s="83" t="n">
        <v>0</v>
      </c>
      <c r="AA315" s="84" t="n">
        <v>5</v>
      </c>
      <c r="AB315" s="84" t="inlineStr">
        <is>
          <t>F</t>
        </is>
      </c>
      <c r="AC315" s="84" t="inlineStr">
        <is>
          <t>F+</t>
        </is>
      </c>
      <c r="AD315" s="84" t="n">
        <v>16</v>
      </c>
      <c r="AE315" s="84" t="n">
        <v>14</v>
      </c>
      <c r="AF315" s="84" t="n">
        <v>0.8</v>
      </c>
      <c r="AG315" s="84" t="n">
        <v>0.9</v>
      </c>
      <c r="AH315" s="84" t="n">
        <v>0</v>
      </c>
      <c r="AI315" s="84" t="n">
        <v>0</v>
      </c>
      <c r="AJ315" s="84">
        <f>SUMIFS(AH$8:AH$1039,$O$8:$O$1039,O315,$AB$8:$AB$1039,AB315,$R$8:$R$1039,R315,$AA$8:$AA$1039,"&lt;="&amp;AA315)</f>
        <v/>
      </c>
      <c r="AK315" s="84">
        <f>D37</f>
        <v/>
      </c>
      <c r="AL315" s="84">
        <f>D43</f>
        <v/>
      </c>
      <c r="AM315" s="84">
        <f>MAX(0,AJ315-AK315)</f>
        <v/>
      </c>
      <c r="AN315" s="84">
        <f>IF(AM315=0,AH315,IF(AM315&gt;=AH315,0,AH315-AM315))</f>
        <v/>
      </c>
      <c r="AO315" s="84">
        <f>IF(AM315&gt;=AH315,AI315,AI315*AM315/AH315)</f>
        <v/>
      </c>
      <c r="AP315">
        <f t="array" ref="AP315">INDEX($AU$8:$BB$25,6*(R315-1)+MATCH(AB315,$AS$8:$AS$13,0),MATCH(O315,$AU$7:$BB$7,0))</f>
        <v/>
      </c>
    </row>
    <row r="316" ht="14.25" customHeight="1">
      <c r="O316" s="43" t="inlineStr">
        <is>
          <t>Q3’26</t>
        </is>
      </c>
      <c r="P316" s="43" t="n">
        <v>2</v>
      </c>
      <c r="Q316" s="43" t="n">
        <v>6</v>
      </c>
      <c r="R316" s="43" t="n">
        <v>3</v>
      </c>
      <c r="S316" s="45" t="n">
        <v>0</v>
      </c>
      <c r="T316">
        <f>(S314+S315+S316)=P3</f>
        <v/>
      </c>
      <c r="X316" s="84">
        <f>MAX(S313-S316,0)</f>
        <v/>
      </c>
      <c r="Y316" s="83" t="n">
        <v>0</v>
      </c>
      <c r="AA316" s="84" t="n">
        <v>5</v>
      </c>
      <c r="AB316" s="84" t="inlineStr">
        <is>
          <t>F</t>
        </is>
      </c>
      <c r="AC316" s="84" t="inlineStr">
        <is>
          <t>F+</t>
        </is>
      </c>
      <c r="AD316" s="84" t="n">
        <v>16</v>
      </c>
      <c r="AE316" s="84" t="n">
        <v>14</v>
      </c>
      <c r="AF316" s="84" t="n">
        <v>0.8</v>
      </c>
      <c r="AG316" s="84" t="n">
        <v>0.9</v>
      </c>
      <c r="AH316" s="84" t="n">
        <v>0</v>
      </c>
      <c r="AI316" s="84" t="n">
        <v>0</v>
      </c>
      <c r="AJ316" s="84">
        <f>SUMIFS(AH$8:AH$1039,$O$8:$O$1039,O316,$AB$8:$AB$1039,AB316,$R$8:$R$1039,R316,$AA$8:$AA$1039,"&lt;="&amp;AA316)</f>
        <v/>
      </c>
      <c r="AK316" s="84">
        <f>E37</f>
        <v/>
      </c>
      <c r="AL316" s="84">
        <f>E43</f>
        <v/>
      </c>
      <c r="AM316" s="84">
        <f>MAX(0,AJ316-AK316)</f>
        <v/>
      </c>
      <c r="AN316" s="84">
        <f>IF(AM316=0,AH316,IF(AM316&gt;=AH316,0,AH316-AM316))</f>
        <v/>
      </c>
      <c r="AO316" s="84">
        <f>IF(AM316&gt;=AH316,AI316,AI316*AM316/AH316)</f>
        <v/>
      </c>
      <c r="AP316">
        <f t="array" ref="AP316">INDEX($AU$8:$BB$25,6*(R316-1)+MATCH(AB316,$AS$8:$AS$13,0),MATCH(O316,$AU$7:$BB$7,0))</f>
        <v/>
      </c>
    </row>
    <row r="317" ht="14.25" customHeight="1">
      <c r="O317" s="43" t="inlineStr">
        <is>
          <t>Q3’26</t>
        </is>
      </c>
      <c r="P317" s="43" t="n">
        <v>2</v>
      </c>
      <c r="Q317" s="43" t="n">
        <v>7</v>
      </c>
      <c r="R317" s="43" t="n">
        <v>1</v>
      </c>
      <c r="S317" s="45" t="n">
        <v>3563.162790697668</v>
      </c>
      <c r="T317">
        <f>(S317+S318+S319)=P3</f>
        <v/>
      </c>
      <c r="X317" s="84">
        <f>MAX(S314-S317,0)</f>
        <v/>
      </c>
      <c r="Y317" s="83" t="n">
        <v>0</v>
      </c>
      <c r="AA317" s="84" t="n">
        <v>4</v>
      </c>
      <c r="AB317" s="84" t="inlineStr">
        <is>
          <t>F</t>
        </is>
      </c>
      <c r="AC317" s="84" t="inlineStr">
        <is>
          <t>F+</t>
        </is>
      </c>
      <c r="AD317" s="84" t="n">
        <v>17</v>
      </c>
      <c r="AE317" s="84" t="n">
        <v>15</v>
      </c>
      <c r="AF317" s="84" t="n">
        <v>0.8</v>
      </c>
      <c r="AG317" s="84" t="n">
        <v>0.9</v>
      </c>
      <c r="AH317" s="84" t="n">
        <v>0</v>
      </c>
      <c r="AI317" s="84" t="n">
        <v>0</v>
      </c>
      <c r="AJ317" s="84">
        <f>SUMIFS(AH$8:AH$1039,$O$8:$O$1039,O317,$AB$8:$AB$1039,AB317,$R$8:$R$1039,R317,$AA$8:$AA$1039,"&lt;="&amp;AA317)</f>
        <v/>
      </c>
      <c r="AK317" s="84">
        <f>C37</f>
        <v/>
      </c>
      <c r="AL317" s="84">
        <f>C43</f>
        <v/>
      </c>
      <c r="AM317" s="84">
        <f>MAX(0,AJ317-AK317)</f>
        <v/>
      </c>
      <c r="AN317" s="84">
        <f>IF(AM317=0,AH317,IF(AM317&gt;=AH317,0,AH317-AM317))</f>
        <v/>
      </c>
      <c r="AO317" s="84">
        <f>IF(AM317&gt;=AH317,AI317,AI317*AM317/AH317)</f>
        <v/>
      </c>
      <c r="AP317">
        <f t="array" ref="AP317">INDEX($AU$8:$BB$25,6*(R317-1)+MATCH(AB317,$AS$8:$AS$13,0),MATCH(O317,$AU$7:$BB$7,0))</f>
        <v/>
      </c>
    </row>
    <row r="318" ht="14.25" customHeight="1">
      <c r="O318" s="43" t="inlineStr">
        <is>
          <t>Q3’26</t>
        </is>
      </c>
      <c r="P318" s="43" t="n">
        <v>2</v>
      </c>
      <c r="Q318" s="43" t="n">
        <v>7</v>
      </c>
      <c r="R318" s="43" t="n">
        <v>2</v>
      </c>
      <c r="S318" s="45" t="n">
        <v>1836.837209302332</v>
      </c>
      <c r="T318">
        <f>(S317+S318+S319)=P3</f>
        <v/>
      </c>
      <c r="X318" s="84">
        <f>MAX(S315-S318,0)</f>
        <v/>
      </c>
      <c r="Y318" s="83" t="n">
        <v>0</v>
      </c>
      <c r="AA318" s="84" t="n">
        <v>4</v>
      </c>
      <c r="AB318" s="84" t="inlineStr">
        <is>
          <t>F</t>
        </is>
      </c>
      <c r="AC318" s="84" t="inlineStr">
        <is>
          <t>F+</t>
        </is>
      </c>
      <c r="AD318" s="84" t="n">
        <v>17</v>
      </c>
      <c r="AE318" s="84" t="n">
        <v>15</v>
      </c>
      <c r="AF318" s="84" t="n">
        <v>0.8</v>
      </c>
      <c r="AG318" s="84" t="n">
        <v>0.9</v>
      </c>
      <c r="AH318" s="84" t="n">
        <v>0</v>
      </c>
      <c r="AI318" s="84" t="n">
        <v>0</v>
      </c>
      <c r="AJ318" s="84">
        <f>SUMIFS(AH$8:AH$1039,$O$8:$O$1039,O318,$AB$8:$AB$1039,AB318,$R$8:$R$1039,R318,$AA$8:$AA$1039,"&lt;="&amp;AA318)</f>
        <v/>
      </c>
      <c r="AK318" s="84">
        <f>D37</f>
        <v/>
      </c>
      <c r="AL318" s="84">
        <f>D43</f>
        <v/>
      </c>
      <c r="AM318" s="84">
        <f>MAX(0,AJ318-AK318)</f>
        <v/>
      </c>
      <c r="AN318" s="84">
        <f>IF(AM318=0,AH318,IF(AM318&gt;=AH318,0,AH318-AM318))</f>
        <v/>
      </c>
      <c r="AO318" s="84">
        <f>IF(AM318&gt;=AH318,AI318,AI318*AM318/AH318)</f>
        <v/>
      </c>
      <c r="AP318">
        <f t="array" ref="AP318">INDEX($AU$8:$BB$25,6*(R318-1)+MATCH(AB318,$AS$8:$AS$13,0),MATCH(O318,$AU$7:$BB$7,0))</f>
        <v/>
      </c>
    </row>
    <row r="319" ht="14.25" customHeight="1">
      <c r="O319" s="43" t="inlineStr">
        <is>
          <t>Q3’26</t>
        </is>
      </c>
      <c r="P319" s="43" t="n">
        <v>2</v>
      </c>
      <c r="Q319" s="43" t="n">
        <v>7</v>
      </c>
      <c r="R319" s="43" t="n">
        <v>3</v>
      </c>
      <c r="S319" s="45" t="n">
        <v>0</v>
      </c>
      <c r="T319">
        <f>(S317+S318+S319)=P3</f>
        <v/>
      </c>
      <c r="X319" s="84">
        <f>MAX(S316-S319,0)</f>
        <v/>
      </c>
      <c r="Y319" s="83" t="n">
        <v>0</v>
      </c>
      <c r="AA319" s="84" t="n">
        <v>4</v>
      </c>
      <c r="AB319" s="84" t="inlineStr">
        <is>
          <t>F</t>
        </is>
      </c>
      <c r="AC319" s="84" t="inlineStr">
        <is>
          <t>F+</t>
        </is>
      </c>
      <c r="AD319" s="84" t="n">
        <v>17</v>
      </c>
      <c r="AE319" s="84" t="n">
        <v>15</v>
      </c>
      <c r="AF319" s="84" t="n">
        <v>0.8</v>
      </c>
      <c r="AG319" s="84" t="n">
        <v>0.9</v>
      </c>
      <c r="AH319" s="84" t="n">
        <v>0</v>
      </c>
      <c r="AI319" s="84" t="n">
        <v>0</v>
      </c>
      <c r="AJ319" s="84">
        <f>SUMIFS(AH$8:AH$1039,$O$8:$O$1039,O319,$AB$8:$AB$1039,AB319,$R$8:$R$1039,R319,$AA$8:$AA$1039,"&lt;="&amp;AA319)</f>
        <v/>
      </c>
      <c r="AK319" s="84">
        <f>E37</f>
        <v/>
      </c>
      <c r="AL319" s="84">
        <f>E43</f>
        <v/>
      </c>
      <c r="AM319" s="84">
        <f>MAX(0,AJ319-AK319)</f>
        <v/>
      </c>
      <c r="AN319" s="84">
        <f>IF(AM319=0,AH319,IF(AM319&gt;=AH319,0,AH319-AM319))</f>
        <v/>
      </c>
      <c r="AO319" s="84">
        <f>IF(AM319&gt;=AH319,AI319,AI319*AM319/AH319)</f>
        <v/>
      </c>
      <c r="AP319">
        <f t="array" ref="AP319">INDEX($AU$8:$BB$25,6*(R319-1)+MATCH(AB319,$AS$8:$AS$13,0),MATCH(O319,$AU$7:$BB$7,0))</f>
        <v/>
      </c>
    </row>
    <row r="320" ht="14.25" customHeight="1">
      <c r="O320" s="43" t="inlineStr">
        <is>
          <t>Q3’26</t>
        </is>
      </c>
      <c r="P320" s="43" t="n">
        <v>2</v>
      </c>
      <c r="Q320" s="43" t="n">
        <v>8</v>
      </c>
      <c r="R320" s="43" t="n">
        <v>1</v>
      </c>
      <c r="S320" s="45" t="n">
        <v>3563.162790697659</v>
      </c>
      <c r="T320">
        <f>(S320+S321+S322)=P3</f>
        <v/>
      </c>
      <c r="X320" s="84">
        <f>MAX(S317-S320,0)</f>
        <v/>
      </c>
      <c r="Y320" s="83" t="n">
        <v>0</v>
      </c>
      <c r="AA320" s="84" t="n">
        <v>4</v>
      </c>
      <c r="AB320" s="84" t="inlineStr">
        <is>
          <t>B</t>
        </is>
      </c>
      <c r="AC320" s="84" t="inlineStr">
        <is>
          <t>B+</t>
        </is>
      </c>
      <c r="AD320" s="84" t="n">
        <v>22</v>
      </c>
      <c r="AE320" s="84" t="n">
        <v>16</v>
      </c>
      <c r="AF320" s="84" t="n">
        <v>0.76</v>
      </c>
      <c r="AG320" s="84" t="n">
        <v>0.8100000000000001</v>
      </c>
      <c r="AH320" s="84" t="n">
        <v>0</v>
      </c>
      <c r="AI320" s="84" t="n">
        <v>0</v>
      </c>
      <c r="AJ320" s="84">
        <f>SUMIFS(AH$8:AH$1039,$O$8:$O$1039,O320,$AB$8:$AB$1039,AB320,$R$8:$R$1039,R320,$AA$8:$AA$1039,"&lt;="&amp;AA320)</f>
        <v/>
      </c>
      <c r="AK320" s="84">
        <f>C33</f>
        <v/>
      </c>
      <c r="AL320" s="84">
        <f>C39</f>
        <v/>
      </c>
      <c r="AM320" s="84">
        <f>MAX(0,AJ320-AK320)</f>
        <v/>
      </c>
      <c r="AN320" s="84">
        <f>IF(AM320=0,AH320,IF(AM320&gt;=AH320,0,AH320-AM320))</f>
        <v/>
      </c>
      <c r="AO320" s="84">
        <f>IF(AM320&gt;=AH320,AI320,AI320*AM320/AH320)</f>
        <v/>
      </c>
      <c r="AP320">
        <f t="array" ref="AP320">INDEX($AU$8:$BB$25,6*(R320-1)+MATCH(AB320,$AS$8:$AS$13,0),MATCH(O320,$AU$7:$BB$7,0))</f>
        <v/>
      </c>
    </row>
    <row r="321" ht="14.25" customHeight="1">
      <c r="O321" s="43" t="inlineStr">
        <is>
          <t>Q3’26</t>
        </is>
      </c>
      <c r="P321" s="43" t="n">
        <v>2</v>
      </c>
      <c r="Q321" s="43" t="n">
        <v>8</v>
      </c>
      <c r="R321" s="43" t="n">
        <v>2</v>
      </c>
      <c r="S321" s="45" t="n">
        <v>1836.837209302341</v>
      </c>
      <c r="T321">
        <f>(S320+S321+S322)=P3</f>
        <v/>
      </c>
      <c r="X321" s="84">
        <f>MAX(S318-S321,0)</f>
        <v/>
      </c>
      <c r="Y321" s="83" t="n">
        <v>0</v>
      </c>
      <c r="AA321" s="84" t="n">
        <v>4</v>
      </c>
      <c r="AB321" s="84" t="inlineStr">
        <is>
          <t>B</t>
        </is>
      </c>
      <c r="AC321" s="84" t="inlineStr">
        <is>
          <t>B+</t>
        </is>
      </c>
      <c r="AD321" s="84" t="n">
        <v>22</v>
      </c>
      <c r="AE321" s="84" t="n">
        <v>16</v>
      </c>
      <c r="AF321" s="84" t="n">
        <v>0.76</v>
      </c>
      <c r="AG321" s="84" t="n">
        <v>0.8100000000000001</v>
      </c>
      <c r="AH321" s="84" t="n">
        <v>0</v>
      </c>
      <c r="AI321" s="84" t="n">
        <v>0</v>
      </c>
      <c r="AJ321" s="84">
        <f>SUMIFS(AH$8:AH$1039,$O$8:$O$1039,O321,$AB$8:$AB$1039,AB321,$R$8:$R$1039,R321,$AA$8:$AA$1039,"&lt;="&amp;AA321)</f>
        <v/>
      </c>
      <c r="AK321" s="84">
        <f>D33</f>
        <v/>
      </c>
      <c r="AL321" s="84">
        <f>D39</f>
        <v/>
      </c>
      <c r="AM321" s="84">
        <f>MAX(0,AJ321-AK321)</f>
        <v/>
      </c>
      <c r="AN321" s="84">
        <f>IF(AM321=0,AH321,IF(AM321&gt;=AH321,0,AH321-AM321))</f>
        <v/>
      </c>
      <c r="AO321" s="84">
        <f>IF(AM321&gt;=AH321,AI321,AI321*AM321/AH321)</f>
        <v/>
      </c>
      <c r="AP321">
        <f t="array" ref="AP321">INDEX($AU$8:$BB$25,6*(R321-1)+MATCH(AB321,$AS$8:$AS$13,0),MATCH(O321,$AU$7:$BB$7,0))</f>
        <v/>
      </c>
    </row>
    <row r="322" ht="14.25" customHeight="1">
      <c r="O322" s="43" t="inlineStr">
        <is>
          <t>Q3’26</t>
        </is>
      </c>
      <c r="P322" s="43" t="n">
        <v>2</v>
      </c>
      <c r="Q322" s="43" t="n">
        <v>8</v>
      </c>
      <c r="R322" s="43" t="n">
        <v>3</v>
      </c>
      <c r="S322" s="45" t="n">
        <v>0</v>
      </c>
      <c r="T322">
        <f>(S320+S321+S322)=P3</f>
        <v/>
      </c>
      <c r="X322" s="84">
        <f>MAX(S319-S322,0)</f>
        <v/>
      </c>
      <c r="Y322" s="83" t="n">
        <v>0</v>
      </c>
      <c r="AA322" s="84" t="n">
        <v>4</v>
      </c>
      <c r="AB322" s="84" t="inlineStr">
        <is>
          <t>B</t>
        </is>
      </c>
      <c r="AC322" s="84" t="inlineStr">
        <is>
          <t>B+</t>
        </is>
      </c>
      <c r="AD322" s="84" t="n">
        <v>22</v>
      </c>
      <c r="AE322" s="84" t="n">
        <v>16</v>
      </c>
      <c r="AF322" s="84" t="n">
        <v>0.76</v>
      </c>
      <c r="AG322" s="84" t="n">
        <v>0.8100000000000001</v>
      </c>
      <c r="AH322" s="84" t="n">
        <v>0</v>
      </c>
      <c r="AI322" s="84" t="n">
        <v>0</v>
      </c>
      <c r="AJ322" s="84">
        <f>SUMIFS(AH$8:AH$1039,$O$8:$O$1039,O322,$AB$8:$AB$1039,AB322,$R$8:$R$1039,R322,$AA$8:$AA$1039,"&lt;="&amp;AA322)</f>
        <v/>
      </c>
      <c r="AK322" s="84">
        <f>E33</f>
        <v/>
      </c>
      <c r="AL322" s="84">
        <f>E39</f>
        <v/>
      </c>
      <c r="AM322" s="84">
        <f>MAX(0,AJ322-AK322)</f>
        <v/>
      </c>
      <c r="AN322" s="84">
        <f>IF(AM322=0,AH322,IF(AM322&gt;=AH322,0,AH322-AM322))</f>
        <v/>
      </c>
      <c r="AO322" s="84">
        <f>IF(AM322&gt;=AH322,AI322,AI322*AM322/AH322)</f>
        <v/>
      </c>
      <c r="AP322">
        <f t="array" ref="AP322">INDEX($AU$8:$BB$25,6*(R322-1)+MATCH(AB322,$AS$8:$AS$13,0),MATCH(O322,$AU$7:$BB$7,0))</f>
        <v/>
      </c>
    </row>
    <row r="323" ht="14.25" customHeight="1">
      <c r="O323" s="43" t="inlineStr">
        <is>
          <t>Q3’26</t>
        </is>
      </c>
      <c r="P323" s="43" t="n">
        <v>2</v>
      </c>
      <c r="Q323" s="43" t="n">
        <v>9</v>
      </c>
      <c r="R323" s="43" t="n">
        <v>1</v>
      </c>
      <c r="S323" s="45" t="n">
        <v>3563.162790697656</v>
      </c>
      <c r="T323">
        <f>(S323+S324+S325)=P3</f>
        <v/>
      </c>
      <c r="X323" s="84">
        <f>MAX(S320-S323,0)</f>
        <v/>
      </c>
      <c r="Y323" s="83" t="n">
        <v>0</v>
      </c>
      <c r="AA323" s="84" t="n">
        <v>4</v>
      </c>
      <c r="AB323" s="84" t="inlineStr">
        <is>
          <t>E</t>
        </is>
      </c>
      <c r="AC323" s="84" t="inlineStr">
        <is>
          <t>E+</t>
        </is>
      </c>
      <c r="AD323" s="84" t="n">
        <v>7</v>
      </c>
      <c r="AE323" s="84" t="n">
        <v>6</v>
      </c>
      <c r="AF323" s="84" t="n">
        <v>0.76</v>
      </c>
      <c r="AG323" s="84" t="n">
        <v>0.84</v>
      </c>
      <c r="AH323" s="84" t="n">
        <v>0</v>
      </c>
      <c r="AI323" s="84" t="n">
        <v>0</v>
      </c>
      <c r="AJ323" s="84">
        <f>SUMIFS(AH$8:AH$1039,$O$8:$O$1039,O323,$AB$8:$AB$1039,AB323,$R$8:$R$1039,R323,$AA$8:$AA$1039,"&lt;="&amp;AA323)</f>
        <v/>
      </c>
      <c r="AK323" s="84">
        <f>C36</f>
        <v/>
      </c>
      <c r="AL323" s="84">
        <f>C42</f>
        <v/>
      </c>
      <c r="AM323" s="84">
        <f>MAX(0,AJ323-AK323)</f>
        <v/>
      </c>
      <c r="AN323" s="84">
        <f>IF(AM323=0,AH323,IF(AM323&gt;=AH323,0,AH323-AM323))</f>
        <v/>
      </c>
      <c r="AO323" s="84">
        <f>IF(AM323&gt;=AH323,AI323,AI323*AM323/AH323)</f>
        <v/>
      </c>
      <c r="AP323">
        <f t="array" ref="AP323">INDEX($AU$8:$BB$25,6*(R323-1)+MATCH(AB323,$AS$8:$AS$13,0),MATCH(O323,$AU$7:$BB$7,0))</f>
        <v/>
      </c>
    </row>
    <row r="324" ht="14.25" customHeight="1">
      <c r="O324" s="43" t="inlineStr">
        <is>
          <t>Q3’26</t>
        </is>
      </c>
      <c r="P324" s="43" t="n">
        <v>2</v>
      </c>
      <c r="Q324" s="43" t="n">
        <v>9</v>
      </c>
      <c r="R324" s="43" t="n">
        <v>2</v>
      </c>
      <c r="S324" s="45" t="n">
        <v>1836.837209302344</v>
      </c>
      <c r="T324">
        <f>(S323+S324+S325)=P3</f>
        <v/>
      </c>
      <c r="X324" s="84">
        <f>MAX(S321-S324,0)</f>
        <v/>
      </c>
      <c r="Y324" s="83" t="n">
        <v>0</v>
      </c>
      <c r="AA324" s="84" t="n">
        <v>4</v>
      </c>
      <c r="AB324" s="84" t="inlineStr">
        <is>
          <t>E</t>
        </is>
      </c>
      <c r="AC324" s="84" t="inlineStr">
        <is>
          <t>E+</t>
        </is>
      </c>
      <c r="AD324" s="84" t="n">
        <v>7</v>
      </c>
      <c r="AE324" s="84" t="n">
        <v>6</v>
      </c>
      <c r="AF324" s="84" t="n">
        <v>0.76</v>
      </c>
      <c r="AG324" s="84" t="n">
        <v>0.84</v>
      </c>
      <c r="AH324" s="84" t="n">
        <v>0</v>
      </c>
      <c r="AI324" s="84" t="n">
        <v>0</v>
      </c>
      <c r="AJ324" s="84">
        <f>SUMIFS(AH$8:AH$1039,$O$8:$O$1039,O324,$AB$8:$AB$1039,AB324,$R$8:$R$1039,R324,$AA$8:$AA$1039,"&lt;="&amp;AA324)</f>
        <v/>
      </c>
      <c r="AK324" s="84">
        <f>D36</f>
        <v/>
      </c>
      <c r="AL324" s="84">
        <f>D42</f>
        <v/>
      </c>
      <c r="AM324" s="84">
        <f>MAX(0,AJ324-AK324)</f>
        <v/>
      </c>
      <c r="AN324" s="84">
        <f>IF(AM324=0,AH324,IF(AM324&gt;=AH324,0,AH324-AM324))</f>
        <v/>
      </c>
      <c r="AO324" s="84">
        <f>IF(AM324&gt;=AH324,AI324,AI324*AM324/AH324)</f>
        <v/>
      </c>
      <c r="AP324">
        <f t="array" ref="AP324">INDEX($AU$8:$BB$25,6*(R324-1)+MATCH(AB324,$AS$8:$AS$13,0),MATCH(O324,$AU$7:$BB$7,0))</f>
        <v/>
      </c>
    </row>
    <row r="325" ht="14.25" customHeight="1">
      <c r="O325" s="43" t="inlineStr">
        <is>
          <t>Q3’26</t>
        </is>
      </c>
      <c r="P325" s="43" t="n">
        <v>2</v>
      </c>
      <c r="Q325" s="43" t="n">
        <v>9</v>
      </c>
      <c r="R325" s="43" t="n">
        <v>3</v>
      </c>
      <c r="S325" s="45" t="n">
        <v>0</v>
      </c>
      <c r="T325">
        <f>(S323+S324+S325)=P3</f>
        <v/>
      </c>
      <c r="X325" s="84">
        <f>MAX(S322-S325,0)</f>
        <v/>
      </c>
      <c r="Y325" s="83" t="n">
        <v>0</v>
      </c>
      <c r="AA325" s="84" t="n">
        <v>4</v>
      </c>
      <c r="AB325" s="84" t="inlineStr">
        <is>
          <t>E</t>
        </is>
      </c>
      <c r="AC325" s="84" t="inlineStr">
        <is>
          <t>E+</t>
        </is>
      </c>
      <c r="AD325" s="84" t="n">
        <v>7</v>
      </c>
      <c r="AE325" s="84" t="n">
        <v>6</v>
      </c>
      <c r="AF325" s="84" t="n">
        <v>0.76</v>
      </c>
      <c r="AG325" s="84" t="n">
        <v>0.84</v>
      </c>
      <c r="AH325" s="84" t="n">
        <v>0</v>
      </c>
      <c r="AI325" s="84" t="n">
        <v>0</v>
      </c>
      <c r="AJ325" s="84">
        <f>SUMIFS(AH$8:AH$1039,$O$8:$O$1039,O325,$AB$8:$AB$1039,AB325,$R$8:$R$1039,R325,$AA$8:$AA$1039,"&lt;="&amp;AA325)</f>
        <v/>
      </c>
      <c r="AK325" s="84">
        <f>E36</f>
        <v/>
      </c>
      <c r="AL325" s="84">
        <f>E42</f>
        <v/>
      </c>
      <c r="AM325" s="84">
        <f>MAX(0,AJ325-AK325)</f>
        <v/>
      </c>
      <c r="AN325" s="84">
        <f>IF(AM325=0,AH325,IF(AM325&gt;=AH325,0,AH325-AM325))</f>
        <v/>
      </c>
      <c r="AO325" s="84">
        <f>IF(AM325&gt;=AH325,AI325,AI325*AM325/AH325)</f>
        <v/>
      </c>
      <c r="AP325">
        <f t="array" ref="AP325">INDEX($AU$8:$BB$25,6*(R325-1)+MATCH(AB325,$AS$8:$AS$13,0),MATCH(O325,$AU$7:$BB$7,0))</f>
        <v/>
      </c>
    </row>
    <row r="326" ht="14.25" customHeight="1">
      <c r="O326" s="43" t="inlineStr">
        <is>
          <t>Q3’26</t>
        </is>
      </c>
      <c r="P326" s="43" t="n">
        <v>2</v>
      </c>
      <c r="Q326" s="43" t="n">
        <v>10</v>
      </c>
      <c r="R326" s="43" t="n">
        <v>1</v>
      </c>
      <c r="S326" s="45" t="n">
        <v>3563.162790697661</v>
      </c>
      <c r="T326">
        <f>(S326+S327+S328)=P3</f>
        <v/>
      </c>
      <c r="X326" s="84">
        <f>MAX(S323-S326,0)</f>
        <v/>
      </c>
      <c r="Y326" s="83" t="n">
        <v>0</v>
      </c>
      <c r="AA326" s="84" t="n">
        <v>6</v>
      </c>
      <c r="AB326" s="84" t="inlineStr">
        <is>
          <t>E</t>
        </is>
      </c>
      <c r="AC326" s="84" t="inlineStr">
        <is>
          <t>E+</t>
        </is>
      </c>
      <c r="AD326" s="84" t="n">
        <v>9</v>
      </c>
      <c r="AE326" s="84" t="n">
        <v>7</v>
      </c>
      <c r="AF326" s="84" t="n">
        <v>0.76</v>
      </c>
      <c r="AG326" s="84" t="n">
        <v>0.84</v>
      </c>
      <c r="AH326" s="84" t="n">
        <v>0</v>
      </c>
      <c r="AI326" s="84" t="n">
        <v>0</v>
      </c>
      <c r="AJ326" s="84">
        <f>SUMIFS(AH$8:AH$1039,$O$8:$O$1039,O326,$AB$8:$AB$1039,AB326,$R$8:$R$1039,R326,$AA$8:$AA$1039,"&lt;="&amp;AA326)</f>
        <v/>
      </c>
      <c r="AK326" s="84">
        <f>C36</f>
        <v/>
      </c>
      <c r="AL326" s="84">
        <f>C42</f>
        <v/>
      </c>
      <c r="AM326" s="84">
        <f>MAX(0,AJ326-AK326)</f>
        <v/>
      </c>
      <c r="AN326" s="84">
        <f>IF(AM326=0,AH326,IF(AM326&gt;=AH326,0,AH326-AM326))</f>
        <v/>
      </c>
      <c r="AO326" s="84">
        <f>IF(AM326&gt;=AH326,AI326,AI326*AM326/AH326)</f>
        <v/>
      </c>
      <c r="AP326">
        <f t="array" ref="AP326">INDEX($AU$8:$BB$25,6*(R326-1)+MATCH(AB326,$AS$8:$AS$13,0),MATCH(O326,$AU$7:$BB$7,0))</f>
        <v/>
      </c>
    </row>
    <row r="327" ht="14.25" customHeight="1">
      <c r="O327" s="43" t="inlineStr">
        <is>
          <t>Q3’26</t>
        </is>
      </c>
      <c r="P327" s="43" t="n">
        <v>2</v>
      </c>
      <c r="Q327" s="43" t="n">
        <v>10</v>
      </c>
      <c r="R327" s="43" t="n">
        <v>2</v>
      </c>
      <c r="S327" s="45" t="n">
        <v>1836.837209302339</v>
      </c>
      <c r="T327">
        <f>(S326+S327+S328)=P3</f>
        <v/>
      </c>
      <c r="X327" s="84">
        <f>MAX(S324-S327,0)</f>
        <v/>
      </c>
      <c r="Y327" s="83" t="n">
        <v>0</v>
      </c>
      <c r="AA327" s="84" t="n">
        <v>6</v>
      </c>
      <c r="AB327" s="84" t="inlineStr">
        <is>
          <t>E</t>
        </is>
      </c>
      <c r="AC327" s="84" t="inlineStr">
        <is>
          <t>E+</t>
        </is>
      </c>
      <c r="AD327" s="84" t="n">
        <v>9</v>
      </c>
      <c r="AE327" s="84" t="n">
        <v>7</v>
      </c>
      <c r="AF327" s="84" t="n">
        <v>0.76</v>
      </c>
      <c r="AG327" s="84" t="n">
        <v>0.84</v>
      </c>
      <c r="AH327" s="84" t="n">
        <v>0</v>
      </c>
      <c r="AI327" s="84" t="n">
        <v>0</v>
      </c>
      <c r="AJ327" s="84">
        <f>SUMIFS(AH$8:AH$1039,$O$8:$O$1039,O327,$AB$8:$AB$1039,AB327,$R$8:$R$1039,R327,$AA$8:$AA$1039,"&lt;="&amp;AA327)</f>
        <v/>
      </c>
      <c r="AK327" s="84">
        <f>D36</f>
        <v/>
      </c>
      <c r="AL327" s="84">
        <f>D42</f>
        <v/>
      </c>
      <c r="AM327" s="84">
        <f>MAX(0,AJ327-AK327)</f>
        <v/>
      </c>
      <c r="AN327" s="84">
        <f>IF(AM327=0,AH327,IF(AM327&gt;=AH327,0,AH327-AM327))</f>
        <v/>
      </c>
      <c r="AO327" s="84">
        <f>IF(AM327&gt;=AH327,AI327,AI327*AM327/AH327)</f>
        <v/>
      </c>
      <c r="AP327">
        <f t="array" ref="AP327">INDEX($AU$8:$BB$25,6*(R327-1)+MATCH(AB327,$AS$8:$AS$13,0),MATCH(O327,$AU$7:$BB$7,0))</f>
        <v/>
      </c>
    </row>
    <row r="328" ht="14.25" customHeight="1">
      <c r="O328" s="43" t="inlineStr">
        <is>
          <t>Q3’26</t>
        </is>
      </c>
      <c r="P328" s="43" t="n">
        <v>2</v>
      </c>
      <c r="Q328" s="43" t="n">
        <v>10</v>
      </c>
      <c r="R328" s="43" t="n">
        <v>3</v>
      </c>
      <c r="S328" s="45" t="n">
        <v>0</v>
      </c>
      <c r="T328">
        <f>(S326+S327+S328)=P3</f>
        <v/>
      </c>
      <c r="X328" s="84">
        <f>MAX(S325-S328,0)</f>
        <v/>
      </c>
      <c r="Y328" s="83" t="n">
        <v>0</v>
      </c>
      <c r="AA328" s="84" t="n">
        <v>6</v>
      </c>
      <c r="AB328" s="84" t="inlineStr">
        <is>
          <t>E</t>
        </is>
      </c>
      <c r="AC328" s="84" t="inlineStr">
        <is>
          <t>E+</t>
        </is>
      </c>
      <c r="AD328" s="84" t="n">
        <v>9</v>
      </c>
      <c r="AE328" s="84" t="n">
        <v>7</v>
      </c>
      <c r="AF328" s="84" t="n">
        <v>0.76</v>
      </c>
      <c r="AG328" s="84" t="n">
        <v>0.84</v>
      </c>
      <c r="AH328" s="84" t="n">
        <v>0</v>
      </c>
      <c r="AI328" s="84" t="n">
        <v>0</v>
      </c>
      <c r="AJ328" s="84">
        <f>SUMIFS(AH$8:AH$1039,$O$8:$O$1039,O328,$AB$8:$AB$1039,AB328,$R$8:$R$1039,R328,$AA$8:$AA$1039,"&lt;="&amp;AA328)</f>
        <v/>
      </c>
      <c r="AK328" s="84">
        <f>E36</f>
        <v/>
      </c>
      <c r="AL328" s="84">
        <f>E42</f>
        <v/>
      </c>
      <c r="AM328" s="84">
        <f>MAX(0,AJ328-AK328)</f>
        <v/>
      </c>
      <c r="AN328" s="84">
        <f>IF(AM328=0,AH328,IF(AM328&gt;=AH328,0,AH328-AM328))</f>
        <v/>
      </c>
      <c r="AO328" s="84">
        <f>IF(AM328&gt;=AH328,AI328,AI328*AM328/AH328)</f>
        <v/>
      </c>
      <c r="AP328">
        <f t="array" ref="AP328">INDEX($AU$8:$BB$25,6*(R328-1)+MATCH(AB328,$AS$8:$AS$13,0),MATCH(O328,$AU$7:$BB$7,0))</f>
        <v/>
      </c>
    </row>
    <row r="329" ht="14.25" customHeight="1">
      <c r="O329" s="43" t="inlineStr">
        <is>
          <t>Q3’26</t>
        </is>
      </c>
      <c r="P329" s="43" t="n">
        <v>2</v>
      </c>
      <c r="Q329" s="43" t="n">
        <v>11</v>
      </c>
      <c r="R329" s="43" t="n">
        <v>1</v>
      </c>
      <c r="S329" s="45" t="n">
        <v>3563.162790697673</v>
      </c>
      <c r="T329">
        <f>(S329+S330+S331)=P3</f>
        <v/>
      </c>
      <c r="X329" s="84">
        <f>MAX(S326-S329,0)</f>
        <v/>
      </c>
      <c r="Y329" s="83" t="n">
        <v>0</v>
      </c>
      <c r="AA329" s="84" t="n">
        <v>2</v>
      </c>
      <c r="AB329" s="84" t="inlineStr">
        <is>
          <t>E</t>
        </is>
      </c>
      <c r="AC329" s="84" t="inlineStr">
        <is>
          <t>E+</t>
        </is>
      </c>
      <c r="AD329" s="84" t="n">
        <v>20</v>
      </c>
      <c r="AE329" s="84" t="n">
        <v>19</v>
      </c>
      <c r="AF329" s="84" t="n">
        <v>0.76</v>
      </c>
      <c r="AG329" s="84" t="n">
        <v>0.84</v>
      </c>
      <c r="AH329" s="84" t="n">
        <v>0</v>
      </c>
      <c r="AI329" s="84" t="n">
        <v>0</v>
      </c>
      <c r="AJ329" s="84">
        <f>SUMIFS(AH$8:AH$1039,$O$8:$O$1039,O329,$AB$8:$AB$1039,AB329,$R$8:$R$1039,R329,$AA$8:$AA$1039,"&lt;="&amp;AA329)</f>
        <v/>
      </c>
      <c r="AK329" s="84">
        <f>C36</f>
        <v/>
      </c>
      <c r="AL329" s="84">
        <f>C42</f>
        <v/>
      </c>
      <c r="AM329" s="84">
        <f>MAX(0,AJ329-AK329)</f>
        <v/>
      </c>
      <c r="AN329" s="84">
        <f>IF(AM329=0,AH329,IF(AM329&gt;=AH329,0,AH329-AM329))</f>
        <v/>
      </c>
      <c r="AO329" s="84">
        <f>IF(AM329&gt;=AH329,AI329,AI329*AM329/AH329)</f>
        <v/>
      </c>
      <c r="AP329">
        <f t="array" ref="AP329">INDEX($AU$8:$BB$25,6*(R329-1)+MATCH(AB329,$AS$8:$AS$13,0),MATCH(O329,$AU$7:$BB$7,0))</f>
        <v/>
      </c>
    </row>
    <row r="330" ht="14.25" customHeight="1">
      <c r="O330" s="43" t="inlineStr">
        <is>
          <t>Q3’26</t>
        </is>
      </c>
      <c r="P330" s="43" t="n">
        <v>2</v>
      </c>
      <c r="Q330" s="43" t="n">
        <v>11</v>
      </c>
      <c r="R330" s="43" t="n">
        <v>2</v>
      </c>
      <c r="S330" s="45" t="n">
        <v>1836.837209302327</v>
      </c>
      <c r="T330">
        <f>(S329+S330+S331)=P3</f>
        <v/>
      </c>
      <c r="X330" s="84">
        <f>MAX(S327-S330,0)</f>
        <v/>
      </c>
      <c r="Y330" s="83" t="n">
        <v>0</v>
      </c>
      <c r="AA330" s="84" t="n">
        <v>2</v>
      </c>
      <c r="AB330" s="84" t="inlineStr">
        <is>
          <t>E</t>
        </is>
      </c>
      <c r="AC330" s="84" t="inlineStr">
        <is>
          <t>E+</t>
        </is>
      </c>
      <c r="AD330" s="84" t="n">
        <v>20</v>
      </c>
      <c r="AE330" s="84" t="n">
        <v>19</v>
      </c>
      <c r="AF330" s="84" t="n">
        <v>0.76</v>
      </c>
      <c r="AG330" s="84" t="n">
        <v>0.84</v>
      </c>
      <c r="AH330" s="84" t="n">
        <v>0</v>
      </c>
      <c r="AI330" s="84" t="n">
        <v>0</v>
      </c>
      <c r="AJ330" s="84">
        <f>SUMIFS(AH$8:AH$1039,$O$8:$O$1039,O330,$AB$8:$AB$1039,AB330,$R$8:$R$1039,R330,$AA$8:$AA$1039,"&lt;="&amp;AA330)</f>
        <v/>
      </c>
      <c r="AK330" s="84">
        <f>D36</f>
        <v/>
      </c>
      <c r="AL330" s="84">
        <f>D42</f>
        <v/>
      </c>
      <c r="AM330" s="84">
        <f>MAX(0,AJ330-AK330)</f>
        <v/>
      </c>
      <c r="AN330" s="84">
        <f>IF(AM330=0,AH330,IF(AM330&gt;=AH330,0,AH330-AM330))</f>
        <v/>
      </c>
      <c r="AO330" s="84">
        <f>IF(AM330&gt;=AH330,AI330,AI330*AM330/AH330)</f>
        <v/>
      </c>
      <c r="AP330">
        <f t="array" ref="AP330">INDEX($AU$8:$BB$25,6*(R330-1)+MATCH(AB330,$AS$8:$AS$13,0),MATCH(O330,$AU$7:$BB$7,0))</f>
        <v/>
      </c>
    </row>
    <row r="331" ht="14.25" customHeight="1">
      <c r="O331" s="43" t="inlineStr">
        <is>
          <t>Q3’26</t>
        </is>
      </c>
      <c r="P331" s="43" t="n">
        <v>2</v>
      </c>
      <c r="Q331" s="43" t="n">
        <v>11</v>
      </c>
      <c r="R331" s="43" t="n">
        <v>3</v>
      </c>
      <c r="S331" s="45" t="n">
        <v>0</v>
      </c>
      <c r="T331">
        <f>(S329+S330+S331)=P3</f>
        <v/>
      </c>
      <c r="X331" s="84">
        <f>MAX(S328-S331,0)</f>
        <v/>
      </c>
      <c r="Y331" s="83" t="n">
        <v>0</v>
      </c>
      <c r="AA331" s="84" t="n">
        <v>2</v>
      </c>
      <c r="AB331" s="84" t="inlineStr">
        <is>
          <t>E</t>
        </is>
      </c>
      <c r="AC331" s="84" t="inlineStr">
        <is>
          <t>E+</t>
        </is>
      </c>
      <c r="AD331" s="84" t="n">
        <v>20</v>
      </c>
      <c r="AE331" s="84" t="n">
        <v>19</v>
      </c>
      <c r="AF331" s="84" t="n">
        <v>0.76</v>
      </c>
      <c r="AG331" s="84" t="n">
        <v>0.84</v>
      </c>
      <c r="AH331" s="84" t="n">
        <v>0</v>
      </c>
      <c r="AI331" s="84" t="n">
        <v>0</v>
      </c>
      <c r="AJ331" s="84">
        <f>SUMIFS(AH$8:AH$1039,$O$8:$O$1039,O331,$AB$8:$AB$1039,AB331,$R$8:$R$1039,R331,$AA$8:$AA$1039,"&lt;="&amp;AA331)</f>
        <v/>
      </c>
      <c r="AK331" s="84">
        <f>E36</f>
        <v/>
      </c>
      <c r="AL331" s="84">
        <f>E42</f>
        <v/>
      </c>
      <c r="AM331" s="84">
        <f>MAX(0,AJ331-AK331)</f>
        <v/>
      </c>
      <c r="AN331" s="84">
        <f>IF(AM331=0,AH331,IF(AM331&gt;=AH331,0,AH331-AM331))</f>
        <v/>
      </c>
      <c r="AO331" s="84">
        <f>IF(AM331&gt;=AH331,AI331,AI331*AM331/AH331)</f>
        <v/>
      </c>
      <c r="AP331">
        <f t="array" ref="AP331">INDEX($AU$8:$BB$25,6*(R331-1)+MATCH(AB331,$AS$8:$AS$13,0),MATCH(O331,$AU$7:$BB$7,0))</f>
        <v/>
      </c>
    </row>
    <row r="332" ht="14.25" customHeight="1">
      <c r="O332" s="43" t="inlineStr">
        <is>
          <t>Q3’26</t>
        </is>
      </c>
      <c r="P332" s="43" t="n">
        <v>2</v>
      </c>
      <c r="Q332" s="43" t="n">
        <v>12</v>
      </c>
      <c r="R332" s="43" t="n">
        <v>1</v>
      </c>
      <c r="S332" s="45" t="n">
        <v>3563.162790697675</v>
      </c>
      <c r="T332">
        <f>(S332+S333+S334)=P3</f>
        <v/>
      </c>
      <c r="X332" s="84">
        <f>MAX(S329-S332,0)</f>
        <v/>
      </c>
      <c r="Y332" s="83" t="n">
        <v>0</v>
      </c>
      <c r="AA332" s="84" t="n">
        <v>7</v>
      </c>
      <c r="AB332" s="84" t="inlineStr">
        <is>
          <t>F</t>
        </is>
      </c>
      <c r="AC332" s="84" t="inlineStr">
        <is>
          <t>F+</t>
        </is>
      </c>
      <c r="AD332" s="84" t="n">
        <v>21</v>
      </c>
      <c r="AE332" s="84" t="n">
        <v>18</v>
      </c>
      <c r="AF332" s="84" t="n">
        <v>0.8</v>
      </c>
      <c r="AG332" s="84" t="n">
        <v>0.9</v>
      </c>
      <c r="AH332" s="84" t="n">
        <v>0</v>
      </c>
      <c r="AI332" s="84" t="n">
        <v>0</v>
      </c>
      <c r="AJ332" s="84">
        <f>SUMIFS(AH$8:AH$1039,$O$8:$O$1039,O332,$AB$8:$AB$1039,AB332,$R$8:$R$1039,R332,$AA$8:$AA$1039,"&lt;="&amp;AA332)</f>
        <v/>
      </c>
      <c r="AK332" s="84">
        <f>C37</f>
        <v/>
      </c>
      <c r="AL332" s="84">
        <f>C43</f>
        <v/>
      </c>
      <c r="AM332" s="84">
        <f>MAX(0,AJ332-AK332)</f>
        <v/>
      </c>
      <c r="AN332" s="84">
        <f>IF(AM332=0,AH332,IF(AM332&gt;=AH332,0,AH332-AM332))</f>
        <v/>
      </c>
      <c r="AO332" s="84">
        <f>IF(AM332&gt;=AH332,AI332,AI332*AM332/AH332)</f>
        <v/>
      </c>
      <c r="AP332">
        <f t="array" ref="AP332">INDEX($AU$8:$BB$25,6*(R332-1)+MATCH(AB332,$AS$8:$AS$13,0),MATCH(O332,$AU$7:$BB$7,0))</f>
        <v/>
      </c>
    </row>
    <row r="333" ht="14.25" customHeight="1">
      <c r="O333" s="43" t="inlineStr">
        <is>
          <t>Q3’26</t>
        </is>
      </c>
      <c r="P333" s="43" t="n">
        <v>2</v>
      </c>
      <c r="Q333" s="43" t="n">
        <v>12</v>
      </c>
      <c r="R333" s="43" t="n">
        <v>2</v>
      </c>
      <c r="S333" s="45" t="n">
        <v>1836.837209302325</v>
      </c>
      <c r="T333">
        <f>(S332+S333+S334)=P3</f>
        <v/>
      </c>
      <c r="X333" s="84">
        <f>MAX(S330-S333,0)</f>
        <v/>
      </c>
      <c r="Y333" s="83" t="n">
        <v>0</v>
      </c>
      <c r="AA333" s="84" t="n">
        <v>7</v>
      </c>
      <c r="AB333" s="84" t="inlineStr">
        <is>
          <t>F</t>
        </is>
      </c>
      <c r="AC333" s="84" t="inlineStr">
        <is>
          <t>F+</t>
        </is>
      </c>
      <c r="AD333" s="84" t="n">
        <v>21</v>
      </c>
      <c r="AE333" s="84" t="n">
        <v>18</v>
      </c>
      <c r="AF333" s="84" t="n">
        <v>0.8</v>
      </c>
      <c r="AG333" s="84" t="n">
        <v>0.9</v>
      </c>
      <c r="AH333" s="84" t="n">
        <v>0</v>
      </c>
      <c r="AI333" s="84" t="n">
        <v>0</v>
      </c>
      <c r="AJ333" s="84">
        <f>SUMIFS(AH$8:AH$1039,$O$8:$O$1039,O333,$AB$8:$AB$1039,AB333,$R$8:$R$1039,R333,$AA$8:$AA$1039,"&lt;="&amp;AA333)</f>
        <v/>
      </c>
      <c r="AK333" s="84">
        <f>D37</f>
        <v/>
      </c>
      <c r="AL333" s="84">
        <f>D43</f>
        <v/>
      </c>
      <c r="AM333" s="84">
        <f>MAX(0,AJ333-AK333)</f>
        <v/>
      </c>
      <c r="AN333" s="84">
        <f>IF(AM333=0,AH333,IF(AM333&gt;=AH333,0,AH333-AM333))</f>
        <v/>
      </c>
      <c r="AO333" s="84">
        <f>IF(AM333&gt;=AH333,AI333,AI333*AM333/AH333)</f>
        <v/>
      </c>
      <c r="AP333">
        <f t="array" ref="AP333">INDEX($AU$8:$BB$25,6*(R333-1)+MATCH(AB333,$AS$8:$AS$13,0),MATCH(O333,$AU$7:$BB$7,0))</f>
        <v/>
      </c>
    </row>
    <row r="334" ht="14.25" customHeight="1">
      <c r="O334" s="43" t="inlineStr">
        <is>
          <t>Q3’26</t>
        </is>
      </c>
      <c r="P334" s="43" t="n">
        <v>2</v>
      </c>
      <c r="Q334" s="43" t="n">
        <v>12</v>
      </c>
      <c r="R334" s="43" t="n">
        <v>3</v>
      </c>
      <c r="S334" s="45" t="n">
        <v>0</v>
      </c>
      <c r="T334">
        <f>(S332+S333+S334)=P3</f>
        <v/>
      </c>
      <c r="X334" s="84">
        <f>MAX(S331-S334,0)</f>
        <v/>
      </c>
      <c r="Y334" s="83" t="n">
        <v>0</v>
      </c>
      <c r="AA334" s="84" t="n">
        <v>7</v>
      </c>
      <c r="AB334" s="84" t="inlineStr">
        <is>
          <t>F</t>
        </is>
      </c>
      <c r="AC334" s="84" t="inlineStr">
        <is>
          <t>F+</t>
        </is>
      </c>
      <c r="AD334" s="84" t="n">
        <v>21</v>
      </c>
      <c r="AE334" s="84" t="n">
        <v>18</v>
      </c>
      <c r="AF334" s="84" t="n">
        <v>0.8</v>
      </c>
      <c r="AG334" s="84" t="n">
        <v>0.9</v>
      </c>
      <c r="AH334" s="84" t="n">
        <v>0</v>
      </c>
      <c r="AI334" s="84" t="n">
        <v>0</v>
      </c>
      <c r="AJ334" s="84">
        <f>SUMIFS(AH$8:AH$1039,$O$8:$O$1039,O334,$AB$8:$AB$1039,AB334,$R$8:$R$1039,R334,$AA$8:$AA$1039,"&lt;="&amp;AA334)</f>
        <v/>
      </c>
      <c r="AK334" s="84">
        <f>E37</f>
        <v/>
      </c>
      <c r="AL334" s="84">
        <f>E43</f>
        <v/>
      </c>
      <c r="AM334" s="84">
        <f>MAX(0,AJ334-AK334)</f>
        <v/>
      </c>
      <c r="AN334" s="84">
        <f>IF(AM334=0,AH334,IF(AM334&gt;=AH334,0,AH334-AM334))</f>
        <v/>
      </c>
      <c r="AO334" s="84">
        <f>IF(AM334&gt;=AH334,AI334,AI334*AM334/AH334)</f>
        <v/>
      </c>
      <c r="AP334">
        <f t="array" ref="AP334">INDEX($AU$8:$BB$25,6*(R334-1)+MATCH(AB334,$AS$8:$AS$13,0),MATCH(O334,$AU$7:$BB$7,0))</f>
        <v/>
      </c>
    </row>
    <row r="335" ht="14.25" customHeight="1">
      <c r="O335" s="43" t="inlineStr">
        <is>
          <t>Q3’26</t>
        </is>
      </c>
      <c r="P335" s="43" t="n">
        <v>2</v>
      </c>
      <c r="Q335" s="43" t="n">
        <v>13</v>
      </c>
      <c r="R335" s="43" t="n">
        <v>1</v>
      </c>
      <c r="S335" s="45" t="n">
        <v>3563.162790697675</v>
      </c>
      <c r="T335">
        <f>(S335+S336+S337)=P3</f>
        <v/>
      </c>
      <c r="X335" s="84">
        <f>MAX(S332-S335,0)</f>
        <v/>
      </c>
      <c r="Y335" s="83" t="n">
        <v>0</v>
      </c>
      <c r="AA335" s="84" t="n">
        <v>8</v>
      </c>
      <c r="AB335" s="84" t="inlineStr">
        <is>
          <t>E</t>
        </is>
      </c>
      <c r="AC335" s="84" t="inlineStr">
        <is>
          <t>E+</t>
        </is>
      </c>
      <c r="AD335" s="84" t="n">
        <v>12</v>
      </c>
      <c r="AE335" s="84" t="n">
        <v>9</v>
      </c>
      <c r="AF335" s="84" t="n">
        <v>0.76</v>
      </c>
      <c r="AG335" s="84" t="n">
        <v>0.84</v>
      </c>
      <c r="AH335" s="84" t="n">
        <v>0</v>
      </c>
      <c r="AI335" s="84" t="n">
        <v>0</v>
      </c>
      <c r="AJ335" s="84">
        <f>SUMIFS(AH$8:AH$1039,$O$8:$O$1039,O335,$AB$8:$AB$1039,AB335,$R$8:$R$1039,R335,$AA$8:$AA$1039,"&lt;="&amp;AA335)</f>
        <v/>
      </c>
      <c r="AK335" s="84">
        <f>C36</f>
        <v/>
      </c>
      <c r="AL335" s="84">
        <f>C42</f>
        <v/>
      </c>
      <c r="AM335" s="84">
        <f>MAX(0,AJ335-AK335)</f>
        <v/>
      </c>
      <c r="AN335" s="84">
        <f>IF(AM335=0,AH335,IF(AM335&gt;=AH335,0,AH335-AM335))</f>
        <v/>
      </c>
      <c r="AO335" s="84">
        <f>IF(AM335&gt;=AH335,AI335,AI335*AM335/AH335)</f>
        <v/>
      </c>
      <c r="AP335">
        <f t="array" ref="AP335">INDEX($AU$8:$BB$25,6*(R335-1)+MATCH(AB335,$AS$8:$AS$13,0),MATCH(O335,$AU$7:$BB$7,0))</f>
        <v/>
      </c>
    </row>
    <row r="336" ht="14.25" customHeight="1">
      <c r="O336" s="43" t="inlineStr">
        <is>
          <t>Q3’26</t>
        </is>
      </c>
      <c r="P336" s="43" t="n">
        <v>2</v>
      </c>
      <c r="Q336" s="43" t="n">
        <v>13</v>
      </c>
      <c r="R336" s="43" t="n">
        <v>2</v>
      </c>
      <c r="S336" s="45" t="n">
        <v>1836.837209302325</v>
      </c>
      <c r="T336">
        <f>(S335+S336+S337)=P3</f>
        <v/>
      </c>
      <c r="X336" s="84">
        <f>MAX(S333-S336,0)</f>
        <v/>
      </c>
      <c r="Y336" s="83" t="n">
        <v>0</v>
      </c>
      <c r="AA336" s="84" t="n">
        <v>8</v>
      </c>
      <c r="AB336" s="84" t="inlineStr">
        <is>
          <t>E</t>
        </is>
      </c>
      <c r="AC336" s="84" t="inlineStr">
        <is>
          <t>E+</t>
        </is>
      </c>
      <c r="AD336" s="84" t="n">
        <v>12</v>
      </c>
      <c r="AE336" s="84" t="n">
        <v>9</v>
      </c>
      <c r="AF336" s="84" t="n">
        <v>0.76</v>
      </c>
      <c r="AG336" s="84" t="n">
        <v>0.84</v>
      </c>
      <c r="AH336" s="84" t="n">
        <v>0</v>
      </c>
      <c r="AI336" s="84" t="n">
        <v>0</v>
      </c>
      <c r="AJ336" s="84">
        <f>SUMIFS(AH$8:AH$1039,$O$8:$O$1039,O336,$AB$8:$AB$1039,AB336,$R$8:$R$1039,R336,$AA$8:$AA$1039,"&lt;="&amp;AA336)</f>
        <v/>
      </c>
      <c r="AK336" s="84">
        <f>D36</f>
        <v/>
      </c>
      <c r="AL336" s="84">
        <f>D42</f>
        <v/>
      </c>
      <c r="AM336" s="84">
        <f>MAX(0,AJ336-AK336)</f>
        <v/>
      </c>
      <c r="AN336" s="84">
        <f>IF(AM336=0,AH336,IF(AM336&gt;=AH336,0,AH336-AM336))</f>
        <v/>
      </c>
      <c r="AO336" s="84">
        <f>IF(AM336&gt;=AH336,AI336,AI336*AM336/AH336)</f>
        <v/>
      </c>
      <c r="AP336">
        <f t="array" ref="AP336">INDEX($AU$8:$BB$25,6*(R336-1)+MATCH(AB336,$AS$8:$AS$13,0),MATCH(O336,$AU$7:$BB$7,0))</f>
        <v/>
      </c>
    </row>
    <row r="337" ht="14.25" customHeight="1">
      <c r="O337" s="43" t="inlineStr">
        <is>
          <t>Q3’26</t>
        </is>
      </c>
      <c r="P337" s="43" t="n">
        <v>2</v>
      </c>
      <c r="Q337" s="43" t="n">
        <v>13</v>
      </c>
      <c r="R337" s="43" t="n">
        <v>3</v>
      </c>
      <c r="S337" s="45" t="n">
        <v>0</v>
      </c>
      <c r="T337">
        <f>(S335+S336+S337)=P3</f>
        <v/>
      </c>
      <c r="X337" s="84">
        <f>MAX(S334-S337,0)</f>
        <v/>
      </c>
      <c r="Y337" s="83" t="n">
        <v>0</v>
      </c>
      <c r="AA337" s="84" t="n">
        <v>8</v>
      </c>
      <c r="AB337" s="84" t="inlineStr">
        <is>
          <t>E</t>
        </is>
      </c>
      <c r="AC337" s="84" t="inlineStr">
        <is>
          <t>E+</t>
        </is>
      </c>
      <c r="AD337" s="84" t="n">
        <v>12</v>
      </c>
      <c r="AE337" s="84" t="n">
        <v>9</v>
      </c>
      <c r="AF337" s="84" t="n">
        <v>0.76</v>
      </c>
      <c r="AG337" s="84" t="n">
        <v>0.84</v>
      </c>
      <c r="AH337" s="84" t="n">
        <v>0</v>
      </c>
      <c r="AI337" s="84" t="n">
        <v>0</v>
      </c>
      <c r="AJ337" s="84">
        <f>SUMIFS(AH$8:AH$1039,$O$8:$O$1039,O337,$AB$8:$AB$1039,AB337,$R$8:$R$1039,R337,$AA$8:$AA$1039,"&lt;="&amp;AA337)</f>
        <v/>
      </c>
      <c r="AK337" s="84">
        <f>E36</f>
        <v/>
      </c>
      <c r="AL337" s="84">
        <f>E42</f>
        <v/>
      </c>
      <c r="AM337" s="84">
        <f>MAX(0,AJ337-AK337)</f>
        <v/>
      </c>
      <c r="AN337" s="84">
        <f>IF(AM337=0,AH337,IF(AM337&gt;=AH337,0,AH337-AM337))</f>
        <v/>
      </c>
      <c r="AO337" s="84">
        <f>IF(AM337&gt;=AH337,AI337,AI337*AM337/AH337)</f>
        <v/>
      </c>
      <c r="AP337">
        <f t="array" ref="AP337">INDEX($AU$8:$BB$25,6*(R337-1)+MATCH(AB337,$AS$8:$AS$13,0),MATCH(O337,$AU$7:$BB$7,0))</f>
        <v/>
      </c>
    </row>
    <row r="338" ht="14.25" customHeight="1">
      <c r="O338" s="43" t="inlineStr">
        <is>
          <t>Q3’26</t>
        </is>
      </c>
      <c r="P338" s="43" t="n">
        <v>2</v>
      </c>
      <c r="Q338" s="43" t="n">
        <v>14</v>
      </c>
      <c r="R338" s="43" t="n">
        <v>1</v>
      </c>
      <c r="S338" s="45" t="n">
        <v>3563.162790697675</v>
      </c>
      <c r="T338">
        <f>(S338+S339+S340)=P3</f>
        <v/>
      </c>
      <c r="X338" s="84">
        <f>MAX(S335-S338,0)</f>
        <v/>
      </c>
      <c r="Y338" s="83" t="n">
        <v>0</v>
      </c>
      <c r="AA338" s="84" t="n">
        <v>5</v>
      </c>
      <c r="AB338" s="84" t="inlineStr">
        <is>
          <t>E</t>
        </is>
      </c>
      <c r="AC338" s="84" t="inlineStr">
        <is>
          <t>E+</t>
        </is>
      </c>
      <c r="AD338" s="84" t="n">
        <v>15</v>
      </c>
      <c r="AE338" s="84" t="n">
        <v>12</v>
      </c>
      <c r="AF338" s="84" t="n">
        <v>0.76</v>
      </c>
      <c r="AG338" s="84" t="n">
        <v>0.84</v>
      </c>
      <c r="AH338" s="84" t="n">
        <v>0</v>
      </c>
      <c r="AI338" s="84" t="n">
        <v>0</v>
      </c>
      <c r="AJ338" s="84">
        <f>SUMIFS(AH$8:AH$1039,$O$8:$O$1039,O338,$AB$8:$AB$1039,AB338,$R$8:$R$1039,R338,$AA$8:$AA$1039,"&lt;="&amp;AA338)</f>
        <v/>
      </c>
      <c r="AK338" s="84">
        <f>C36</f>
        <v/>
      </c>
      <c r="AL338" s="84">
        <f>C42</f>
        <v/>
      </c>
      <c r="AM338" s="84">
        <f>MAX(0,AJ338-AK338)</f>
        <v/>
      </c>
      <c r="AN338" s="84">
        <f>IF(AM338=0,AH338,IF(AM338&gt;=AH338,0,AH338-AM338))</f>
        <v/>
      </c>
      <c r="AO338" s="84">
        <f>IF(AM338&gt;=AH338,AI338,AI338*AM338/AH338)</f>
        <v/>
      </c>
      <c r="AP338">
        <f t="array" ref="AP338">INDEX($AU$8:$BB$25,6*(R338-1)+MATCH(AB338,$AS$8:$AS$13,0),MATCH(O338,$AU$7:$BB$7,0))</f>
        <v/>
      </c>
    </row>
    <row r="339" ht="14.25" customHeight="1">
      <c r="O339" s="43" t="inlineStr">
        <is>
          <t>Q3’26</t>
        </is>
      </c>
      <c r="P339" s="43" t="n">
        <v>2</v>
      </c>
      <c r="Q339" s="43" t="n">
        <v>14</v>
      </c>
      <c r="R339" s="43" t="n">
        <v>2</v>
      </c>
      <c r="S339" s="45" t="n">
        <v>1836.837209302325</v>
      </c>
      <c r="T339">
        <f>(S338+S339+S340)=P3</f>
        <v/>
      </c>
      <c r="X339" s="84">
        <f>MAX(S336-S339,0)</f>
        <v/>
      </c>
      <c r="Y339" s="83" t="n">
        <v>0</v>
      </c>
      <c r="AA339" s="84" t="n">
        <v>5</v>
      </c>
      <c r="AB339" s="84" t="inlineStr">
        <is>
          <t>E</t>
        </is>
      </c>
      <c r="AC339" s="84" t="inlineStr">
        <is>
          <t>E+</t>
        </is>
      </c>
      <c r="AD339" s="84" t="n">
        <v>15</v>
      </c>
      <c r="AE339" s="84" t="n">
        <v>12</v>
      </c>
      <c r="AF339" s="84" t="n">
        <v>0.76</v>
      </c>
      <c r="AG339" s="84" t="n">
        <v>0.84</v>
      </c>
      <c r="AH339" s="84" t="n">
        <v>0</v>
      </c>
      <c r="AI339" s="84" t="n">
        <v>0</v>
      </c>
      <c r="AJ339" s="84">
        <f>SUMIFS(AH$8:AH$1039,$O$8:$O$1039,O339,$AB$8:$AB$1039,AB339,$R$8:$R$1039,R339,$AA$8:$AA$1039,"&lt;="&amp;AA339)</f>
        <v/>
      </c>
      <c r="AK339" s="84">
        <f>D36</f>
        <v/>
      </c>
      <c r="AL339" s="84">
        <f>D42</f>
        <v/>
      </c>
      <c r="AM339" s="84">
        <f>MAX(0,AJ339-AK339)</f>
        <v/>
      </c>
      <c r="AN339" s="84">
        <f>IF(AM339=0,AH339,IF(AM339&gt;=AH339,0,AH339-AM339))</f>
        <v/>
      </c>
      <c r="AO339" s="84">
        <f>IF(AM339&gt;=AH339,AI339,AI339*AM339/AH339)</f>
        <v/>
      </c>
      <c r="AP339">
        <f t="array" ref="AP339">INDEX($AU$8:$BB$25,6*(R339-1)+MATCH(AB339,$AS$8:$AS$13,0),MATCH(O339,$AU$7:$BB$7,0))</f>
        <v/>
      </c>
    </row>
    <row r="340" ht="14.25" customHeight="1">
      <c r="O340" s="43" t="inlineStr">
        <is>
          <t>Q3’26</t>
        </is>
      </c>
      <c r="P340" s="43" t="n">
        <v>2</v>
      </c>
      <c r="Q340" s="43" t="n">
        <v>14</v>
      </c>
      <c r="R340" s="43" t="n">
        <v>3</v>
      </c>
      <c r="S340" s="45" t="n">
        <v>0</v>
      </c>
      <c r="T340">
        <f>(S338+S339+S340)=P3</f>
        <v/>
      </c>
      <c r="X340" s="84">
        <f>MAX(S337-S340,0)</f>
        <v/>
      </c>
      <c r="Y340" s="83" t="n">
        <v>0</v>
      </c>
      <c r="AA340" s="84" t="n">
        <v>5</v>
      </c>
      <c r="AB340" s="84" t="inlineStr">
        <is>
          <t>E</t>
        </is>
      </c>
      <c r="AC340" s="84" t="inlineStr">
        <is>
          <t>E+</t>
        </is>
      </c>
      <c r="AD340" s="84" t="n">
        <v>15</v>
      </c>
      <c r="AE340" s="84" t="n">
        <v>12</v>
      </c>
      <c r="AF340" s="84" t="n">
        <v>0.76</v>
      </c>
      <c r="AG340" s="84" t="n">
        <v>0.84</v>
      </c>
      <c r="AH340" s="84" t="n">
        <v>0</v>
      </c>
      <c r="AI340" s="84" t="n">
        <v>0</v>
      </c>
      <c r="AJ340" s="84">
        <f>SUMIFS(AH$8:AH$1039,$O$8:$O$1039,O340,$AB$8:$AB$1039,AB340,$R$8:$R$1039,R340,$AA$8:$AA$1039,"&lt;="&amp;AA340)</f>
        <v/>
      </c>
      <c r="AK340" s="84">
        <f>E36</f>
        <v/>
      </c>
      <c r="AL340" s="84">
        <f>E42</f>
        <v/>
      </c>
      <c r="AM340" s="84">
        <f>MAX(0,AJ340-AK340)</f>
        <v/>
      </c>
      <c r="AN340" s="84">
        <f>IF(AM340=0,AH340,IF(AM340&gt;=AH340,0,AH340-AM340))</f>
        <v/>
      </c>
      <c r="AO340" s="84">
        <f>IF(AM340&gt;=AH340,AI340,AI340*AM340/AH340)</f>
        <v/>
      </c>
      <c r="AP340">
        <f t="array" ref="AP340">INDEX($AU$8:$BB$25,6*(R340-1)+MATCH(AB340,$AS$8:$AS$13,0),MATCH(O340,$AU$7:$BB$7,0))</f>
        <v/>
      </c>
    </row>
    <row r="341" ht="14.25" customHeight="1">
      <c r="O341" s="43" t="inlineStr">
        <is>
          <t>Q3’26</t>
        </is>
      </c>
      <c r="P341" s="43" t="n">
        <v>2</v>
      </c>
      <c r="Q341" s="43" t="n">
        <v>15</v>
      </c>
      <c r="R341" s="43" t="n">
        <v>1</v>
      </c>
      <c r="S341" s="45" t="n">
        <v>3563.162790697675</v>
      </c>
      <c r="T341">
        <f>(S341+S342+S343)=P3</f>
        <v/>
      </c>
      <c r="X341" s="84">
        <f>MAX(S338-S341,0)</f>
        <v/>
      </c>
      <c r="Y341" s="83" t="n">
        <v>0</v>
      </c>
      <c r="AA341" s="84" t="n">
        <v>7</v>
      </c>
      <c r="AB341" s="84" t="inlineStr">
        <is>
          <t>E</t>
        </is>
      </c>
      <c r="AC341" s="84" t="inlineStr">
        <is>
          <t>E+</t>
        </is>
      </c>
      <c r="AD341" s="84" t="n">
        <v>13</v>
      </c>
      <c r="AE341" s="84" t="n">
        <v>10</v>
      </c>
      <c r="AF341" s="84" t="n">
        <v>0.76</v>
      </c>
      <c r="AG341" s="84" t="n">
        <v>0.84</v>
      </c>
      <c r="AH341" s="84" t="n">
        <v>0</v>
      </c>
      <c r="AI341" s="84" t="n">
        <v>0</v>
      </c>
      <c r="AJ341" s="84">
        <f>SUMIFS(AH$8:AH$1039,$O$8:$O$1039,O341,$AB$8:$AB$1039,AB341,$R$8:$R$1039,R341,$AA$8:$AA$1039,"&lt;="&amp;AA341)</f>
        <v/>
      </c>
      <c r="AK341" s="84">
        <f>C36</f>
        <v/>
      </c>
      <c r="AL341" s="84">
        <f>C42</f>
        <v/>
      </c>
      <c r="AM341" s="84">
        <f>MAX(0,AJ341-AK341)</f>
        <v/>
      </c>
      <c r="AN341" s="84">
        <f>IF(AM341=0,AH341,IF(AM341&gt;=AH341,0,AH341-AM341))</f>
        <v/>
      </c>
      <c r="AO341" s="84">
        <f>IF(AM341&gt;=AH341,AI341,AI341*AM341/AH341)</f>
        <v/>
      </c>
      <c r="AP341">
        <f t="array" ref="AP341">INDEX($AU$8:$BB$25,6*(R341-1)+MATCH(AB341,$AS$8:$AS$13,0),MATCH(O341,$AU$7:$BB$7,0))</f>
        <v/>
      </c>
    </row>
    <row r="342" ht="14.25" customHeight="1">
      <c r="O342" s="43" t="inlineStr">
        <is>
          <t>Q3’26</t>
        </is>
      </c>
      <c r="P342" s="43" t="n">
        <v>2</v>
      </c>
      <c r="Q342" s="43" t="n">
        <v>15</v>
      </c>
      <c r="R342" s="43" t="n">
        <v>2</v>
      </c>
      <c r="S342" s="45" t="n">
        <v>1836.837209302302</v>
      </c>
      <c r="T342">
        <f>(S341+S342+S343)=P3</f>
        <v/>
      </c>
      <c r="X342" s="84">
        <f>MAX(S339-S342,0)</f>
        <v/>
      </c>
      <c r="Y342" s="83" t="n">
        <v>0</v>
      </c>
      <c r="AA342" s="84" t="n">
        <v>7</v>
      </c>
      <c r="AB342" s="84" t="inlineStr">
        <is>
          <t>E</t>
        </is>
      </c>
      <c r="AC342" s="84" t="inlineStr">
        <is>
          <t>E+</t>
        </is>
      </c>
      <c r="AD342" s="84" t="n">
        <v>13</v>
      </c>
      <c r="AE342" s="84" t="n">
        <v>10</v>
      </c>
      <c r="AF342" s="84" t="n">
        <v>0.76</v>
      </c>
      <c r="AG342" s="84" t="n">
        <v>0.84</v>
      </c>
      <c r="AH342" s="84" t="n">
        <v>0</v>
      </c>
      <c r="AI342" s="84" t="n">
        <v>0</v>
      </c>
      <c r="AJ342" s="84">
        <f>SUMIFS(AH$8:AH$1039,$O$8:$O$1039,O342,$AB$8:$AB$1039,AB342,$R$8:$R$1039,R342,$AA$8:$AA$1039,"&lt;="&amp;AA342)</f>
        <v/>
      </c>
      <c r="AK342" s="84">
        <f>D36</f>
        <v/>
      </c>
      <c r="AL342" s="84">
        <f>D42</f>
        <v/>
      </c>
      <c r="AM342" s="84">
        <f>MAX(0,AJ342-AK342)</f>
        <v/>
      </c>
      <c r="AN342" s="84">
        <f>IF(AM342=0,AH342,IF(AM342&gt;=AH342,0,AH342-AM342))</f>
        <v/>
      </c>
      <c r="AO342" s="84">
        <f>IF(AM342&gt;=AH342,AI342,AI342*AM342/AH342)</f>
        <v/>
      </c>
      <c r="AP342">
        <f t="array" ref="AP342">INDEX($AU$8:$BB$25,6*(R342-1)+MATCH(AB342,$AS$8:$AS$13,0),MATCH(O342,$AU$7:$BB$7,0))</f>
        <v/>
      </c>
    </row>
    <row r="343" ht="14.25" customHeight="1">
      <c r="O343" s="43" t="inlineStr">
        <is>
          <t>Q3’26</t>
        </is>
      </c>
      <c r="P343" s="43" t="n">
        <v>2</v>
      </c>
      <c r="Q343" s="43" t="n">
        <v>15</v>
      </c>
      <c r="R343" s="43" t="n">
        <v>3</v>
      </c>
      <c r="S343" s="45" t="n">
        <v>2.364686224609613e-11</v>
      </c>
      <c r="T343">
        <f>(S341+S342+S343)=P3</f>
        <v/>
      </c>
      <c r="X343" s="84">
        <f>MAX(S340-S343,0)</f>
        <v/>
      </c>
      <c r="Y343" s="83" t="n">
        <v>0</v>
      </c>
      <c r="AA343" s="84" t="n">
        <v>7</v>
      </c>
      <c r="AB343" s="84" t="inlineStr">
        <is>
          <t>E</t>
        </is>
      </c>
      <c r="AC343" s="84" t="inlineStr">
        <is>
          <t>E+</t>
        </is>
      </c>
      <c r="AD343" s="84" t="n">
        <v>13</v>
      </c>
      <c r="AE343" s="84" t="n">
        <v>10</v>
      </c>
      <c r="AF343" s="84" t="n">
        <v>0.76</v>
      </c>
      <c r="AG343" s="84" t="n">
        <v>0.84</v>
      </c>
      <c r="AH343" s="84" t="n">
        <v>0</v>
      </c>
      <c r="AI343" s="84" t="n">
        <v>0</v>
      </c>
      <c r="AJ343" s="84">
        <f>SUMIFS(AH$8:AH$1039,$O$8:$O$1039,O343,$AB$8:$AB$1039,AB343,$R$8:$R$1039,R343,$AA$8:$AA$1039,"&lt;="&amp;AA343)</f>
        <v/>
      </c>
      <c r="AK343" s="84">
        <f>E36</f>
        <v/>
      </c>
      <c r="AL343" s="84">
        <f>E42</f>
        <v/>
      </c>
      <c r="AM343" s="84">
        <f>MAX(0,AJ343-AK343)</f>
        <v/>
      </c>
      <c r="AN343" s="84">
        <f>IF(AM343=0,AH343,IF(AM343&gt;=AH343,0,AH343-AM343))</f>
        <v/>
      </c>
      <c r="AO343" s="84">
        <f>IF(AM343&gt;=AH343,AI343,AI343*AM343/AH343)</f>
        <v/>
      </c>
      <c r="AP343">
        <f t="array" ref="AP343">INDEX($AU$8:$BB$25,6*(R343-1)+MATCH(AB343,$AS$8:$AS$13,0),MATCH(O343,$AU$7:$BB$7,0))</f>
        <v/>
      </c>
    </row>
    <row r="344" ht="14.25" customHeight="1">
      <c r="O344" s="43" t="inlineStr">
        <is>
          <t>Q3’26</t>
        </is>
      </c>
      <c r="P344" s="43" t="n">
        <v>3</v>
      </c>
      <c r="Q344" s="43" t="n">
        <v>1</v>
      </c>
      <c r="R344" s="43" t="n">
        <v>1</v>
      </c>
      <c r="S344" s="45" t="n">
        <v>-0</v>
      </c>
      <c r="T344">
        <f>(S344+S345+S346)=P4</f>
        <v/>
      </c>
      <c r="X344" s="84" t="n">
        <v>0</v>
      </c>
      <c r="Y344" s="83" t="n">
        <v>0</v>
      </c>
      <c r="AA344" s="84" t="n">
        <v>1</v>
      </c>
      <c r="AB344" s="84" t="inlineStr">
        <is>
          <t>C</t>
        </is>
      </c>
      <c r="AC344" s="84" t="inlineStr">
        <is>
          <t>C+</t>
        </is>
      </c>
      <c r="AD344" s="84" t="n">
        <v>21</v>
      </c>
      <c r="AE344" s="84" t="n">
        <v>20</v>
      </c>
      <c r="AF344" s="84" t="n">
        <v>0.8</v>
      </c>
      <c r="AG344" s="84" t="n">
        <v>0.86</v>
      </c>
      <c r="AH344" s="84" t="n">
        <v>0</v>
      </c>
      <c r="AI344" s="84" t="n">
        <v>0</v>
      </c>
      <c r="AJ344" s="84">
        <f>SUMIFS(AH$8:AH$1039,$O$8:$O$1039,O344,$AB$8:$AB$1039,AB344,$R$8:$R$1039,R344,$AA$8:$AA$1039,"&lt;="&amp;AA344)</f>
        <v/>
      </c>
      <c r="AK344" s="84">
        <f>C34</f>
        <v/>
      </c>
      <c r="AL344" s="84">
        <f>C40</f>
        <v/>
      </c>
      <c r="AM344" s="84">
        <f>MAX(0,AJ344-AK344)</f>
        <v/>
      </c>
      <c r="AN344" s="84">
        <f>IF(AM344=0,AH344,IF(AM344&gt;=AH344,0,AH344-AM344))</f>
        <v/>
      </c>
      <c r="AO344" s="84">
        <f>IF(AM344&gt;=AH344,AI344,AI344*AM344/AH344)</f>
        <v/>
      </c>
      <c r="AP344">
        <f t="array" ref="AP344">INDEX($AU$8:$BB$25,6*(R344-1)+MATCH(AB344,$AS$8:$AS$13,0),MATCH(O344,$AU$7:$BB$7,0))</f>
        <v/>
      </c>
    </row>
    <row r="345" ht="14.25" customHeight="1">
      <c r="O345" s="43" t="inlineStr">
        <is>
          <t>Q3’26</t>
        </is>
      </c>
      <c r="P345" s="43" t="n">
        <v>3</v>
      </c>
      <c r="Q345" s="43" t="n">
        <v>1</v>
      </c>
      <c r="R345" s="43" t="n">
        <v>2</v>
      </c>
      <c r="S345" s="45" t="n">
        <v>3263.548235294115</v>
      </c>
      <c r="T345">
        <f>(S344+S345+S346)=P4</f>
        <v/>
      </c>
      <c r="X345" s="84" t="n">
        <v>0</v>
      </c>
      <c r="Y345" s="83" t="n">
        <v>0</v>
      </c>
      <c r="AA345" s="84" t="n">
        <v>1</v>
      </c>
      <c r="AB345" s="84" t="inlineStr">
        <is>
          <t>C</t>
        </is>
      </c>
      <c r="AC345" s="84" t="inlineStr">
        <is>
          <t>C+</t>
        </is>
      </c>
      <c r="AD345" s="84" t="n">
        <v>21</v>
      </c>
      <c r="AE345" s="84" t="n">
        <v>20</v>
      </c>
      <c r="AF345" s="84" t="n">
        <v>0.8</v>
      </c>
      <c r="AG345" s="84" t="n">
        <v>0.86</v>
      </c>
      <c r="AH345" s="84" t="n">
        <v>0</v>
      </c>
      <c r="AI345" s="84" t="n">
        <v>0</v>
      </c>
      <c r="AJ345" s="84">
        <f>SUMIFS(AH$8:AH$1039,$O$8:$O$1039,O345,$AB$8:$AB$1039,AB345,$R$8:$R$1039,R345,$AA$8:$AA$1039,"&lt;="&amp;AA345)</f>
        <v/>
      </c>
      <c r="AK345" s="84">
        <f>D34</f>
        <v/>
      </c>
      <c r="AL345" s="84">
        <f>D40</f>
        <v/>
      </c>
      <c r="AM345" s="84">
        <f>MAX(0,AJ345-AK345)</f>
        <v/>
      </c>
      <c r="AN345" s="84">
        <f>IF(AM345=0,AH345,IF(AM345&gt;=AH345,0,AH345-AM345))</f>
        <v/>
      </c>
      <c r="AO345" s="84">
        <f>IF(AM345&gt;=AH345,AI345,AI345*AM345/AH345)</f>
        <v/>
      </c>
      <c r="AP345">
        <f t="array" ref="AP345">INDEX($AU$8:$BB$25,6*(R345-1)+MATCH(AB345,$AS$8:$AS$13,0),MATCH(O345,$AU$7:$BB$7,0))</f>
        <v/>
      </c>
    </row>
    <row r="346" ht="14.25" customHeight="1">
      <c r="O346" s="43" t="inlineStr">
        <is>
          <t>Q3’26</t>
        </is>
      </c>
      <c r="P346" s="43" t="n">
        <v>3</v>
      </c>
      <c r="Q346" s="43" t="n">
        <v>1</v>
      </c>
      <c r="R346" s="43" t="n">
        <v>3</v>
      </c>
      <c r="S346" s="45" t="n">
        <v>3736.451764705885</v>
      </c>
      <c r="T346">
        <f>(S344+S345+S346)=P4</f>
        <v/>
      </c>
      <c r="X346" s="84" t="n">
        <v>0</v>
      </c>
      <c r="Y346" s="83" t="n">
        <v>0</v>
      </c>
      <c r="AA346" s="84" t="n">
        <v>1</v>
      </c>
      <c r="AB346" s="84" t="inlineStr">
        <is>
          <t>C</t>
        </is>
      </c>
      <c r="AC346" s="84" t="inlineStr">
        <is>
          <t>C+</t>
        </is>
      </c>
      <c r="AD346" s="84" t="n">
        <v>21</v>
      </c>
      <c r="AE346" s="84" t="n">
        <v>20</v>
      </c>
      <c r="AF346" s="84" t="n">
        <v>0.8</v>
      </c>
      <c r="AG346" s="84" t="n">
        <v>0.86</v>
      </c>
      <c r="AH346" s="84" t="n">
        <v>0</v>
      </c>
      <c r="AI346" s="84" t="n">
        <v>0</v>
      </c>
      <c r="AJ346" s="84">
        <f>SUMIFS(AH$8:AH$1039,$O$8:$O$1039,O346,$AB$8:$AB$1039,AB346,$R$8:$R$1039,R346,$AA$8:$AA$1039,"&lt;="&amp;AA346)</f>
        <v/>
      </c>
      <c r="AK346" s="84">
        <f>E34</f>
        <v/>
      </c>
      <c r="AL346" s="84">
        <f>E40</f>
        <v/>
      </c>
      <c r="AM346" s="84">
        <f>MAX(0,AJ346-AK346)</f>
        <v/>
      </c>
      <c r="AN346" s="84">
        <f>IF(AM346=0,AH346,IF(AM346&gt;=AH346,0,AH346-AM346))</f>
        <v/>
      </c>
      <c r="AO346" s="84">
        <f>IF(AM346&gt;=AH346,AI346,AI346*AM346/AH346)</f>
        <v/>
      </c>
      <c r="AP346">
        <f t="array" ref="AP346">INDEX($AU$8:$BB$25,6*(R346-1)+MATCH(AB346,$AS$8:$AS$13,0),MATCH(O346,$AU$7:$BB$7,0))</f>
        <v/>
      </c>
    </row>
    <row r="347" ht="14.25" customHeight="1">
      <c r="O347" s="43" t="inlineStr">
        <is>
          <t>Q3’26</t>
        </is>
      </c>
      <c r="P347" s="43" t="n">
        <v>3</v>
      </c>
      <c r="Q347" s="43" t="n">
        <v>2</v>
      </c>
      <c r="R347" s="43" t="n">
        <v>1</v>
      </c>
      <c r="S347" s="45" t="n">
        <v>0</v>
      </c>
      <c r="T347">
        <f>(S347+S348+S349)=P4</f>
        <v/>
      </c>
      <c r="X347" s="84">
        <f>MAX(S344-S347,0)</f>
        <v/>
      </c>
      <c r="Y347" s="83" t="n">
        <v>0</v>
      </c>
      <c r="AA347" s="84" t="n">
        <v>8</v>
      </c>
      <c r="AB347" s="84" t="inlineStr">
        <is>
          <t>D</t>
        </is>
      </c>
      <c r="AC347" s="84" t="inlineStr">
        <is>
          <t>D+</t>
        </is>
      </c>
      <c r="AD347" s="84" t="n">
        <v>9</v>
      </c>
      <c r="AE347" s="84" t="n">
        <v>7</v>
      </c>
      <c r="AF347" s="84" t="n">
        <v>0.8</v>
      </c>
      <c r="AG347" s="84" t="n">
        <v>0.88</v>
      </c>
      <c r="AH347" s="84" t="n">
        <v>0</v>
      </c>
      <c r="AI347" s="84" t="n">
        <v>0</v>
      </c>
      <c r="AJ347" s="84">
        <f>SUMIFS(AH$8:AH$1039,$O$8:$O$1039,O347,$AB$8:$AB$1039,AB347,$R$8:$R$1039,R347,$AA$8:$AA$1039,"&lt;="&amp;AA347)</f>
        <v/>
      </c>
      <c r="AK347" s="84">
        <f>C35</f>
        <v/>
      </c>
      <c r="AL347" s="84">
        <f>C41</f>
        <v/>
      </c>
      <c r="AM347" s="84">
        <f>MAX(0,AJ347-AK347)</f>
        <v/>
      </c>
      <c r="AN347" s="84">
        <f>IF(AM347=0,AH347,IF(AM347&gt;=AH347,0,AH347-AM347))</f>
        <v/>
      </c>
      <c r="AO347" s="84">
        <f>IF(AM347&gt;=AH347,AI347,AI347*AM347/AH347)</f>
        <v/>
      </c>
      <c r="AP347">
        <f t="array" ref="AP347">INDEX($AU$8:$BB$25,6*(R347-1)+MATCH(AB347,$AS$8:$AS$13,0),MATCH(O347,$AU$7:$BB$7,0))</f>
        <v/>
      </c>
    </row>
    <row r="348" ht="14.25" customHeight="1">
      <c r="O348" s="43" t="inlineStr">
        <is>
          <t>Q3’26</t>
        </is>
      </c>
      <c r="P348" s="43" t="n">
        <v>3</v>
      </c>
      <c r="Q348" s="43" t="n">
        <v>2</v>
      </c>
      <c r="R348" s="43" t="n">
        <v>2</v>
      </c>
      <c r="S348" s="45" t="n">
        <v>3263.548235294109</v>
      </c>
      <c r="T348">
        <f>(S347+S348+S349)=P4</f>
        <v/>
      </c>
      <c r="X348" s="84">
        <f>MAX(S345-S348,0)</f>
        <v/>
      </c>
      <c r="Y348" s="83" t="n">
        <v>0</v>
      </c>
      <c r="AA348" s="84" t="n">
        <v>8</v>
      </c>
      <c r="AB348" s="84" t="inlineStr">
        <is>
          <t>D</t>
        </is>
      </c>
      <c r="AC348" s="84" t="inlineStr">
        <is>
          <t>D+</t>
        </is>
      </c>
      <c r="AD348" s="84" t="n">
        <v>9</v>
      </c>
      <c r="AE348" s="84" t="n">
        <v>7</v>
      </c>
      <c r="AF348" s="84" t="n">
        <v>0.8</v>
      </c>
      <c r="AG348" s="84" t="n">
        <v>0.88</v>
      </c>
      <c r="AH348" s="84" t="n">
        <v>0</v>
      </c>
      <c r="AI348" s="84" t="n">
        <v>0</v>
      </c>
      <c r="AJ348" s="84">
        <f>SUMIFS(AH$8:AH$1039,$O$8:$O$1039,O348,$AB$8:$AB$1039,AB348,$R$8:$R$1039,R348,$AA$8:$AA$1039,"&lt;="&amp;AA348)</f>
        <v/>
      </c>
      <c r="AK348" s="84">
        <f>D35</f>
        <v/>
      </c>
      <c r="AL348" s="84">
        <f>D41</f>
        <v/>
      </c>
      <c r="AM348" s="84">
        <f>MAX(0,AJ348-AK348)</f>
        <v/>
      </c>
      <c r="AN348" s="84">
        <f>IF(AM348=0,AH348,IF(AM348&gt;=AH348,0,AH348-AM348))</f>
        <v/>
      </c>
      <c r="AO348" s="84">
        <f>IF(AM348&gt;=AH348,AI348,AI348*AM348/AH348)</f>
        <v/>
      </c>
      <c r="AP348">
        <f t="array" ref="AP348">INDEX($AU$8:$BB$25,6*(R348-1)+MATCH(AB348,$AS$8:$AS$13,0),MATCH(O348,$AU$7:$BB$7,0))</f>
        <v/>
      </c>
    </row>
    <row r="349" ht="14.25" customHeight="1">
      <c r="O349" s="43" t="inlineStr">
        <is>
          <t>Q3’26</t>
        </is>
      </c>
      <c r="P349" s="43" t="n">
        <v>3</v>
      </c>
      <c r="Q349" s="43" t="n">
        <v>2</v>
      </c>
      <c r="R349" s="43" t="n">
        <v>3</v>
      </c>
      <c r="S349" s="45" t="n">
        <v>3736.451764705891</v>
      </c>
      <c r="T349">
        <f>(S347+S348+S349)=P4</f>
        <v/>
      </c>
      <c r="X349" s="84">
        <f>MAX(S346-S349,0)</f>
        <v/>
      </c>
      <c r="Y349" s="83" t="n">
        <v>0</v>
      </c>
      <c r="AA349" s="84" t="n">
        <v>8</v>
      </c>
      <c r="AB349" s="84" t="inlineStr">
        <is>
          <t>D</t>
        </is>
      </c>
      <c r="AC349" s="84" t="inlineStr">
        <is>
          <t>D+</t>
        </is>
      </c>
      <c r="AD349" s="84" t="n">
        <v>9</v>
      </c>
      <c r="AE349" s="84" t="n">
        <v>7</v>
      </c>
      <c r="AF349" s="84" t="n">
        <v>0.8</v>
      </c>
      <c r="AG349" s="84" t="n">
        <v>0.88</v>
      </c>
      <c r="AH349" s="84" t="n">
        <v>0</v>
      </c>
      <c r="AI349" s="84" t="n">
        <v>0</v>
      </c>
      <c r="AJ349" s="84">
        <f>SUMIFS(AH$8:AH$1039,$O$8:$O$1039,O349,$AB$8:$AB$1039,AB349,$R$8:$R$1039,R349,$AA$8:$AA$1039,"&lt;="&amp;AA349)</f>
        <v/>
      </c>
      <c r="AK349" s="84">
        <f>E35</f>
        <v/>
      </c>
      <c r="AL349" s="84">
        <f>E41</f>
        <v/>
      </c>
      <c r="AM349" s="84">
        <f>MAX(0,AJ349-AK349)</f>
        <v/>
      </c>
      <c r="AN349" s="84">
        <f>IF(AM349=0,AH349,IF(AM349&gt;=AH349,0,AH349-AM349))</f>
        <v/>
      </c>
      <c r="AO349" s="84">
        <f>IF(AM349&gt;=AH349,AI349,AI349*AM349/AH349)</f>
        <v/>
      </c>
      <c r="AP349">
        <f t="array" ref="AP349">INDEX($AU$8:$BB$25,6*(R349-1)+MATCH(AB349,$AS$8:$AS$13,0),MATCH(O349,$AU$7:$BB$7,0))</f>
        <v/>
      </c>
    </row>
    <row r="350" ht="14.25" customHeight="1">
      <c r="O350" s="43" t="inlineStr">
        <is>
          <t>Q3’26</t>
        </is>
      </c>
      <c r="P350" s="43" t="n">
        <v>3</v>
      </c>
      <c r="Q350" s="43" t="n">
        <v>3</v>
      </c>
      <c r="R350" s="43" t="n">
        <v>1</v>
      </c>
      <c r="S350" s="45" t="n">
        <v>1e-12</v>
      </c>
      <c r="T350">
        <f>(S350+S351+S352)=P4</f>
        <v/>
      </c>
      <c r="X350" s="84">
        <f>MAX(S347-S350,0)</f>
        <v/>
      </c>
      <c r="Y350" s="83" t="n">
        <v>0</v>
      </c>
      <c r="AA350" s="84" t="n">
        <v>1</v>
      </c>
      <c r="AB350" s="84" t="inlineStr">
        <is>
          <t>E</t>
        </is>
      </c>
      <c r="AC350" s="84" t="inlineStr">
        <is>
          <t>E+</t>
        </is>
      </c>
      <c r="AD350" s="84" t="n">
        <v>24</v>
      </c>
      <c r="AE350" s="84" t="n">
        <v>23</v>
      </c>
      <c r="AF350" s="84" t="n">
        <v>0.76</v>
      </c>
      <c r="AG350" s="84" t="n">
        <v>0.84</v>
      </c>
      <c r="AH350" s="84" t="n">
        <v>0</v>
      </c>
      <c r="AI350" s="84" t="n">
        <v>0</v>
      </c>
      <c r="AJ350" s="84">
        <f>SUMIFS(AH$8:AH$1039,$O$8:$O$1039,O350,$AB$8:$AB$1039,AB350,$R$8:$R$1039,R350,$AA$8:$AA$1039,"&lt;="&amp;AA350)</f>
        <v/>
      </c>
      <c r="AK350" s="84">
        <f>C36</f>
        <v/>
      </c>
      <c r="AL350" s="84">
        <f>C42</f>
        <v/>
      </c>
      <c r="AM350" s="84">
        <f>MAX(0,AJ350-AK350)</f>
        <v/>
      </c>
      <c r="AN350" s="84">
        <f>IF(AM350=0,AH350,IF(AM350&gt;=AH350,0,AH350-AM350))</f>
        <v/>
      </c>
      <c r="AO350" s="84">
        <f>IF(AM350&gt;=AH350,AI350,AI350*AM350/AH350)</f>
        <v/>
      </c>
      <c r="AP350">
        <f t="array" ref="AP350">INDEX($AU$8:$BB$25,6*(R350-1)+MATCH(AB350,$AS$8:$AS$13,0),MATCH(O350,$AU$7:$BB$7,0))</f>
        <v/>
      </c>
    </row>
    <row r="351" ht="14.25" customHeight="1">
      <c r="O351" s="43" t="inlineStr">
        <is>
          <t>Q3’26</t>
        </is>
      </c>
      <c r="P351" s="43" t="n">
        <v>3</v>
      </c>
      <c r="Q351" s="43" t="n">
        <v>3</v>
      </c>
      <c r="R351" s="43" t="n">
        <v>2</v>
      </c>
      <c r="S351" s="45" t="n">
        <v>3263.548235294109</v>
      </c>
      <c r="T351">
        <f>(S350+S351+S352)=P4</f>
        <v/>
      </c>
      <c r="X351" s="84">
        <f>MAX(S348-S351,0)</f>
        <v/>
      </c>
      <c r="Y351" s="83" t="n">
        <v>0</v>
      </c>
      <c r="AA351" s="84" t="n">
        <v>1</v>
      </c>
      <c r="AB351" s="84" t="inlineStr">
        <is>
          <t>E</t>
        </is>
      </c>
      <c r="AC351" s="84" t="inlineStr">
        <is>
          <t>E+</t>
        </is>
      </c>
      <c r="AD351" s="84" t="n">
        <v>24</v>
      </c>
      <c r="AE351" s="84" t="n">
        <v>23</v>
      </c>
      <c r="AF351" s="84" t="n">
        <v>0.76</v>
      </c>
      <c r="AG351" s="84" t="n">
        <v>0.84</v>
      </c>
      <c r="AH351" s="84" t="n">
        <v>0</v>
      </c>
      <c r="AI351" s="84" t="n">
        <v>0</v>
      </c>
      <c r="AJ351" s="84">
        <f>SUMIFS(AH$8:AH$1039,$O$8:$O$1039,O351,$AB$8:$AB$1039,AB351,$R$8:$R$1039,R351,$AA$8:$AA$1039,"&lt;="&amp;AA351)</f>
        <v/>
      </c>
      <c r="AK351" s="84">
        <f>D36</f>
        <v/>
      </c>
      <c r="AL351" s="84">
        <f>D42</f>
        <v/>
      </c>
      <c r="AM351" s="84">
        <f>MAX(0,AJ351-AK351)</f>
        <v/>
      </c>
      <c r="AN351" s="84">
        <f>IF(AM351=0,AH351,IF(AM351&gt;=AH351,0,AH351-AM351))</f>
        <v/>
      </c>
      <c r="AO351" s="84">
        <f>IF(AM351&gt;=AH351,AI351,AI351*AM351/AH351)</f>
        <v/>
      </c>
      <c r="AP351">
        <f t="array" ref="AP351">INDEX($AU$8:$BB$25,6*(R351-1)+MATCH(AB351,$AS$8:$AS$13,0),MATCH(O351,$AU$7:$BB$7,0))</f>
        <v/>
      </c>
    </row>
    <row r="352" ht="14.25" customHeight="1">
      <c r="O352" s="43" t="inlineStr">
        <is>
          <t>Q3’26</t>
        </is>
      </c>
      <c r="P352" s="43" t="n">
        <v>3</v>
      </c>
      <c r="Q352" s="43" t="n">
        <v>3</v>
      </c>
      <c r="R352" s="43" t="n">
        <v>3</v>
      </c>
      <c r="S352" s="45" t="n">
        <v>3736.45176470589</v>
      </c>
      <c r="T352">
        <f>(S350+S351+S352)=P4</f>
        <v/>
      </c>
      <c r="X352" s="84">
        <f>MAX(S349-S352,0)</f>
        <v/>
      </c>
      <c r="Y352" s="83" t="n">
        <v>0</v>
      </c>
      <c r="AA352" s="84" t="n">
        <v>1</v>
      </c>
      <c r="AB352" s="84" t="inlineStr">
        <is>
          <t>E</t>
        </is>
      </c>
      <c r="AC352" s="84" t="inlineStr">
        <is>
          <t>E+</t>
        </is>
      </c>
      <c r="AD352" s="84" t="n">
        <v>24</v>
      </c>
      <c r="AE352" s="84" t="n">
        <v>23</v>
      </c>
      <c r="AF352" s="84" t="n">
        <v>0.76</v>
      </c>
      <c r="AG352" s="84" t="n">
        <v>0.84</v>
      </c>
      <c r="AH352" s="84" t="n">
        <v>0</v>
      </c>
      <c r="AI352" s="84" t="n">
        <v>0</v>
      </c>
      <c r="AJ352" s="84">
        <f>SUMIFS(AH$8:AH$1039,$O$8:$O$1039,O352,$AB$8:$AB$1039,AB352,$R$8:$R$1039,R352,$AA$8:$AA$1039,"&lt;="&amp;AA352)</f>
        <v/>
      </c>
      <c r="AK352" s="84">
        <f>E36</f>
        <v/>
      </c>
      <c r="AL352" s="84">
        <f>E42</f>
        <v/>
      </c>
      <c r="AM352" s="84">
        <f>MAX(0,AJ352-AK352)</f>
        <v/>
      </c>
      <c r="AN352" s="84">
        <f>IF(AM352=0,AH352,IF(AM352&gt;=AH352,0,AH352-AM352))</f>
        <v/>
      </c>
      <c r="AO352" s="84">
        <f>IF(AM352&gt;=AH352,AI352,AI352*AM352/AH352)</f>
        <v/>
      </c>
      <c r="AP352">
        <f t="array" ref="AP352">INDEX($AU$8:$BB$25,6*(R352-1)+MATCH(AB352,$AS$8:$AS$13,0),MATCH(O352,$AU$7:$BB$7,0))</f>
        <v/>
      </c>
    </row>
    <row r="353" ht="14.25" customHeight="1">
      <c r="O353" s="43" t="inlineStr">
        <is>
          <t>Q3’26</t>
        </is>
      </c>
      <c r="P353" s="43" t="n">
        <v>3</v>
      </c>
      <c r="Q353" s="43" t="n">
        <v>4</v>
      </c>
      <c r="R353" s="43" t="n">
        <v>1</v>
      </c>
      <c r="S353" s="45" t="n">
        <v>1e-12</v>
      </c>
      <c r="T353">
        <f>(S353+S354+S355)=P4</f>
        <v/>
      </c>
      <c r="X353" s="84">
        <f>MAX(S350-S353,0)</f>
        <v/>
      </c>
      <c r="Y353" s="83" t="n">
        <v>0</v>
      </c>
      <c r="AA353" s="84" t="n">
        <v>9</v>
      </c>
      <c r="AB353" s="84" t="inlineStr">
        <is>
          <t>E</t>
        </is>
      </c>
      <c r="AC353" s="84" t="inlineStr">
        <is>
          <t>E+</t>
        </is>
      </c>
      <c r="AD353" s="84" t="n">
        <v>15</v>
      </c>
      <c r="AE353" s="84" t="n">
        <v>11</v>
      </c>
      <c r="AF353" s="84" t="n">
        <v>0.76</v>
      </c>
      <c r="AG353" s="84" t="n">
        <v>0.84</v>
      </c>
      <c r="AH353" s="84" t="n">
        <v>0</v>
      </c>
      <c r="AI353" s="84" t="n">
        <v>0</v>
      </c>
      <c r="AJ353" s="84">
        <f>SUMIFS(AH$8:AH$1039,$O$8:$O$1039,O353,$AB$8:$AB$1039,AB353,$R$8:$R$1039,R353,$AA$8:$AA$1039,"&lt;="&amp;AA353)</f>
        <v/>
      </c>
      <c r="AK353" s="84">
        <f>C36</f>
        <v/>
      </c>
      <c r="AL353" s="84">
        <f>C42</f>
        <v/>
      </c>
      <c r="AM353" s="84">
        <f>MAX(0,AJ353-AK353)</f>
        <v/>
      </c>
      <c r="AN353" s="84">
        <f>IF(AM353=0,AH353,IF(AM353&gt;=AH353,0,AH353-AM353))</f>
        <v/>
      </c>
      <c r="AO353" s="84">
        <f>IF(AM353&gt;=AH353,AI353,AI353*AM353/AH353)</f>
        <v/>
      </c>
      <c r="AP353">
        <f t="array" ref="AP353">INDEX($AU$8:$BB$25,6*(R353-1)+MATCH(AB353,$AS$8:$AS$13,0),MATCH(O353,$AU$7:$BB$7,0))</f>
        <v/>
      </c>
    </row>
    <row r="354" ht="14.25" customHeight="1">
      <c r="O354" s="43" t="inlineStr">
        <is>
          <t>Q3’26</t>
        </is>
      </c>
      <c r="P354" s="43" t="n">
        <v>3</v>
      </c>
      <c r="Q354" s="43" t="n">
        <v>4</v>
      </c>
      <c r="R354" s="43" t="n">
        <v>2</v>
      </c>
      <c r="S354" s="45" t="n">
        <v>3263.548235294134</v>
      </c>
      <c r="T354">
        <f>(S353+S354+S355)=P4</f>
        <v/>
      </c>
      <c r="X354" s="84">
        <f>MAX(S351-S354,0)</f>
        <v/>
      </c>
      <c r="Y354" s="83" t="n">
        <v>0</v>
      </c>
      <c r="AA354" s="84" t="n">
        <v>9</v>
      </c>
      <c r="AB354" s="84" t="inlineStr">
        <is>
          <t>E</t>
        </is>
      </c>
      <c r="AC354" s="84" t="inlineStr">
        <is>
          <t>E+</t>
        </is>
      </c>
      <c r="AD354" s="84" t="n">
        <v>15</v>
      </c>
      <c r="AE354" s="84" t="n">
        <v>11</v>
      </c>
      <c r="AF354" s="84" t="n">
        <v>0.76</v>
      </c>
      <c r="AG354" s="84" t="n">
        <v>0.84</v>
      </c>
      <c r="AH354" s="84" t="n">
        <v>0</v>
      </c>
      <c r="AI354" s="84" t="n">
        <v>0</v>
      </c>
      <c r="AJ354" s="84">
        <f>SUMIFS(AH$8:AH$1039,$O$8:$O$1039,O354,$AB$8:$AB$1039,AB354,$R$8:$R$1039,R354,$AA$8:$AA$1039,"&lt;="&amp;AA354)</f>
        <v/>
      </c>
      <c r="AK354" s="84">
        <f>D36</f>
        <v/>
      </c>
      <c r="AL354" s="84">
        <f>D42</f>
        <v/>
      </c>
      <c r="AM354" s="84">
        <f>MAX(0,AJ354-AK354)</f>
        <v/>
      </c>
      <c r="AN354" s="84">
        <f>IF(AM354=0,AH354,IF(AM354&gt;=AH354,0,AH354-AM354))</f>
        <v/>
      </c>
      <c r="AO354" s="84">
        <f>IF(AM354&gt;=AH354,AI354,AI354*AM354/AH354)</f>
        <v/>
      </c>
      <c r="AP354">
        <f t="array" ref="AP354">INDEX($AU$8:$BB$25,6*(R354-1)+MATCH(AB354,$AS$8:$AS$13,0),MATCH(O354,$AU$7:$BB$7,0))</f>
        <v/>
      </c>
    </row>
    <row r="355" ht="14.25" customHeight="1">
      <c r="O355" s="43" t="inlineStr">
        <is>
          <t>Q3’26</t>
        </is>
      </c>
      <c r="P355" s="43" t="n">
        <v>3</v>
      </c>
      <c r="Q355" s="43" t="n">
        <v>4</v>
      </c>
      <c r="R355" s="43" t="n">
        <v>3</v>
      </c>
      <c r="S355" s="45" t="n">
        <v>3736.451764705865</v>
      </c>
      <c r="T355">
        <f>(S353+S354+S355)=P4</f>
        <v/>
      </c>
      <c r="X355" s="84">
        <f>MAX(S352-S355,0)</f>
        <v/>
      </c>
      <c r="Y355" s="83" t="n">
        <v>0</v>
      </c>
      <c r="AA355" s="84" t="n">
        <v>9</v>
      </c>
      <c r="AB355" s="84" t="inlineStr">
        <is>
          <t>E</t>
        </is>
      </c>
      <c r="AC355" s="84" t="inlineStr">
        <is>
          <t>E+</t>
        </is>
      </c>
      <c r="AD355" s="84" t="n">
        <v>15</v>
      </c>
      <c r="AE355" s="84" t="n">
        <v>11</v>
      </c>
      <c r="AF355" s="84" t="n">
        <v>0.76</v>
      </c>
      <c r="AG355" s="84" t="n">
        <v>0.84</v>
      </c>
      <c r="AH355" s="84" t="n">
        <v>0</v>
      </c>
      <c r="AI355" s="84" t="n">
        <v>0</v>
      </c>
      <c r="AJ355" s="84">
        <f>SUMIFS(AH$8:AH$1039,$O$8:$O$1039,O355,$AB$8:$AB$1039,AB355,$R$8:$R$1039,R355,$AA$8:$AA$1039,"&lt;="&amp;AA355)</f>
        <v/>
      </c>
      <c r="AK355" s="84">
        <f>E36</f>
        <v/>
      </c>
      <c r="AL355" s="84">
        <f>E42</f>
        <v/>
      </c>
      <c r="AM355" s="84">
        <f>MAX(0,AJ355-AK355)</f>
        <v/>
      </c>
      <c r="AN355" s="84">
        <f>IF(AM355=0,AH355,IF(AM355&gt;=AH355,0,AH355-AM355))</f>
        <v/>
      </c>
      <c r="AO355" s="84">
        <f>IF(AM355&gt;=AH355,AI355,AI355*AM355/AH355)</f>
        <v/>
      </c>
      <c r="AP355">
        <f t="array" ref="AP355">INDEX($AU$8:$BB$25,6*(R355-1)+MATCH(AB355,$AS$8:$AS$13,0),MATCH(O355,$AU$7:$BB$7,0))</f>
        <v/>
      </c>
    </row>
    <row r="356" ht="14.25" customHeight="1">
      <c r="O356" s="43" t="inlineStr">
        <is>
          <t>Q3’26</t>
        </is>
      </c>
      <c r="P356" s="43" t="n">
        <v>3</v>
      </c>
      <c r="Q356" s="43" t="n">
        <v>5</v>
      </c>
      <c r="R356" s="43" t="n">
        <v>1</v>
      </c>
      <c r="S356" s="45" t="n">
        <v>5.6e-11</v>
      </c>
      <c r="T356">
        <f>(S356+S357+S358)=P4</f>
        <v/>
      </c>
      <c r="X356" s="84">
        <f>MAX(S353-S356,0)</f>
        <v/>
      </c>
      <c r="Y356" s="83" t="n">
        <v>0</v>
      </c>
      <c r="AA356" s="84" t="n">
        <v>6</v>
      </c>
      <c r="AB356" s="84" t="inlineStr">
        <is>
          <t>F</t>
        </is>
      </c>
      <c r="AC356" s="84" t="inlineStr">
        <is>
          <t>F+</t>
        </is>
      </c>
      <c r="AD356" s="84" t="n">
        <v>16</v>
      </c>
      <c r="AE356" s="84" t="n">
        <v>14</v>
      </c>
      <c r="AF356" s="84" t="n">
        <v>0.8</v>
      </c>
      <c r="AG356" s="84" t="n">
        <v>0.9</v>
      </c>
      <c r="AH356" s="84" t="n">
        <v>0</v>
      </c>
      <c r="AI356" s="84" t="n">
        <v>0</v>
      </c>
      <c r="AJ356" s="84">
        <f>SUMIFS(AH$8:AH$1039,$O$8:$O$1039,O356,$AB$8:$AB$1039,AB356,$R$8:$R$1039,R356,$AA$8:$AA$1039,"&lt;="&amp;AA356)</f>
        <v/>
      </c>
      <c r="AK356" s="84">
        <f>C37</f>
        <v/>
      </c>
      <c r="AL356" s="84">
        <f>C43</f>
        <v/>
      </c>
      <c r="AM356" s="84">
        <f>MAX(0,AJ356-AK356)</f>
        <v/>
      </c>
      <c r="AN356" s="84">
        <f>IF(AM356=0,AH356,IF(AM356&gt;=AH356,0,AH356-AM356))</f>
        <v/>
      </c>
      <c r="AO356" s="84">
        <f>IF(AM356&gt;=AH356,AI356,AI356*AM356/AH356)</f>
        <v/>
      </c>
      <c r="AP356">
        <f t="array" ref="AP356">INDEX($AU$8:$BB$25,6*(R356-1)+MATCH(AB356,$AS$8:$AS$13,0),MATCH(O356,$AU$7:$BB$7,0))</f>
        <v/>
      </c>
    </row>
    <row r="357" ht="14.25" customHeight="1">
      <c r="O357" s="43" t="inlineStr">
        <is>
          <t>Q3’26</t>
        </is>
      </c>
      <c r="P357" s="43" t="n">
        <v>3</v>
      </c>
      <c r="Q357" s="43" t="n">
        <v>5</v>
      </c>
      <c r="R357" s="43" t="n">
        <v>2</v>
      </c>
      <c r="S357" s="45" t="n">
        <v>3263.548235294079</v>
      </c>
      <c r="T357">
        <f>(S356+S357+S358)=P4</f>
        <v/>
      </c>
      <c r="X357" s="84">
        <f>MAX(S354-S357,0)</f>
        <v/>
      </c>
      <c r="Y357" s="83" t="n">
        <v>0</v>
      </c>
      <c r="AA357" s="84" t="n">
        <v>6</v>
      </c>
      <c r="AB357" s="84" t="inlineStr">
        <is>
          <t>F</t>
        </is>
      </c>
      <c r="AC357" s="84" t="inlineStr">
        <is>
          <t>F+</t>
        </is>
      </c>
      <c r="AD357" s="84" t="n">
        <v>16</v>
      </c>
      <c r="AE357" s="84" t="n">
        <v>14</v>
      </c>
      <c r="AF357" s="84" t="n">
        <v>0.8</v>
      </c>
      <c r="AG357" s="84" t="n">
        <v>0.9</v>
      </c>
      <c r="AH357" s="84" t="n">
        <v>0</v>
      </c>
      <c r="AI357" s="84" t="n">
        <v>0</v>
      </c>
      <c r="AJ357" s="84">
        <f>SUMIFS(AH$8:AH$1039,$O$8:$O$1039,O357,$AB$8:$AB$1039,AB357,$R$8:$R$1039,R357,$AA$8:$AA$1039,"&lt;="&amp;AA357)</f>
        <v/>
      </c>
      <c r="AK357" s="84">
        <f>D37</f>
        <v/>
      </c>
      <c r="AL357" s="84">
        <f>D43</f>
        <v/>
      </c>
      <c r="AM357" s="84">
        <f>MAX(0,AJ357-AK357)</f>
        <v/>
      </c>
      <c r="AN357" s="84">
        <f>IF(AM357=0,AH357,IF(AM357&gt;=AH357,0,AH357-AM357))</f>
        <v/>
      </c>
      <c r="AO357" s="84">
        <f>IF(AM357&gt;=AH357,AI357,AI357*AM357/AH357)</f>
        <v/>
      </c>
      <c r="AP357">
        <f t="array" ref="AP357">INDEX($AU$8:$BB$25,6*(R357-1)+MATCH(AB357,$AS$8:$AS$13,0),MATCH(O357,$AU$7:$BB$7,0))</f>
        <v/>
      </c>
    </row>
    <row r="358" ht="14.25" customHeight="1">
      <c r="O358" s="43" t="inlineStr">
        <is>
          <t>Q3’26</t>
        </is>
      </c>
      <c r="P358" s="43" t="n">
        <v>3</v>
      </c>
      <c r="Q358" s="43" t="n">
        <v>5</v>
      </c>
      <c r="R358" s="43" t="n">
        <v>3</v>
      </c>
      <c r="S358" s="45" t="n">
        <v>3736.451764705865</v>
      </c>
      <c r="T358">
        <f>(S356+S357+S358)=P4</f>
        <v/>
      </c>
      <c r="X358" s="84">
        <f>MAX(S355-S358,0)</f>
        <v/>
      </c>
      <c r="Y358" s="83" t="n">
        <v>0</v>
      </c>
      <c r="AA358" s="84" t="n">
        <v>6</v>
      </c>
      <c r="AB358" s="84" t="inlineStr">
        <is>
          <t>F</t>
        </is>
      </c>
      <c r="AC358" s="84" t="inlineStr">
        <is>
          <t>F+</t>
        </is>
      </c>
      <c r="AD358" s="84" t="n">
        <v>16</v>
      </c>
      <c r="AE358" s="84" t="n">
        <v>14</v>
      </c>
      <c r="AF358" s="84" t="n">
        <v>0.8</v>
      </c>
      <c r="AG358" s="84" t="n">
        <v>0.9</v>
      </c>
      <c r="AH358" s="84" t="n">
        <v>0</v>
      </c>
      <c r="AI358" s="84" t="n">
        <v>0</v>
      </c>
      <c r="AJ358" s="84">
        <f>SUMIFS(AH$8:AH$1039,$O$8:$O$1039,O358,$AB$8:$AB$1039,AB358,$R$8:$R$1039,R358,$AA$8:$AA$1039,"&lt;="&amp;AA358)</f>
        <v/>
      </c>
      <c r="AK358" s="84">
        <f>E37</f>
        <v/>
      </c>
      <c r="AL358" s="84">
        <f>E43</f>
        <v/>
      </c>
      <c r="AM358" s="84">
        <f>MAX(0,AJ358-AK358)</f>
        <v/>
      </c>
      <c r="AN358" s="84">
        <f>IF(AM358=0,AH358,IF(AM358&gt;=AH358,0,AH358-AM358))</f>
        <v/>
      </c>
      <c r="AO358" s="84">
        <f>IF(AM358&gt;=AH358,AI358,AI358*AM358/AH358)</f>
        <v/>
      </c>
      <c r="AP358">
        <f t="array" ref="AP358">INDEX($AU$8:$BB$25,6*(R358-1)+MATCH(AB358,$AS$8:$AS$13,0),MATCH(O358,$AU$7:$BB$7,0))</f>
        <v/>
      </c>
    </row>
    <row r="359" ht="14.25" customHeight="1">
      <c r="O359" s="43" t="inlineStr">
        <is>
          <t>Q3’26</t>
        </is>
      </c>
      <c r="P359" s="43" t="n">
        <v>3</v>
      </c>
      <c r="Q359" s="43" t="n">
        <v>6</v>
      </c>
      <c r="R359" s="43" t="n">
        <v>1</v>
      </c>
      <c r="S359" s="45" t="n">
        <v>1.5e-11</v>
      </c>
      <c r="T359">
        <f>(S359+S360+S361)=P4</f>
        <v/>
      </c>
      <c r="X359" s="84">
        <f>MAX(S356-S359,0)</f>
        <v/>
      </c>
      <c r="Y359" s="83" t="n">
        <v>0</v>
      </c>
      <c r="AA359" s="84" t="n">
        <v>1</v>
      </c>
      <c r="AB359" s="84" t="inlineStr">
        <is>
          <t>D</t>
        </is>
      </c>
      <c r="AC359" s="84" t="inlineStr">
        <is>
          <t>D+</t>
        </is>
      </c>
      <c r="AD359" s="84" t="n">
        <v>12</v>
      </c>
      <c r="AE359" s="84" t="n">
        <v>11</v>
      </c>
      <c r="AF359" s="84" t="n">
        <v>0.8</v>
      </c>
      <c r="AG359" s="84" t="n">
        <v>0.88</v>
      </c>
      <c r="AH359" s="84" t="n">
        <v>0</v>
      </c>
      <c r="AI359" s="84" t="n">
        <v>0</v>
      </c>
      <c r="AJ359" s="84">
        <f>SUMIFS(AH$8:AH$1039,$O$8:$O$1039,O359,$AB$8:$AB$1039,AB359,$R$8:$R$1039,R359,$AA$8:$AA$1039,"&lt;="&amp;AA359)</f>
        <v/>
      </c>
      <c r="AK359" s="84">
        <f>C35</f>
        <v/>
      </c>
      <c r="AL359" s="84">
        <f>C41</f>
        <v/>
      </c>
      <c r="AM359" s="84">
        <f>MAX(0,AJ359-AK359)</f>
        <v/>
      </c>
      <c r="AN359" s="84">
        <f>IF(AM359=0,AH359,IF(AM359&gt;=AH359,0,AH359-AM359))</f>
        <v/>
      </c>
      <c r="AO359" s="84">
        <f>IF(AM359&gt;=AH359,AI359,AI359*AM359/AH359)</f>
        <v/>
      </c>
      <c r="AP359">
        <f t="array" ref="AP359">INDEX($AU$8:$BB$25,6*(R359-1)+MATCH(AB359,$AS$8:$AS$13,0),MATCH(O359,$AU$7:$BB$7,0))</f>
        <v/>
      </c>
    </row>
    <row r="360" ht="14.25" customHeight="1">
      <c r="O360" s="43" t="inlineStr">
        <is>
          <t>Q3’26</t>
        </is>
      </c>
      <c r="P360" s="43" t="n">
        <v>3</v>
      </c>
      <c r="Q360" s="43" t="n">
        <v>6</v>
      </c>
      <c r="R360" s="43" t="n">
        <v>2</v>
      </c>
      <c r="S360" s="45" t="n">
        <v>3263.548235294156</v>
      </c>
      <c r="T360">
        <f>(S359+S360+S361)=P4</f>
        <v/>
      </c>
      <c r="X360" s="84">
        <f>MAX(S357-S360,0)</f>
        <v/>
      </c>
      <c r="Y360" s="83" t="n">
        <v>0</v>
      </c>
      <c r="AA360" s="84" t="n">
        <v>1</v>
      </c>
      <c r="AB360" s="84" t="inlineStr">
        <is>
          <t>D</t>
        </is>
      </c>
      <c r="AC360" s="84" t="inlineStr">
        <is>
          <t>D+</t>
        </is>
      </c>
      <c r="AD360" s="84" t="n">
        <v>12</v>
      </c>
      <c r="AE360" s="84" t="n">
        <v>11</v>
      </c>
      <c r="AF360" s="84" t="n">
        <v>0.8</v>
      </c>
      <c r="AG360" s="84" t="n">
        <v>0.88</v>
      </c>
      <c r="AH360" s="84" t="n">
        <v>0</v>
      </c>
      <c r="AI360" s="84" t="n">
        <v>0</v>
      </c>
      <c r="AJ360" s="84">
        <f>SUMIFS(AH$8:AH$1039,$O$8:$O$1039,O360,$AB$8:$AB$1039,AB360,$R$8:$R$1039,R360,$AA$8:$AA$1039,"&lt;="&amp;AA360)</f>
        <v/>
      </c>
      <c r="AK360" s="84">
        <f>D35</f>
        <v/>
      </c>
      <c r="AL360" s="84">
        <f>D41</f>
        <v/>
      </c>
      <c r="AM360" s="84">
        <f>MAX(0,AJ360-AK360)</f>
        <v/>
      </c>
      <c r="AN360" s="84">
        <f>IF(AM360=0,AH360,IF(AM360&gt;=AH360,0,AH360-AM360))</f>
        <v/>
      </c>
      <c r="AO360" s="84">
        <f>IF(AM360&gt;=AH360,AI360,AI360*AM360/AH360)</f>
        <v/>
      </c>
      <c r="AP360">
        <f t="array" ref="AP360">INDEX($AU$8:$BB$25,6*(R360-1)+MATCH(AB360,$AS$8:$AS$13,0),MATCH(O360,$AU$7:$BB$7,0))</f>
        <v/>
      </c>
    </row>
    <row r="361" ht="14.25" customHeight="1">
      <c r="O361" s="43" t="inlineStr">
        <is>
          <t>Q3’26</t>
        </is>
      </c>
      <c r="P361" s="43" t="n">
        <v>3</v>
      </c>
      <c r="Q361" s="43" t="n">
        <v>6</v>
      </c>
      <c r="R361" s="43" t="n">
        <v>3</v>
      </c>
      <c r="S361" s="45" t="n">
        <v>3736.451764705829</v>
      </c>
      <c r="T361">
        <f>(S359+S360+S361)=P4</f>
        <v/>
      </c>
      <c r="X361" s="84">
        <f>MAX(S358-S361,0)</f>
        <v/>
      </c>
      <c r="Y361" s="83" t="n">
        <v>0</v>
      </c>
      <c r="AA361" s="84" t="n">
        <v>1</v>
      </c>
      <c r="AB361" s="84" t="inlineStr">
        <is>
          <t>D</t>
        </is>
      </c>
      <c r="AC361" s="84" t="inlineStr">
        <is>
          <t>D+</t>
        </is>
      </c>
      <c r="AD361" s="84" t="n">
        <v>12</v>
      </c>
      <c r="AE361" s="84" t="n">
        <v>11</v>
      </c>
      <c r="AF361" s="84" t="n">
        <v>0.8</v>
      </c>
      <c r="AG361" s="84" t="n">
        <v>0.88</v>
      </c>
      <c r="AH361" s="84" t="n">
        <v>0</v>
      </c>
      <c r="AI361" s="84" t="n">
        <v>0</v>
      </c>
      <c r="AJ361" s="84">
        <f>SUMIFS(AH$8:AH$1039,$O$8:$O$1039,O361,$AB$8:$AB$1039,AB361,$R$8:$R$1039,R361,$AA$8:$AA$1039,"&lt;="&amp;AA361)</f>
        <v/>
      </c>
      <c r="AK361" s="84">
        <f>E35</f>
        <v/>
      </c>
      <c r="AL361" s="84">
        <f>E41</f>
        <v/>
      </c>
      <c r="AM361" s="84">
        <f>MAX(0,AJ361-AK361)</f>
        <v/>
      </c>
      <c r="AN361" s="84">
        <f>IF(AM361=0,AH361,IF(AM361&gt;=AH361,0,AH361-AM361))</f>
        <v/>
      </c>
      <c r="AO361" s="84">
        <f>IF(AM361&gt;=AH361,AI361,AI361*AM361/AH361)</f>
        <v/>
      </c>
      <c r="AP361">
        <f t="array" ref="AP361">INDEX($AU$8:$BB$25,6*(R361-1)+MATCH(AB361,$AS$8:$AS$13,0),MATCH(O361,$AU$7:$BB$7,0))</f>
        <v/>
      </c>
    </row>
    <row r="362" ht="14.25" customHeight="1">
      <c r="O362" s="43" t="inlineStr">
        <is>
          <t>Q3’26</t>
        </is>
      </c>
      <c r="P362" s="43" t="n">
        <v>3</v>
      </c>
      <c r="Q362" s="43" t="n">
        <v>7</v>
      </c>
      <c r="R362" s="43" t="n">
        <v>1</v>
      </c>
      <c r="S362" s="45" t="n">
        <v>0</v>
      </c>
      <c r="T362">
        <f>(S362+S363+S364)=P4</f>
        <v/>
      </c>
      <c r="X362" s="84">
        <f>MAX(S359-S362,0)</f>
        <v/>
      </c>
      <c r="Y362" s="83" t="n">
        <v>0</v>
      </c>
      <c r="AA362" s="84" t="n">
        <v>3</v>
      </c>
      <c r="AB362" s="84" t="inlineStr">
        <is>
          <t>C</t>
        </is>
      </c>
      <c r="AC362" s="84" t="inlineStr">
        <is>
          <t>C+</t>
        </is>
      </c>
      <c r="AD362" s="84" t="n">
        <v>24</v>
      </c>
      <c r="AE362" s="84" t="n">
        <v>21</v>
      </c>
      <c r="AF362" s="84" t="n">
        <v>0.8</v>
      </c>
      <c r="AG362" s="84" t="n">
        <v>0.86</v>
      </c>
      <c r="AH362" s="84" t="n">
        <v>0</v>
      </c>
      <c r="AI362" s="84" t="n">
        <v>0</v>
      </c>
      <c r="AJ362" s="84">
        <f>SUMIFS(AH$8:AH$1039,$O$8:$O$1039,O362,$AB$8:$AB$1039,AB362,$R$8:$R$1039,R362,$AA$8:$AA$1039,"&lt;="&amp;AA362)</f>
        <v/>
      </c>
      <c r="AK362" s="84">
        <f>C34</f>
        <v/>
      </c>
      <c r="AL362" s="84">
        <f>C40</f>
        <v/>
      </c>
      <c r="AM362" s="84">
        <f>MAX(0,AJ362-AK362)</f>
        <v/>
      </c>
      <c r="AN362" s="84">
        <f>IF(AM362=0,AH362,IF(AM362&gt;=AH362,0,AH362-AM362))</f>
        <v/>
      </c>
      <c r="AO362" s="84">
        <f>IF(AM362&gt;=AH362,AI362,AI362*AM362/AH362)</f>
        <v/>
      </c>
      <c r="AP362">
        <f t="array" ref="AP362">INDEX($AU$8:$BB$25,6*(R362-1)+MATCH(AB362,$AS$8:$AS$13,0),MATCH(O362,$AU$7:$BB$7,0))</f>
        <v/>
      </c>
    </row>
    <row r="363" ht="14.25" customHeight="1">
      <c r="O363" s="43" t="inlineStr">
        <is>
          <t>Q3’26</t>
        </is>
      </c>
      <c r="P363" s="43" t="n">
        <v>3</v>
      </c>
      <c r="Q363" s="43" t="n">
        <v>7</v>
      </c>
      <c r="R363" s="43" t="n">
        <v>2</v>
      </c>
      <c r="S363" s="45" t="n">
        <v>3263.548235294171</v>
      </c>
      <c r="T363">
        <f>(S362+S363+S364)=P4</f>
        <v/>
      </c>
      <c r="X363" s="84">
        <f>MAX(S360-S363,0)</f>
        <v/>
      </c>
      <c r="Y363" s="83" t="n">
        <v>0</v>
      </c>
      <c r="AA363" s="84" t="n">
        <v>3</v>
      </c>
      <c r="AB363" s="84" t="inlineStr">
        <is>
          <t>C</t>
        </is>
      </c>
      <c r="AC363" s="84" t="inlineStr">
        <is>
          <t>C+</t>
        </is>
      </c>
      <c r="AD363" s="84" t="n">
        <v>24</v>
      </c>
      <c r="AE363" s="84" t="n">
        <v>21</v>
      </c>
      <c r="AF363" s="84" t="n">
        <v>0.8</v>
      </c>
      <c r="AG363" s="84" t="n">
        <v>0.86</v>
      </c>
      <c r="AH363" s="84" t="n">
        <v>0</v>
      </c>
      <c r="AI363" s="84" t="n">
        <v>0</v>
      </c>
      <c r="AJ363" s="84">
        <f>SUMIFS(AH$8:AH$1039,$O$8:$O$1039,O363,$AB$8:$AB$1039,AB363,$R$8:$R$1039,R363,$AA$8:$AA$1039,"&lt;="&amp;AA363)</f>
        <v/>
      </c>
      <c r="AK363" s="84">
        <f>D34</f>
        <v/>
      </c>
      <c r="AL363" s="84">
        <f>D40</f>
        <v/>
      </c>
      <c r="AM363" s="84">
        <f>MAX(0,AJ363-AK363)</f>
        <v/>
      </c>
      <c r="AN363" s="84">
        <f>IF(AM363=0,AH363,IF(AM363&gt;=AH363,0,AH363-AM363))</f>
        <v/>
      </c>
      <c r="AO363" s="84">
        <f>IF(AM363&gt;=AH363,AI363,AI363*AM363/AH363)</f>
        <v/>
      </c>
      <c r="AP363">
        <f t="array" ref="AP363">INDEX($AU$8:$BB$25,6*(R363-1)+MATCH(AB363,$AS$8:$AS$13,0),MATCH(O363,$AU$7:$BB$7,0))</f>
        <v/>
      </c>
    </row>
    <row r="364" ht="14.25" customHeight="1">
      <c r="O364" s="43" t="inlineStr">
        <is>
          <t>Q3’26</t>
        </is>
      </c>
      <c r="P364" s="43" t="n">
        <v>3</v>
      </c>
      <c r="Q364" s="43" t="n">
        <v>7</v>
      </c>
      <c r="R364" s="43" t="n">
        <v>3</v>
      </c>
      <c r="S364" s="45" t="n">
        <v>3736.451764705829</v>
      </c>
      <c r="T364">
        <f>(S362+S363+S364)=P4</f>
        <v/>
      </c>
      <c r="X364" s="84">
        <f>MAX(S361-S364,0)</f>
        <v/>
      </c>
      <c r="Y364" s="83" t="n">
        <v>0</v>
      </c>
      <c r="AA364" s="84" t="n">
        <v>3</v>
      </c>
      <c r="AB364" s="84" t="inlineStr">
        <is>
          <t>C</t>
        </is>
      </c>
      <c r="AC364" s="84" t="inlineStr">
        <is>
          <t>C+</t>
        </is>
      </c>
      <c r="AD364" s="84" t="n">
        <v>24</v>
      </c>
      <c r="AE364" s="84" t="n">
        <v>21</v>
      </c>
      <c r="AF364" s="84" t="n">
        <v>0.8</v>
      </c>
      <c r="AG364" s="84" t="n">
        <v>0.86</v>
      </c>
      <c r="AH364" s="84" t="n">
        <v>0</v>
      </c>
      <c r="AI364" s="84" t="n">
        <v>0</v>
      </c>
      <c r="AJ364" s="84">
        <f>SUMIFS(AH$8:AH$1039,$O$8:$O$1039,O364,$AB$8:$AB$1039,AB364,$R$8:$R$1039,R364,$AA$8:$AA$1039,"&lt;="&amp;AA364)</f>
        <v/>
      </c>
      <c r="AK364" s="84">
        <f>E34</f>
        <v/>
      </c>
      <c r="AL364" s="84">
        <f>E40</f>
        <v/>
      </c>
      <c r="AM364" s="84">
        <f>MAX(0,AJ364-AK364)</f>
        <v/>
      </c>
      <c r="AN364" s="84">
        <f>IF(AM364=0,AH364,IF(AM364&gt;=AH364,0,AH364-AM364))</f>
        <v/>
      </c>
      <c r="AO364" s="84">
        <f>IF(AM364&gt;=AH364,AI364,AI364*AM364/AH364)</f>
        <v/>
      </c>
      <c r="AP364">
        <f t="array" ref="AP364">INDEX($AU$8:$BB$25,6*(R364-1)+MATCH(AB364,$AS$8:$AS$13,0),MATCH(O364,$AU$7:$BB$7,0))</f>
        <v/>
      </c>
    </row>
    <row r="365" ht="14.25" customHeight="1">
      <c r="O365" s="43" t="inlineStr">
        <is>
          <t>Q3’26</t>
        </is>
      </c>
      <c r="P365" s="43" t="n">
        <v>3</v>
      </c>
      <c r="Q365" s="43" t="n">
        <v>8</v>
      </c>
      <c r="R365" s="43" t="n">
        <v>1</v>
      </c>
      <c r="S365" s="45" t="n">
        <v>0</v>
      </c>
      <c r="T365">
        <f>(S365+S366+S367)=P4</f>
        <v/>
      </c>
      <c r="X365" s="84">
        <f>MAX(S362-S365,0)</f>
        <v/>
      </c>
      <c r="Y365" s="83" t="n">
        <v>0</v>
      </c>
      <c r="AA365" s="84" t="n">
        <v>5</v>
      </c>
      <c r="AB365" s="84" t="inlineStr">
        <is>
          <t>C</t>
        </is>
      </c>
      <c r="AC365" s="84" t="inlineStr">
        <is>
          <t>C+</t>
        </is>
      </c>
      <c r="AD365" s="84" t="n">
        <v>19</v>
      </c>
      <c r="AE365" s="84" t="n">
        <v>13</v>
      </c>
      <c r="AF365" s="84" t="n">
        <v>0.8</v>
      </c>
      <c r="AG365" s="84" t="n">
        <v>0.86</v>
      </c>
      <c r="AH365" s="84" t="n">
        <v>0</v>
      </c>
      <c r="AI365" s="84" t="n">
        <v>0</v>
      </c>
      <c r="AJ365" s="84">
        <f>SUMIFS(AH$8:AH$1039,$O$8:$O$1039,O365,$AB$8:$AB$1039,AB365,$R$8:$R$1039,R365,$AA$8:$AA$1039,"&lt;="&amp;AA365)</f>
        <v/>
      </c>
      <c r="AK365" s="84">
        <f>C34</f>
        <v/>
      </c>
      <c r="AL365" s="84">
        <f>C40</f>
        <v/>
      </c>
      <c r="AM365" s="84">
        <f>MAX(0,AJ365-AK365)</f>
        <v/>
      </c>
      <c r="AN365" s="84">
        <f>IF(AM365=0,AH365,IF(AM365&gt;=AH365,0,AH365-AM365))</f>
        <v/>
      </c>
      <c r="AO365" s="84">
        <f>IF(AM365&gt;=AH365,AI365,AI365*AM365/AH365)</f>
        <v/>
      </c>
      <c r="AP365">
        <f t="array" ref="AP365">INDEX($AU$8:$BB$25,6*(R365-1)+MATCH(AB365,$AS$8:$AS$13,0),MATCH(O365,$AU$7:$BB$7,0))</f>
        <v/>
      </c>
    </row>
    <row r="366" ht="14.25" customHeight="1">
      <c r="O366" s="43" t="inlineStr">
        <is>
          <t>Q3’26</t>
        </is>
      </c>
      <c r="P366" s="43" t="n">
        <v>3</v>
      </c>
      <c r="Q366" s="43" t="n">
        <v>8</v>
      </c>
      <c r="R366" s="43" t="n">
        <v>2</v>
      </c>
      <c r="S366" s="45" t="n">
        <v>3263.548235294127</v>
      </c>
      <c r="T366">
        <f>(S365+S366+S367)=P4</f>
        <v/>
      </c>
      <c r="X366" s="84">
        <f>MAX(S363-S366,0)</f>
        <v/>
      </c>
      <c r="Y366" s="83" t="n">
        <v>0</v>
      </c>
      <c r="AA366" s="84" t="n">
        <v>5</v>
      </c>
      <c r="AB366" s="84" t="inlineStr">
        <is>
          <t>C</t>
        </is>
      </c>
      <c r="AC366" s="84" t="inlineStr">
        <is>
          <t>C+</t>
        </is>
      </c>
      <c r="AD366" s="84" t="n">
        <v>19</v>
      </c>
      <c r="AE366" s="84" t="n">
        <v>13</v>
      </c>
      <c r="AF366" s="84" t="n">
        <v>0.8</v>
      </c>
      <c r="AG366" s="84" t="n">
        <v>0.86</v>
      </c>
      <c r="AH366" s="84" t="n">
        <v>0</v>
      </c>
      <c r="AI366" s="84" t="n">
        <v>0</v>
      </c>
      <c r="AJ366" s="84">
        <f>SUMIFS(AH$8:AH$1039,$O$8:$O$1039,O366,$AB$8:$AB$1039,AB366,$R$8:$R$1039,R366,$AA$8:$AA$1039,"&lt;="&amp;AA366)</f>
        <v/>
      </c>
      <c r="AK366" s="84">
        <f>D34</f>
        <v/>
      </c>
      <c r="AL366" s="84">
        <f>D40</f>
        <v/>
      </c>
      <c r="AM366" s="84">
        <f>MAX(0,AJ366-AK366)</f>
        <v/>
      </c>
      <c r="AN366" s="84">
        <f>IF(AM366=0,AH366,IF(AM366&gt;=AH366,0,AH366-AM366))</f>
        <v/>
      </c>
      <c r="AO366" s="84">
        <f>IF(AM366&gt;=AH366,AI366,AI366*AM366/AH366)</f>
        <v/>
      </c>
      <c r="AP366">
        <f t="array" ref="AP366">INDEX($AU$8:$BB$25,6*(R366-1)+MATCH(AB366,$AS$8:$AS$13,0),MATCH(O366,$AU$7:$BB$7,0))</f>
        <v/>
      </c>
    </row>
    <row r="367" ht="14.25" customHeight="1">
      <c r="O367" s="43" t="inlineStr">
        <is>
          <t>Q3’26</t>
        </is>
      </c>
      <c r="P367" s="43" t="n">
        <v>3</v>
      </c>
      <c r="Q367" s="43" t="n">
        <v>8</v>
      </c>
      <c r="R367" s="43" t="n">
        <v>3</v>
      </c>
      <c r="S367" s="45" t="n">
        <v>3736.451764705873</v>
      </c>
      <c r="T367">
        <f>(S365+S366+S367)=P4</f>
        <v/>
      </c>
      <c r="X367" s="84">
        <f>MAX(S364-S367,0)</f>
        <v/>
      </c>
      <c r="Y367" s="83" t="n">
        <v>0</v>
      </c>
      <c r="AA367" s="84" t="n">
        <v>5</v>
      </c>
      <c r="AB367" s="84" t="inlineStr">
        <is>
          <t>C</t>
        </is>
      </c>
      <c r="AC367" s="84" t="inlineStr">
        <is>
          <t>C+</t>
        </is>
      </c>
      <c r="AD367" s="84" t="n">
        <v>19</v>
      </c>
      <c r="AE367" s="84" t="n">
        <v>13</v>
      </c>
      <c r="AF367" s="84" t="n">
        <v>0.8</v>
      </c>
      <c r="AG367" s="84" t="n">
        <v>0.86</v>
      </c>
      <c r="AH367" s="84" t="n">
        <v>0</v>
      </c>
      <c r="AI367" s="84" t="n">
        <v>0</v>
      </c>
      <c r="AJ367" s="84">
        <f>SUMIFS(AH$8:AH$1039,$O$8:$O$1039,O367,$AB$8:$AB$1039,AB367,$R$8:$R$1039,R367,$AA$8:$AA$1039,"&lt;="&amp;AA367)</f>
        <v/>
      </c>
      <c r="AK367" s="84">
        <f>E34</f>
        <v/>
      </c>
      <c r="AL367" s="84">
        <f>E40</f>
        <v/>
      </c>
      <c r="AM367" s="84">
        <f>MAX(0,AJ367-AK367)</f>
        <v/>
      </c>
      <c r="AN367" s="84">
        <f>IF(AM367=0,AH367,IF(AM367&gt;=AH367,0,AH367-AM367))</f>
        <v/>
      </c>
      <c r="AO367" s="84">
        <f>IF(AM367&gt;=AH367,AI367,AI367*AM367/AH367)</f>
        <v/>
      </c>
      <c r="AP367">
        <f t="array" ref="AP367">INDEX($AU$8:$BB$25,6*(R367-1)+MATCH(AB367,$AS$8:$AS$13,0),MATCH(O367,$AU$7:$BB$7,0))</f>
        <v/>
      </c>
    </row>
    <row r="368" ht="14.25" customHeight="1">
      <c r="O368" s="43" t="inlineStr">
        <is>
          <t>Q3’26</t>
        </is>
      </c>
      <c r="P368" s="43" t="n">
        <v>3</v>
      </c>
      <c r="Q368" s="43" t="n">
        <v>9</v>
      </c>
      <c r="R368" s="43" t="n">
        <v>1</v>
      </c>
      <c r="S368" s="45" t="n">
        <v>0</v>
      </c>
      <c r="T368">
        <f>(S368+S369+S370)=P4</f>
        <v/>
      </c>
      <c r="X368" s="84">
        <f>MAX(S365-S368,0)</f>
        <v/>
      </c>
      <c r="Y368" s="83" t="n">
        <v>0</v>
      </c>
      <c r="AA368" s="84" t="n">
        <v>3</v>
      </c>
      <c r="AB368" s="84" t="inlineStr">
        <is>
          <t>D</t>
        </is>
      </c>
      <c r="AC368" s="84" t="inlineStr">
        <is>
          <t>D+</t>
        </is>
      </c>
      <c r="AD368" s="84" t="n">
        <v>15</v>
      </c>
      <c r="AE368" s="84" t="n">
        <v>13</v>
      </c>
      <c r="AF368" s="84" t="n">
        <v>0.8</v>
      </c>
      <c r="AG368" s="84" t="n">
        <v>0.88</v>
      </c>
      <c r="AH368" s="84" t="n">
        <v>0</v>
      </c>
      <c r="AI368" s="84" t="n">
        <v>0</v>
      </c>
      <c r="AJ368" s="84">
        <f>SUMIFS(AH$8:AH$1039,$O$8:$O$1039,O368,$AB$8:$AB$1039,AB368,$R$8:$R$1039,R368,$AA$8:$AA$1039,"&lt;="&amp;AA368)</f>
        <v/>
      </c>
      <c r="AK368" s="84">
        <f>C35</f>
        <v/>
      </c>
      <c r="AL368" s="84">
        <f>C41</f>
        <v/>
      </c>
      <c r="AM368" s="84">
        <f>MAX(0,AJ368-AK368)</f>
        <v/>
      </c>
      <c r="AN368" s="84">
        <f>IF(AM368=0,AH368,IF(AM368&gt;=AH368,0,AH368-AM368))</f>
        <v/>
      </c>
      <c r="AO368" s="84">
        <f>IF(AM368&gt;=AH368,AI368,AI368*AM368/AH368)</f>
        <v/>
      </c>
      <c r="AP368">
        <f t="array" ref="AP368">INDEX($AU$8:$BB$25,6*(R368-1)+MATCH(AB368,$AS$8:$AS$13,0),MATCH(O368,$AU$7:$BB$7,0))</f>
        <v/>
      </c>
    </row>
    <row r="369" ht="14.25" customHeight="1">
      <c r="O369" s="43" t="inlineStr">
        <is>
          <t>Q3’26</t>
        </is>
      </c>
      <c r="P369" s="43" t="n">
        <v>3</v>
      </c>
      <c r="Q369" s="43" t="n">
        <v>9</v>
      </c>
      <c r="R369" s="43" t="n">
        <v>2</v>
      </c>
      <c r="S369" s="45" t="n">
        <v>3263.548235294084</v>
      </c>
      <c r="T369">
        <f>(S368+S369+S370)=P4</f>
        <v/>
      </c>
      <c r="X369" s="84">
        <f>MAX(S366-S369,0)</f>
        <v/>
      </c>
      <c r="Y369" s="83" t="n">
        <v>0</v>
      </c>
      <c r="AA369" s="84" t="n">
        <v>3</v>
      </c>
      <c r="AB369" s="84" t="inlineStr">
        <is>
          <t>D</t>
        </is>
      </c>
      <c r="AC369" s="84" t="inlineStr">
        <is>
          <t>D+</t>
        </is>
      </c>
      <c r="AD369" s="84" t="n">
        <v>15</v>
      </c>
      <c r="AE369" s="84" t="n">
        <v>13</v>
      </c>
      <c r="AF369" s="84" t="n">
        <v>0.8</v>
      </c>
      <c r="AG369" s="84" t="n">
        <v>0.88</v>
      </c>
      <c r="AH369" s="84" t="n">
        <v>0</v>
      </c>
      <c r="AI369" s="84" t="n">
        <v>0</v>
      </c>
      <c r="AJ369" s="84">
        <f>SUMIFS(AH$8:AH$1039,$O$8:$O$1039,O369,$AB$8:$AB$1039,AB369,$R$8:$R$1039,R369,$AA$8:$AA$1039,"&lt;="&amp;AA369)</f>
        <v/>
      </c>
      <c r="AK369" s="84">
        <f>D35</f>
        <v/>
      </c>
      <c r="AL369" s="84">
        <f>D41</f>
        <v/>
      </c>
      <c r="AM369" s="84">
        <f>MAX(0,AJ369-AK369)</f>
        <v/>
      </c>
      <c r="AN369" s="84">
        <f>IF(AM369=0,AH369,IF(AM369&gt;=AH369,0,AH369-AM369))</f>
        <v/>
      </c>
      <c r="AO369" s="84">
        <f>IF(AM369&gt;=AH369,AI369,AI369*AM369/AH369)</f>
        <v/>
      </c>
      <c r="AP369">
        <f t="array" ref="AP369">INDEX($AU$8:$BB$25,6*(R369-1)+MATCH(AB369,$AS$8:$AS$13,0),MATCH(O369,$AU$7:$BB$7,0))</f>
        <v/>
      </c>
    </row>
    <row r="370" ht="14.25" customHeight="1">
      <c r="O370" s="43" t="inlineStr">
        <is>
          <t>Q3’26</t>
        </is>
      </c>
      <c r="P370" s="43" t="n">
        <v>3</v>
      </c>
      <c r="Q370" s="43" t="n">
        <v>9</v>
      </c>
      <c r="R370" s="43" t="n">
        <v>3</v>
      </c>
      <c r="S370" s="45" t="n">
        <v>3736.451764705916</v>
      </c>
      <c r="T370">
        <f>(S368+S369+S370)=P4</f>
        <v/>
      </c>
      <c r="X370" s="84">
        <f>MAX(S367-S370,0)</f>
        <v/>
      </c>
      <c r="Y370" s="83" t="n">
        <v>0</v>
      </c>
      <c r="AA370" s="84" t="n">
        <v>3</v>
      </c>
      <c r="AB370" s="84" t="inlineStr">
        <is>
          <t>D</t>
        </is>
      </c>
      <c r="AC370" s="84" t="inlineStr">
        <is>
          <t>D+</t>
        </is>
      </c>
      <c r="AD370" s="84" t="n">
        <v>15</v>
      </c>
      <c r="AE370" s="84" t="n">
        <v>13</v>
      </c>
      <c r="AF370" s="84" t="n">
        <v>0.8</v>
      </c>
      <c r="AG370" s="84" t="n">
        <v>0.88</v>
      </c>
      <c r="AH370" s="84" t="n">
        <v>0</v>
      </c>
      <c r="AI370" s="84" t="n">
        <v>0</v>
      </c>
      <c r="AJ370" s="84">
        <f>SUMIFS(AH$8:AH$1039,$O$8:$O$1039,O370,$AB$8:$AB$1039,AB370,$R$8:$R$1039,R370,$AA$8:$AA$1039,"&lt;="&amp;AA370)</f>
        <v/>
      </c>
      <c r="AK370" s="84">
        <f>E35</f>
        <v/>
      </c>
      <c r="AL370" s="84">
        <f>E41</f>
        <v/>
      </c>
      <c r="AM370" s="84">
        <f>MAX(0,AJ370-AK370)</f>
        <v/>
      </c>
      <c r="AN370" s="84">
        <f>IF(AM370=0,AH370,IF(AM370&gt;=AH370,0,AH370-AM370))</f>
        <v/>
      </c>
      <c r="AO370" s="84">
        <f>IF(AM370&gt;=AH370,AI370,AI370*AM370/AH370)</f>
        <v/>
      </c>
      <c r="AP370">
        <f t="array" ref="AP370">INDEX($AU$8:$BB$25,6*(R370-1)+MATCH(AB370,$AS$8:$AS$13,0),MATCH(O370,$AU$7:$BB$7,0))</f>
        <v/>
      </c>
    </row>
    <row r="371" ht="14.25" customHeight="1">
      <c r="O371" s="43" t="inlineStr">
        <is>
          <t>Q3’26</t>
        </is>
      </c>
      <c r="P371" s="43" t="n">
        <v>3</v>
      </c>
      <c r="Q371" s="43" t="n">
        <v>10</v>
      </c>
      <c r="R371" s="43" t="n">
        <v>1</v>
      </c>
      <c r="S371" s="45" t="n">
        <v>1.2e-11</v>
      </c>
      <c r="T371">
        <f>(S371+S372+S373)=P4</f>
        <v/>
      </c>
      <c r="X371" s="84">
        <f>MAX(S368-S371,0)</f>
        <v/>
      </c>
      <c r="Y371" s="83" t="n">
        <v>0</v>
      </c>
      <c r="AA371" s="84" t="n">
        <v>5</v>
      </c>
      <c r="AB371" s="84" t="inlineStr">
        <is>
          <t>D</t>
        </is>
      </c>
      <c r="AC371" s="84" t="inlineStr">
        <is>
          <t>D+</t>
        </is>
      </c>
      <c r="AD371" s="84" t="n">
        <v>24</v>
      </c>
      <c r="AE371" s="84" t="n">
        <v>20</v>
      </c>
      <c r="AF371" s="84" t="n">
        <v>0.8</v>
      </c>
      <c r="AG371" s="84" t="n">
        <v>0.88</v>
      </c>
      <c r="AH371" s="84" t="n">
        <v>0</v>
      </c>
      <c r="AI371" s="84" t="n">
        <v>0</v>
      </c>
      <c r="AJ371" s="84">
        <f>SUMIFS(AH$8:AH$1039,$O$8:$O$1039,O371,$AB$8:$AB$1039,AB371,$R$8:$R$1039,R371,$AA$8:$AA$1039,"&lt;="&amp;AA371)</f>
        <v/>
      </c>
      <c r="AK371" s="84">
        <f>C35</f>
        <v/>
      </c>
      <c r="AL371" s="84">
        <f>C41</f>
        <v/>
      </c>
      <c r="AM371" s="84">
        <f>MAX(0,AJ371-AK371)</f>
        <v/>
      </c>
      <c r="AN371" s="84">
        <f>IF(AM371=0,AH371,IF(AM371&gt;=AH371,0,AH371-AM371))</f>
        <v/>
      </c>
      <c r="AO371" s="84">
        <f>IF(AM371&gt;=AH371,AI371,AI371*AM371/AH371)</f>
        <v/>
      </c>
      <c r="AP371">
        <f t="array" ref="AP371">INDEX($AU$8:$BB$25,6*(R371-1)+MATCH(AB371,$AS$8:$AS$13,0),MATCH(O371,$AU$7:$BB$7,0))</f>
        <v/>
      </c>
    </row>
    <row r="372" ht="14.25" customHeight="1">
      <c r="O372" s="43" t="inlineStr">
        <is>
          <t>Q3’26</t>
        </is>
      </c>
      <c r="P372" s="43" t="n">
        <v>3</v>
      </c>
      <c r="Q372" s="43" t="n">
        <v>10</v>
      </c>
      <c r="R372" s="43" t="n">
        <v>2</v>
      </c>
      <c r="S372" s="45" t="n">
        <v>3263.548235294084</v>
      </c>
      <c r="T372">
        <f>(S371+S372+S373)=P4</f>
        <v/>
      </c>
      <c r="X372" s="84">
        <f>MAX(S369-S372,0)</f>
        <v/>
      </c>
      <c r="Y372" s="83" t="n">
        <v>0</v>
      </c>
      <c r="AA372" s="84" t="n">
        <v>5</v>
      </c>
      <c r="AB372" s="84" t="inlineStr">
        <is>
          <t>D</t>
        </is>
      </c>
      <c r="AC372" s="84" t="inlineStr">
        <is>
          <t>D+</t>
        </is>
      </c>
      <c r="AD372" s="84" t="n">
        <v>24</v>
      </c>
      <c r="AE372" s="84" t="n">
        <v>20</v>
      </c>
      <c r="AF372" s="84" t="n">
        <v>0.8</v>
      </c>
      <c r="AG372" s="84" t="n">
        <v>0.88</v>
      </c>
      <c r="AH372" s="84" t="n">
        <v>0</v>
      </c>
      <c r="AI372" s="84" t="n">
        <v>0</v>
      </c>
      <c r="AJ372" s="84">
        <f>SUMIFS(AH$8:AH$1039,$O$8:$O$1039,O372,$AB$8:$AB$1039,AB372,$R$8:$R$1039,R372,$AA$8:$AA$1039,"&lt;="&amp;AA372)</f>
        <v/>
      </c>
      <c r="AK372" s="84">
        <f>D35</f>
        <v/>
      </c>
      <c r="AL372" s="84">
        <f>D41</f>
        <v/>
      </c>
      <c r="AM372" s="84">
        <f>MAX(0,AJ372-AK372)</f>
        <v/>
      </c>
      <c r="AN372" s="84">
        <f>IF(AM372=0,AH372,IF(AM372&gt;=AH372,0,AH372-AM372))</f>
        <v/>
      </c>
      <c r="AO372" s="84">
        <f>IF(AM372&gt;=AH372,AI372,AI372*AM372/AH372)</f>
        <v/>
      </c>
      <c r="AP372">
        <f t="array" ref="AP372">INDEX($AU$8:$BB$25,6*(R372-1)+MATCH(AB372,$AS$8:$AS$13,0),MATCH(O372,$AU$7:$BB$7,0))</f>
        <v/>
      </c>
    </row>
    <row r="373" ht="14.25" customHeight="1">
      <c r="O373" s="43" t="inlineStr">
        <is>
          <t>Q3’26</t>
        </is>
      </c>
      <c r="P373" s="43" t="n">
        <v>3</v>
      </c>
      <c r="Q373" s="43" t="n">
        <v>10</v>
      </c>
      <c r="R373" s="43" t="n">
        <v>3</v>
      </c>
      <c r="S373" s="45" t="n">
        <v>3736.451764705904</v>
      </c>
      <c r="T373">
        <f>(S371+S372+S373)=P4</f>
        <v/>
      </c>
      <c r="X373" s="84">
        <f>MAX(S370-S373,0)</f>
        <v/>
      </c>
      <c r="Y373" s="83" t="n">
        <v>0</v>
      </c>
      <c r="AA373" s="84" t="n">
        <v>5</v>
      </c>
      <c r="AB373" s="84" t="inlineStr">
        <is>
          <t>D</t>
        </is>
      </c>
      <c r="AC373" s="84" t="inlineStr">
        <is>
          <t>D+</t>
        </is>
      </c>
      <c r="AD373" s="84" t="n">
        <v>24</v>
      </c>
      <c r="AE373" s="84" t="n">
        <v>20</v>
      </c>
      <c r="AF373" s="84" t="n">
        <v>0.8</v>
      </c>
      <c r="AG373" s="84" t="n">
        <v>0.88</v>
      </c>
      <c r="AH373" s="84" t="n">
        <v>0</v>
      </c>
      <c r="AI373" s="84" t="n">
        <v>0</v>
      </c>
      <c r="AJ373" s="84">
        <f>SUMIFS(AH$8:AH$1039,$O$8:$O$1039,O373,$AB$8:$AB$1039,AB373,$R$8:$R$1039,R373,$AA$8:$AA$1039,"&lt;="&amp;AA373)</f>
        <v/>
      </c>
      <c r="AK373" s="84">
        <f>E35</f>
        <v/>
      </c>
      <c r="AL373" s="84">
        <f>E41</f>
        <v/>
      </c>
      <c r="AM373" s="84">
        <f>MAX(0,AJ373-AK373)</f>
        <v/>
      </c>
      <c r="AN373" s="84">
        <f>IF(AM373=0,AH373,IF(AM373&gt;=AH373,0,AH373-AM373))</f>
        <v/>
      </c>
      <c r="AO373" s="84">
        <f>IF(AM373&gt;=AH373,AI373,AI373*AM373/AH373)</f>
        <v/>
      </c>
      <c r="AP373">
        <f t="array" ref="AP373">INDEX($AU$8:$BB$25,6*(R373-1)+MATCH(AB373,$AS$8:$AS$13,0),MATCH(O373,$AU$7:$BB$7,0))</f>
        <v/>
      </c>
    </row>
    <row r="374" ht="14.25" customHeight="1">
      <c r="O374" s="43" t="inlineStr">
        <is>
          <t>Q3’26</t>
        </is>
      </c>
      <c r="P374" s="43" t="n">
        <v>3</v>
      </c>
      <c r="Q374" s="43" t="n">
        <v>11</v>
      </c>
      <c r="R374" s="43" t="n">
        <v>1</v>
      </c>
      <c r="S374" s="45" t="n">
        <v>1.2e-11</v>
      </c>
      <c r="T374">
        <f>(S374+S375+S376)=P4</f>
        <v/>
      </c>
      <c r="X374" s="84">
        <f>MAX(S371-S374,0)</f>
        <v/>
      </c>
      <c r="Y374" s="83" t="n">
        <v>0</v>
      </c>
      <c r="AA374" s="84" t="n">
        <v>3</v>
      </c>
      <c r="AB374" s="84" t="inlineStr">
        <is>
          <t>E</t>
        </is>
      </c>
      <c r="AC374" s="84" t="inlineStr">
        <is>
          <t>E+</t>
        </is>
      </c>
      <c r="AD374" s="84" t="n">
        <v>17</v>
      </c>
      <c r="AE374" s="84" t="n">
        <v>15</v>
      </c>
      <c r="AF374" s="84" t="n">
        <v>0.76</v>
      </c>
      <c r="AG374" s="84" t="n">
        <v>0.84</v>
      </c>
      <c r="AH374" s="84" t="n">
        <v>0</v>
      </c>
      <c r="AI374" s="84" t="n">
        <v>0</v>
      </c>
      <c r="AJ374" s="84">
        <f>SUMIFS(AH$8:AH$1039,$O$8:$O$1039,O374,$AB$8:$AB$1039,AB374,$R$8:$R$1039,R374,$AA$8:$AA$1039,"&lt;="&amp;AA374)</f>
        <v/>
      </c>
      <c r="AK374" s="84">
        <f>C36</f>
        <v/>
      </c>
      <c r="AL374" s="84">
        <f>C42</f>
        <v/>
      </c>
      <c r="AM374" s="84">
        <f>MAX(0,AJ374-AK374)</f>
        <v/>
      </c>
      <c r="AN374" s="84">
        <f>IF(AM374=0,AH374,IF(AM374&gt;=AH374,0,AH374-AM374))</f>
        <v/>
      </c>
      <c r="AO374" s="84">
        <f>IF(AM374&gt;=AH374,AI374,AI374*AM374/AH374)</f>
        <v/>
      </c>
      <c r="AP374">
        <f t="array" ref="AP374">INDEX($AU$8:$BB$25,6*(R374-1)+MATCH(AB374,$AS$8:$AS$13,0),MATCH(O374,$AU$7:$BB$7,0))</f>
        <v/>
      </c>
    </row>
    <row r="375" ht="14.25" customHeight="1">
      <c r="O375" s="43" t="inlineStr">
        <is>
          <t>Q3’26</t>
        </is>
      </c>
      <c r="P375" s="43" t="n">
        <v>3</v>
      </c>
      <c r="Q375" s="43" t="n">
        <v>11</v>
      </c>
      <c r="R375" s="43" t="n">
        <v>2</v>
      </c>
      <c r="S375" s="45" t="n">
        <v>3263.548235294084</v>
      </c>
      <c r="T375">
        <f>(S374+S375+S376)=P4</f>
        <v/>
      </c>
      <c r="X375" s="84">
        <f>MAX(S372-S375,0)</f>
        <v/>
      </c>
      <c r="Y375" s="83" t="n">
        <v>0</v>
      </c>
      <c r="AA375" s="84" t="n">
        <v>3</v>
      </c>
      <c r="AB375" s="84" t="inlineStr">
        <is>
          <t>E</t>
        </is>
      </c>
      <c r="AC375" s="84" t="inlineStr">
        <is>
          <t>E+</t>
        </is>
      </c>
      <c r="AD375" s="84" t="n">
        <v>17</v>
      </c>
      <c r="AE375" s="84" t="n">
        <v>15</v>
      </c>
      <c r="AF375" s="84" t="n">
        <v>0.76</v>
      </c>
      <c r="AG375" s="84" t="n">
        <v>0.84</v>
      </c>
      <c r="AH375" s="84" t="n">
        <v>0</v>
      </c>
      <c r="AI375" s="84" t="n">
        <v>0</v>
      </c>
      <c r="AJ375" s="84">
        <f>SUMIFS(AH$8:AH$1039,$O$8:$O$1039,O375,$AB$8:$AB$1039,AB375,$R$8:$R$1039,R375,$AA$8:$AA$1039,"&lt;="&amp;AA375)</f>
        <v/>
      </c>
      <c r="AK375" s="84">
        <f>D36</f>
        <v/>
      </c>
      <c r="AL375" s="84">
        <f>D42</f>
        <v/>
      </c>
      <c r="AM375" s="84">
        <f>MAX(0,AJ375-AK375)</f>
        <v/>
      </c>
      <c r="AN375" s="84">
        <f>IF(AM375=0,AH375,IF(AM375&gt;=AH375,0,AH375-AM375))</f>
        <v/>
      </c>
      <c r="AO375" s="84">
        <f>IF(AM375&gt;=AH375,AI375,AI375*AM375/AH375)</f>
        <v/>
      </c>
      <c r="AP375">
        <f t="array" ref="AP375">INDEX($AU$8:$BB$25,6*(R375-1)+MATCH(AB375,$AS$8:$AS$13,0),MATCH(O375,$AU$7:$BB$7,0))</f>
        <v/>
      </c>
    </row>
    <row r="376" ht="14.25" customHeight="1">
      <c r="O376" s="43" t="inlineStr">
        <is>
          <t>Q3’26</t>
        </is>
      </c>
      <c r="P376" s="43" t="n">
        <v>3</v>
      </c>
      <c r="Q376" s="43" t="n">
        <v>11</v>
      </c>
      <c r="R376" s="43" t="n">
        <v>3</v>
      </c>
      <c r="S376" s="45" t="n">
        <v>3736.451764705904</v>
      </c>
      <c r="T376">
        <f>(S374+S375+S376)=P4</f>
        <v/>
      </c>
      <c r="X376" s="84">
        <f>MAX(S373-S376,0)</f>
        <v/>
      </c>
      <c r="Y376" s="83" t="n">
        <v>0</v>
      </c>
      <c r="AA376" s="84" t="n">
        <v>3</v>
      </c>
      <c r="AB376" s="84" t="inlineStr">
        <is>
          <t>E</t>
        </is>
      </c>
      <c r="AC376" s="84" t="inlineStr">
        <is>
          <t>E+</t>
        </is>
      </c>
      <c r="AD376" s="84" t="n">
        <v>17</v>
      </c>
      <c r="AE376" s="84" t="n">
        <v>15</v>
      </c>
      <c r="AF376" s="84" t="n">
        <v>0.76</v>
      </c>
      <c r="AG376" s="84" t="n">
        <v>0.84</v>
      </c>
      <c r="AH376" s="84" t="n">
        <v>0</v>
      </c>
      <c r="AI376" s="84" t="n">
        <v>0</v>
      </c>
      <c r="AJ376" s="84">
        <f>SUMIFS(AH$8:AH$1039,$O$8:$O$1039,O376,$AB$8:$AB$1039,AB376,$R$8:$R$1039,R376,$AA$8:$AA$1039,"&lt;="&amp;AA376)</f>
        <v/>
      </c>
      <c r="AK376" s="84">
        <f>E36</f>
        <v/>
      </c>
      <c r="AL376" s="84">
        <f>E42</f>
        <v/>
      </c>
      <c r="AM376" s="84">
        <f>MAX(0,AJ376-AK376)</f>
        <v/>
      </c>
      <c r="AN376" s="84">
        <f>IF(AM376=0,AH376,IF(AM376&gt;=AH376,0,AH376-AM376))</f>
        <v/>
      </c>
      <c r="AO376" s="84">
        <f>IF(AM376&gt;=AH376,AI376,AI376*AM376/AH376)</f>
        <v/>
      </c>
      <c r="AP376">
        <f t="array" ref="AP376">INDEX($AU$8:$BB$25,6*(R376-1)+MATCH(AB376,$AS$8:$AS$13,0),MATCH(O376,$AU$7:$BB$7,0))</f>
        <v/>
      </c>
    </row>
    <row r="377" ht="14.25" customHeight="1">
      <c r="O377" s="43" t="inlineStr">
        <is>
          <t>Q3’26</t>
        </is>
      </c>
      <c r="P377" s="43" t="n">
        <v>3</v>
      </c>
      <c r="Q377" s="43" t="n">
        <v>12</v>
      </c>
      <c r="R377" s="43" t="n">
        <v>1</v>
      </c>
      <c r="S377" s="45" t="n">
        <v>5e-12</v>
      </c>
      <c r="T377">
        <f>(S377+S378+S379)=P4</f>
        <v/>
      </c>
      <c r="X377" s="84">
        <f>MAX(S374-S377,0)</f>
        <v/>
      </c>
      <c r="Y377" s="83" t="n">
        <v>0</v>
      </c>
      <c r="AA377" s="84" t="n">
        <v>10</v>
      </c>
      <c r="AB377" s="84" t="inlineStr">
        <is>
          <t>E</t>
        </is>
      </c>
      <c r="AC377" s="84" t="inlineStr">
        <is>
          <t>E+</t>
        </is>
      </c>
      <c r="AD377" s="84" t="n">
        <v>18</v>
      </c>
      <c r="AE377" s="84" t="n">
        <v>13</v>
      </c>
      <c r="AF377" s="84" t="n">
        <v>0.76</v>
      </c>
      <c r="AG377" s="84" t="n">
        <v>0.84</v>
      </c>
      <c r="AH377" s="84" t="n">
        <v>0</v>
      </c>
      <c r="AI377" s="84" t="n">
        <v>0</v>
      </c>
      <c r="AJ377" s="84">
        <f>SUMIFS(AH$8:AH$1039,$O$8:$O$1039,O377,$AB$8:$AB$1039,AB377,$R$8:$R$1039,R377,$AA$8:$AA$1039,"&lt;="&amp;AA377)</f>
        <v/>
      </c>
      <c r="AK377" s="84">
        <f>C36</f>
        <v/>
      </c>
      <c r="AL377" s="84">
        <f>C42</f>
        <v/>
      </c>
      <c r="AM377" s="84">
        <f>MAX(0,AJ377-AK377)</f>
        <v/>
      </c>
      <c r="AN377" s="84">
        <f>IF(AM377=0,AH377,IF(AM377&gt;=AH377,0,AH377-AM377))</f>
        <v/>
      </c>
      <c r="AO377" s="84">
        <f>IF(AM377&gt;=AH377,AI377,AI377*AM377/AH377)</f>
        <v/>
      </c>
      <c r="AP377">
        <f t="array" ref="AP377">INDEX($AU$8:$BB$25,6*(R377-1)+MATCH(AB377,$AS$8:$AS$13,0),MATCH(O377,$AU$7:$BB$7,0))</f>
        <v/>
      </c>
    </row>
    <row r="378" ht="14.25" customHeight="1">
      <c r="O378" s="43" t="inlineStr">
        <is>
          <t>Q3’26</t>
        </is>
      </c>
      <c r="P378" s="43" t="n">
        <v>3</v>
      </c>
      <c r="Q378" s="43" t="n">
        <v>12</v>
      </c>
      <c r="R378" s="43" t="n">
        <v>2</v>
      </c>
      <c r="S378" s="45" t="n">
        <v>3263.548235294084</v>
      </c>
      <c r="T378">
        <f>(S377+S378+S379)=P4</f>
        <v/>
      </c>
      <c r="X378" s="84">
        <f>MAX(S375-S378,0)</f>
        <v/>
      </c>
      <c r="Y378" s="83" t="n">
        <v>0</v>
      </c>
      <c r="AA378" s="84" t="n">
        <v>10</v>
      </c>
      <c r="AB378" s="84" t="inlineStr">
        <is>
          <t>E</t>
        </is>
      </c>
      <c r="AC378" s="84" t="inlineStr">
        <is>
          <t>E+</t>
        </is>
      </c>
      <c r="AD378" s="84" t="n">
        <v>18</v>
      </c>
      <c r="AE378" s="84" t="n">
        <v>13</v>
      </c>
      <c r="AF378" s="84" t="n">
        <v>0.76</v>
      </c>
      <c r="AG378" s="84" t="n">
        <v>0.84</v>
      </c>
      <c r="AH378" s="84" t="n">
        <v>0</v>
      </c>
      <c r="AI378" s="84" t="n">
        <v>0</v>
      </c>
      <c r="AJ378" s="84">
        <f>SUMIFS(AH$8:AH$1039,$O$8:$O$1039,O378,$AB$8:$AB$1039,AB378,$R$8:$R$1039,R378,$AA$8:$AA$1039,"&lt;="&amp;AA378)</f>
        <v/>
      </c>
      <c r="AK378" s="84">
        <f>D36</f>
        <v/>
      </c>
      <c r="AL378" s="84">
        <f>D42</f>
        <v/>
      </c>
      <c r="AM378" s="84">
        <f>MAX(0,AJ378-AK378)</f>
        <v/>
      </c>
      <c r="AN378" s="84">
        <f>IF(AM378=0,AH378,IF(AM378&gt;=AH378,0,AH378-AM378))</f>
        <v/>
      </c>
      <c r="AO378" s="84">
        <f>IF(AM378&gt;=AH378,AI378,AI378*AM378/AH378)</f>
        <v/>
      </c>
      <c r="AP378">
        <f t="array" ref="AP378">INDEX($AU$8:$BB$25,6*(R378-1)+MATCH(AB378,$AS$8:$AS$13,0),MATCH(O378,$AU$7:$BB$7,0))</f>
        <v/>
      </c>
    </row>
    <row r="379" ht="14.25" customHeight="1">
      <c r="O379" s="43" t="inlineStr">
        <is>
          <t>Q3’26</t>
        </is>
      </c>
      <c r="P379" s="43" t="n">
        <v>3</v>
      </c>
      <c r="Q379" s="43" t="n">
        <v>12</v>
      </c>
      <c r="R379" s="43" t="n">
        <v>3</v>
      </c>
      <c r="S379" s="45" t="n">
        <v>3736.451764705911</v>
      </c>
      <c r="T379">
        <f>(S377+S378+S379)=P4</f>
        <v/>
      </c>
      <c r="X379" s="84">
        <f>MAX(S376-S379,0)</f>
        <v/>
      </c>
      <c r="Y379" s="83" t="n">
        <v>0</v>
      </c>
      <c r="AA379" s="84" t="n">
        <v>10</v>
      </c>
      <c r="AB379" s="84" t="inlineStr">
        <is>
          <t>E</t>
        </is>
      </c>
      <c r="AC379" s="84" t="inlineStr">
        <is>
          <t>E+</t>
        </is>
      </c>
      <c r="AD379" s="84" t="n">
        <v>18</v>
      </c>
      <c r="AE379" s="84" t="n">
        <v>13</v>
      </c>
      <c r="AF379" s="84" t="n">
        <v>0.76</v>
      </c>
      <c r="AG379" s="84" t="n">
        <v>0.84</v>
      </c>
      <c r="AH379" s="84" t="n">
        <v>0</v>
      </c>
      <c r="AI379" s="84" t="n">
        <v>0</v>
      </c>
      <c r="AJ379" s="84">
        <f>SUMIFS(AH$8:AH$1039,$O$8:$O$1039,O379,$AB$8:$AB$1039,AB379,$R$8:$R$1039,R379,$AA$8:$AA$1039,"&lt;="&amp;AA379)</f>
        <v/>
      </c>
      <c r="AK379" s="84">
        <f>E36</f>
        <v/>
      </c>
      <c r="AL379" s="84">
        <f>E42</f>
        <v/>
      </c>
      <c r="AM379" s="84">
        <f>MAX(0,AJ379-AK379)</f>
        <v/>
      </c>
      <c r="AN379" s="84">
        <f>IF(AM379=0,AH379,IF(AM379&gt;=AH379,0,AH379-AM379))</f>
        <v/>
      </c>
      <c r="AO379" s="84">
        <f>IF(AM379&gt;=AH379,AI379,AI379*AM379/AH379)</f>
        <v/>
      </c>
      <c r="AP379">
        <f t="array" ref="AP379">INDEX($AU$8:$BB$25,6*(R379-1)+MATCH(AB379,$AS$8:$AS$13,0),MATCH(O379,$AU$7:$BB$7,0))</f>
        <v/>
      </c>
    </row>
    <row r="380" ht="14.25" customHeight="1">
      <c r="O380" s="43" t="inlineStr">
        <is>
          <t>Q3’26</t>
        </is>
      </c>
      <c r="P380" s="43" t="n">
        <v>3</v>
      </c>
      <c r="Q380" s="43" t="n">
        <v>13</v>
      </c>
      <c r="R380" s="43" t="n">
        <v>1</v>
      </c>
      <c r="S380" s="45" t="n">
        <v>0</v>
      </c>
      <c r="T380">
        <f>(S380+S381+S382)=P4</f>
        <v/>
      </c>
      <c r="X380" s="84">
        <f>MAX(S377-S380,0)</f>
        <v/>
      </c>
      <c r="Y380" s="83" t="n">
        <v>0</v>
      </c>
      <c r="AA380" s="84" t="n">
        <v>2</v>
      </c>
      <c r="AB380" s="84" t="inlineStr">
        <is>
          <t>F</t>
        </is>
      </c>
      <c r="AC380" s="84" t="inlineStr">
        <is>
          <t>F+</t>
        </is>
      </c>
      <c r="AD380" s="84" t="n">
        <v>20</v>
      </c>
      <c r="AE380" s="84" t="n">
        <v>18</v>
      </c>
      <c r="AF380" s="84" t="n">
        <v>0.8</v>
      </c>
      <c r="AG380" s="84" t="n">
        <v>0.9</v>
      </c>
      <c r="AH380" s="84" t="n">
        <v>0</v>
      </c>
      <c r="AI380" s="84" t="n">
        <v>0</v>
      </c>
      <c r="AJ380" s="84">
        <f>SUMIFS(AH$8:AH$1039,$O$8:$O$1039,O380,$AB$8:$AB$1039,AB380,$R$8:$R$1039,R380,$AA$8:$AA$1039,"&lt;="&amp;AA380)</f>
        <v/>
      </c>
      <c r="AK380" s="84">
        <f>C37</f>
        <v/>
      </c>
      <c r="AL380" s="84">
        <f>C43</f>
        <v/>
      </c>
      <c r="AM380" s="84">
        <f>MAX(0,AJ380-AK380)</f>
        <v/>
      </c>
      <c r="AN380" s="84">
        <f>IF(AM380=0,AH380,IF(AM380&gt;=AH380,0,AH380-AM380))</f>
        <v/>
      </c>
      <c r="AO380" s="84">
        <f>IF(AM380&gt;=AH380,AI380,AI380*AM380/AH380)</f>
        <v/>
      </c>
      <c r="AP380">
        <f t="array" ref="AP380">INDEX($AU$8:$BB$25,6*(R380-1)+MATCH(AB380,$AS$8:$AS$13,0),MATCH(O380,$AU$7:$BB$7,0))</f>
        <v/>
      </c>
    </row>
    <row r="381" ht="14.25" customHeight="1">
      <c r="O381" s="43" t="inlineStr">
        <is>
          <t>Q3’26</t>
        </is>
      </c>
      <c r="P381" s="43" t="n">
        <v>3</v>
      </c>
      <c r="Q381" s="43" t="n">
        <v>13</v>
      </c>
      <c r="R381" s="43" t="n">
        <v>2</v>
      </c>
      <c r="S381" s="45" t="n">
        <v>3263.548235294084</v>
      </c>
      <c r="T381">
        <f>(S380+S381+S382)=P4</f>
        <v/>
      </c>
      <c r="X381" s="84">
        <f>MAX(S378-S381,0)</f>
        <v/>
      </c>
      <c r="Y381" s="83" t="n">
        <v>0</v>
      </c>
      <c r="AA381" s="84" t="n">
        <v>2</v>
      </c>
      <c r="AB381" s="84" t="inlineStr">
        <is>
          <t>F</t>
        </is>
      </c>
      <c r="AC381" s="84" t="inlineStr">
        <is>
          <t>F+</t>
        </is>
      </c>
      <c r="AD381" s="84" t="n">
        <v>20</v>
      </c>
      <c r="AE381" s="84" t="n">
        <v>18</v>
      </c>
      <c r="AF381" s="84" t="n">
        <v>0.8</v>
      </c>
      <c r="AG381" s="84" t="n">
        <v>0.9</v>
      </c>
      <c r="AH381" s="84" t="n">
        <v>0</v>
      </c>
      <c r="AI381" s="84" t="n">
        <v>0</v>
      </c>
      <c r="AJ381" s="84">
        <f>SUMIFS(AH$8:AH$1039,$O$8:$O$1039,O381,$AB$8:$AB$1039,AB381,$R$8:$R$1039,R381,$AA$8:$AA$1039,"&lt;="&amp;AA381)</f>
        <v/>
      </c>
      <c r="AK381" s="84">
        <f>D37</f>
        <v/>
      </c>
      <c r="AL381" s="84">
        <f>D43</f>
        <v/>
      </c>
      <c r="AM381" s="84">
        <f>MAX(0,AJ381-AK381)</f>
        <v/>
      </c>
      <c r="AN381" s="84">
        <f>IF(AM381=0,AH381,IF(AM381&gt;=AH381,0,AH381-AM381))</f>
        <v/>
      </c>
      <c r="AO381" s="84">
        <f>IF(AM381&gt;=AH381,AI381,AI381*AM381/AH381)</f>
        <v/>
      </c>
      <c r="AP381">
        <f t="array" ref="AP381">INDEX($AU$8:$BB$25,6*(R381-1)+MATCH(AB381,$AS$8:$AS$13,0),MATCH(O381,$AU$7:$BB$7,0))</f>
        <v/>
      </c>
    </row>
    <row r="382" ht="14.25" customHeight="1">
      <c r="O382" s="43" t="inlineStr">
        <is>
          <t>Q3’26</t>
        </is>
      </c>
      <c r="P382" s="43" t="n">
        <v>3</v>
      </c>
      <c r="Q382" s="43" t="n">
        <v>13</v>
      </c>
      <c r="R382" s="43" t="n">
        <v>3</v>
      </c>
      <c r="S382" s="45" t="n">
        <v>3736.451764705916</v>
      </c>
      <c r="T382">
        <f>(S380+S381+S382)=P4</f>
        <v/>
      </c>
      <c r="X382" s="84">
        <f>MAX(S379-S382,0)</f>
        <v/>
      </c>
      <c r="Y382" s="83" t="n">
        <v>0</v>
      </c>
      <c r="AA382" s="84" t="n">
        <v>2</v>
      </c>
      <c r="AB382" s="84" t="inlineStr">
        <is>
          <t>F</t>
        </is>
      </c>
      <c r="AC382" s="84" t="inlineStr">
        <is>
          <t>F+</t>
        </is>
      </c>
      <c r="AD382" s="84" t="n">
        <v>20</v>
      </c>
      <c r="AE382" s="84" t="n">
        <v>18</v>
      </c>
      <c r="AF382" s="84" t="n">
        <v>0.8</v>
      </c>
      <c r="AG382" s="84" t="n">
        <v>0.9</v>
      </c>
      <c r="AH382" s="84" t="n">
        <v>0</v>
      </c>
      <c r="AI382" s="84" t="n">
        <v>0</v>
      </c>
      <c r="AJ382" s="84">
        <f>SUMIFS(AH$8:AH$1039,$O$8:$O$1039,O382,$AB$8:$AB$1039,AB382,$R$8:$R$1039,R382,$AA$8:$AA$1039,"&lt;="&amp;AA382)</f>
        <v/>
      </c>
      <c r="AK382" s="84">
        <f>E37</f>
        <v/>
      </c>
      <c r="AL382" s="84">
        <f>E43</f>
        <v/>
      </c>
      <c r="AM382" s="84">
        <f>MAX(0,AJ382-AK382)</f>
        <v/>
      </c>
      <c r="AN382" s="84">
        <f>IF(AM382=0,AH382,IF(AM382&gt;=AH382,0,AH382-AM382))</f>
        <v/>
      </c>
      <c r="AO382" s="84">
        <f>IF(AM382&gt;=AH382,AI382,AI382*AM382/AH382)</f>
        <v/>
      </c>
      <c r="AP382">
        <f t="array" ref="AP382">INDEX($AU$8:$BB$25,6*(R382-1)+MATCH(AB382,$AS$8:$AS$13,0),MATCH(O382,$AU$7:$BB$7,0))</f>
        <v/>
      </c>
    </row>
    <row r="383" ht="14.25" customHeight="1">
      <c r="O383" s="43" t="inlineStr">
        <is>
          <t>Q3’26</t>
        </is>
      </c>
      <c r="P383" s="43" t="n">
        <v>3</v>
      </c>
      <c r="Q383" s="43" t="n">
        <v>14</v>
      </c>
      <c r="R383" s="43" t="n">
        <v>1</v>
      </c>
      <c r="S383" s="45" t="n">
        <v>0</v>
      </c>
      <c r="T383">
        <f>(S383+S384+S385)=P4</f>
        <v/>
      </c>
      <c r="X383" s="84">
        <f>MAX(S380-S383,0)</f>
        <v/>
      </c>
      <c r="Y383" s="83" t="n">
        <v>0</v>
      </c>
      <c r="AA383" s="84" t="n">
        <v>2</v>
      </c>
      <c r="AB383" s="84" t="inlineStr">
        <is>
          <t>C</t>
        </is>
      </c>
      <c r="AC383" s="84" t="inlineStr">
        <is>
          <t>C+</t>
        </is>
      </c>
      <c r="AD383" s="84" t="n">
        <v>12</v>
      </c>
      <c r="AE383" s="84" t="n">
        <v>11</v>
      </c>
      <c r="AF383" s="84" t="n">
        <v>0.8</v>
      </c>
      <c r="AG383" s="84" t="n">
        <v>0.86</v>
      </c>
      <c r="AH383" s="84" t="n">
        <v>0</v>
      </c>
      <c r="AI383" s="84" t="n">
        <v>0</v>
      </c>
      <c r="AJ383" s="84">
        <f>SUMIFS(AH$8:AH$1039,$O$8:$O$1039,O383,$AB$8:$AB$1039,AB383,$R$8:$R$1039,R383,$AA$8:$AA$1039,"&lt;="&amp;AA383)</f>
        <v/>
      </c>
      <c r="AK383" s="84">
        <f>C34</f>
        <v/>
      </c>
      <c r="AL383" s="84">
        <f>C40</f>
        <v/>
      </c>
      <c r="AM383" s="84">
        <f>MAX(0,AJ383-AK383)</f>
        <v/>
      </c>
      <c r="AN383" s="84">
        <f>IF(AM383=0,AH383,IF(AM383&gt;=AH383,0,AH383-AM383))</f>
        <v/>
      </c>
      <c r="AO383" s="84">
        <f>IF(AM383&gt;=AH383,AI383,AI383*AM383/AH383)</f>
        <v/>
      </c>
      <c r="AP383">
        <f t="array" ref="AP383">INDEX($AU$8:$BB$25,6*(R383-1)+MATCH(AB383,$AS$8:$AS$13,0),MATCH(O383,$AU$7:$BB$7,0))</f>
        <v/>
      </c>
    </row>
    <row r="384" ht="14.25" customHeight="1">
      <c r="O384" s="43" t="inlineStr">
        <is>
          <t>Q3’26</t>
        </is>
      </c>
      <c r="P384" s="43" t="n">
        <v>3</v>
      </c>
      <c r="Q384" s="43" t="n">
        <v>14</v>
      </c>
      <c r="R384" s="43" t="n">
        <v>2</v>
      </c>
      <c r="S384" s="45" t="n">
        <v>3263.548235294084</v>
      </c>
      <c r="T384">
        <f>(S383+S384+S385)=P4</f>
        <v/>
      </c>
      <c r="X384" s="84">
        <f>MAX(S381-S384,0)</f>
        <v/>
      </c>
      <c r="Y384" s="83" t="n">
        <v>0</v>
      </c>
      <c r="AA384" s="84" t="n">
        <v>2</v>
      </c>
      <c r="AB384" s="84" t="inlineStr">
        <is>
          <t>C</t>
        </is>
      </c>
      <c r="AC384" s="84" t="inlineStr">
        <is>
          <t>C+</t>
        </is>
      </c>
      <c r="AD384" s="84" t="n">
        <v>12</v>
      </c>
      <c r="AE384" s="84" t="n">
        <v>11</v>
      </c>
      <c r="AF384" s="84" t="n">
        <v>0.8</v>
      </c>
      <c r="AG384" s="84" t="n">
        <v>0.86</v>
      </c>
      <c r="AH384" s="84" t="n">
        <v>0</v>
      </c>
      <c r="AI384" s="84" t="n">
        <v>0</v>
      </c>
      <c r="AJ384" s="84">
        <f>SUMIFS(AH$8:AH$1039,$O$8:$O$1039,O384,$AB$8:$AB$1039,AB384,$R$8:$R$1039,R384,$AA$8:$AA$1039,"&lt;="&amp;AA384)</f>
        <v/>
      </c>
      <c r="AK384" s="84">
        <f>D34</f>
        <v/>
      </c>
      <c r="AL384" s="84">
        <f>D40</f>
        <v/>
      </c>
      <c r="AM384" s="84">
        <f>MAX(0,AJ384-AK384)</f>
        <v/>
      </c>
      <c r="AN384" s="84">
        <f>IF(AM384=0,AH384,IF(AM384&gt;=AH384,0,AH384-AM384))</f>
        <v/>
      </c>
      <c r="AO384" s="84">
        <f>IF(AM384&gt;=AH384,AI384,AI384*AM384/AH384)</f>
        <v/>
      </c>
      <c r="AP384">
        <f t="array" ref="AP384">INDEX($AU$8:$BB$25,6*(R384-1)+MATCH(AB384,$AS$8:$AS$13,0),MATCH(O384,$AU$7:$BB$7,0))</f>
        <v/>
      </c>
    </row>
    <row r="385" ht="14.25" customHeight="1">
      <c r="O385" s="43" t="inlineStr">
        <is>
          <t>Q3’26</t>
        </is>
      </c>
      <c r="P385" s="43" t="n">
        <v>3</v>
      </c>
      <c r="Q385" s="43" t="n">
        <v>14</v>
      </c>
      <c r="R385" s="43" t="n">
        <v>3</v>
      </c>
      <c r="S385" s="45" t="n">
        <v>3736.451764705916</v>
      </c>
      <c r="T385">
        <f>(S383+S384+S385)=P4</f>
        <v/>
      </c>
      <c r="X385" s="84">
        <f>MAX(S382-S385,0)</f>
        <v/>
      </c>
      <c r="Y385" s="83" t="n">
        <v>0</v>
      </c>
      <c r="AA385" s="84" t="n">
        <v>2</v>
      </c>
      <c r="AB385" s="84" t="inlineStr">
        <is>
          <t>C</t>
        </is>
      </c>
      <c r="AC385" s="84" t="inlineStr">
        <is>
          <t>C+</t>
        </is>
      </c>
      <c r="AD385" s="84" t="n">
        <v>12</v>
      </c>
      <c r="AE385" s="84" t="n">
        <v>11</v>
      </c>
      <c r="AF385" s="84" t="n">
        <v>0.8</v>
      </c>
      <c r="AG385" s="84" t="n">
        <v>0.86</v>
      </c>
      <c r="AH385" s="84" t="n">
        <v>0</v>
      </c>
      <c r="AI385" s="84" t="n">
        <v>0</v>
      </c>
      <c r="AJ385" s="84">
        <f>SUMIFS(AH$8:AH$1039,$O$8:$O$1039,O385,$AB$8:$AB$1039,AB385,$R$8:$R$1039,R385,$AA$8:$AA$1039,"&lt;="&amp;AA385)</f>
        <v/>
      </c>
      <c r="AK385" s="84">
        <f>E34</f>
        <v/>
      </c>
      <c r="AL385" s="84">
        <f>E40</f>
        <v/>
      </c>
      <c r="AM385" s="84">
        <f>MAX(0,AJ385-AK385)</f>
        <v/>
      </c>
      <c r="AN385" s="84">
        <f>IF(AM385=0,AH385,IF(AM385&gt;=AH385,0,AH385-AM385))</f>
        <v/>
      </c>
      <c r="AO385" s="84">
        <f>IF(AM385&gt;=AH385,AI385,AI385*AM385/AH385)</f>
        <v/>
      </c>
      <c r="AP385">
        <f t="array" ref="AP385">INDEX($AU$8:$BB$25,6*(R385-1)+MATCH(AB385,$AS$8:$AS$13,0),MATCH(O385,$AU$7:$BB$7,0))</f>
        <v/>
      </c>
    </row>
    <row r="386" ht="14.25" customHeight="1">
      <c r="O386" s="43" t="inlineStr">
        <is>
          <t>Q3’26</t>
        </is>
      </c>
      <c r="P386" s="43" t="n">
        <v>3</v>
      </c>
      <c r="Q386" s="43" t="n">
        <v>15</v>
      </c>
      <c r="R386" s="43" t="n">
        <v>1</v>
      </c>
      <c r="S386" s="45" t="n">
        <v>0</v>
      </c>
      <c r="T386">
        <f>(S386+S387+S388)=P4</f>
        <v/>
      </c>
      <c r="X386" s="84">
        <f>MAX(S383-S386,0)</f>
        <v/>
      </c>
      <c r="Y386" s="83" t="n">
        <v>0</v>
      </c>
      <c r="AA386" s="84" t="n">
        <v>2</v>
      </c>
      <c r="AB386" s="84" t="inlineStr">
        <is>
          <t>D</t>
        </is>
      </c>
      <c r="AC386" s="84" t="inlineStr">
        <is>
          <t>D+</t>
        </is>
      </c>
      <c r="AD386" s="84" t="n">
        <v>11</v>
      </c>
      <c r="AE386" s="84" t="n">
        <v>10</v>
      </c>
      <c r="AF386" s="84" t="n">
        <v>0.8</v>
      </c>
      <c r="AG386" s="84" t="n">
        <v>0.88</v>
      </c>
      <c r="AH386" s="84" t="n">
        <v>0</v>
      </c>
      <c r="AI386" s="84" t="n">
        <v>0</v>
      </c>
      <c r="AJ386" s="84">
        <f>SUMIFS(AH$8:AH$1039,$O$8:$O$1039,O386,$AB$8:$AB$1039,AB386,$R$8:$R$1039,R386,$AA$8:$AA$1039,"&lt;="&amp;AA386)</f>
        <v/>
      </c>
      <c r="AK386" s="84">
        <f>C35</f>
        <v/>
      </c>
      <c r="AL386" s="84">
        <f>C41</f>
        <v/>
      </c>
      <c r="AM386" s="84">
        <f>MAX(0,AJ386-AK386)</f>
        <v/>
      </c>
      <c r="AN386" s="84">
        <f>IF(AM386=0,AH386,IF(AM386&gt;=AH386,0,AH386-AM386))</f>
        <v/>
      </c>
      <c r="AO386" s="84">
        <f>IF(AM386&gt;=AH386,AI386,AI386*AM386/AH386)</f>
        <v/>
      </c>
      <c r="AP386">
        <f t="array" ref="AP386">INDEX($AU$8:$BB$25,6*(R386-1)+MATCH(AB386,$AS$8:$AS$13,0),MATCH(O386,$AU$7:$BB$7,0))</f>
        <v/>
      </c>
    </row>
    <row r="387" ht="14.25" customHeight="1">
      <c r="O387" s="43" t="inlineStr">
        <is>
          <t>Q3’26</t>
        </is>
      </c>
      <c r="P387" s="43" t="n">
        <v>3</v>
      </c>
      <c r="Q387" s="43" t="n">
        <v>15</v>
      </c>
      <c r="R387" s="43" t="n">
        <v>2</v>
      </c>
      <c r="S387" s="45" t="n">
        <v>3263.548235294071</v>
      </c>
      <c r="T387">
        <f>(S386+S387+S388)=P4</f>
        <v/>
      </c>
      <c r="X387" s="84">
        <f>MAX(S384-S387,0)</f>
        <v/>
      </c>
      <c r="Y387" s="83" t="n">
        <v>0</v>
      </c>
      <c r="AA387" s="84" t="n">
        <v>2</v>
      </c>
      <c r="AB387" s="84" t="inlineStr">
        <is>
          <t>D</t>
        </is>
      </c>
      <c r="AC387" s="84" t="inlineStr">
        <is>
          <t>D+</t>
        </is>
      </c>
      <c r="AD387" s="84" t="n">
        <v>11</v>
      </c>
      <c r="AE387" s="84" t="n">
        <v>10</v>
      </c>
      <c r="AF387" s="84" t="n">
        <v>0.8</v>
      </c>
      <c r="AG387" s="84" t="n">
        <v>0.88</v>
      </c>
      <c r="AH387" s="84" t="n">
        <v>0</v>
      </c>
      <c r="AI387" s="84" t="n">
        <v>0</v>
      </c>
      <c r="AJ387" s="84">
        <f>SUMIFS(AH$8:AH$1039,$O$8:$O$1039,O387,$AB$8:$AB$1039,AB387,$R$8:$R$1039,R387,$AA$8:$AA$1039,"&lt;="&amp;AA387)</f>
        <v/>
      </c>
      <c r="AK387" s="84">
        <f>D35</f>
        <v/>
      </c>
      <c r="AL387" s="84">
        <f>D41</f>
        <v/>
      </c>
      <c r="AM387" s="84">
        <f>MAX(0,AJ387-AK387)</f>
        <v/>
      </c>
      <c r="AN387" s="84">
        <f>IF(AM387=0,AH387,IF(AM387&gt;=AH387,0,AH387-AM387))</f>
        <v/>
      </c>
      <c r="AO387" s="84">
        <f>IF(AM387&gt;=AH387,AI387,AI387*AM387/AH387)</f>
        <v/>
      </c>
      <c r="AP387">
        <f t="array" ref="AP387">INDEX($AU$8:$BB$25,6*(R387-1)+MATCH(AB387,$AS$8:$AS$13,0),MATCH(O387,$AU$7:$BB$7,0))</f>
        <v/>
      </c>
    </row>
    <row r="388" ht="14.25" customHeight="1">
      <c r="O388" s="43" t="inlineStr">
        <is>
          <t>Q3’26</t>
        </is>
      </c>
      <c r="P388" s="43" t="n">
        <v>3</v>
      </c>
      <c r="Q388" s="43" t="n">
        <v>15</v>
      </c>
      <c r="R388" s="43" t="n">
        <v>3</v>
      </c>
      <c r="S388" s="45" t="n">
        <v>3736.451764705929</v>
      </c>
      <c r="T388">
        <f>(S386+S387+S388)=P4</f>
        <v/>
      </c>
      <c r="X388" s="84">
        <f>MAX(S385-S388,0)</f>
        <v/>
      </c>
      <c r="Y388" s="83" t="n">
        <v>0</v>
      </c>
      <c r="AA388" s="84" t="n">
        <v>2</v>
      </c>
      <c r="AB388" s="84" t="inlineStr">
        <is>
          <t>D</t>
        </is>
      </c>
      <c r="AC388" s="84" t="inlineStr">
        <is>
          <t>D+</t>
        </is>
      </c>
      <c r="AD388" s="84" t="n">
        <v>11</v>
      </c>
      <c r="AE388" s="84" t="n">
        <v>10</v>
      </c>
      <c r="AF388" s="84" t="n">
        <v>0.8</v>
      </c>
      <c r="AG388" s="84" t="n">
        <v>0.88</v>
      </c>
      <c r="AH388" s="84" t="n">
        <v>0</v>
      </c>
      <c r="AI388" s="84" t="n">
        <v>0</v>
      </c>
      <c r="AJ388" s="84">
        <f>SUMIFS(AH$8:AH$1039,$O$8:$O$1039,O388,$AB$8:$AB$1039,AB388,$R$8:$R$1039,R388,$AA$8:$AA$1039,"&lt;="&amp;AA388)</f>
        <v/>
      </c>
      <c r="AK388" s="84">
        <f>E35</f>
        <v/>
      </c>
      <c r="AL388" s="84">
        <f>E41</f>
        <v/>
      </c>
      <c r="AM388" s="84">
        <f>MAX(0,AJ388-AK388)</f>
        <v/>
      </c>
      <c r="AN388" s="84">
        <f>IF(AM388=0,AH388,IF(AM388&gt;=AH388,0,AH388-AM388))</f>
        <v/>
      </c>
      <c r="AO388" s="84">
        <f>IF(AM388&gt;=AH388,AI388,AI388*AM388/AH388)</f>
        <v/>
      </c>
      <c r="AP388">
        <f t="array" ref="AP388">INDEX($AU$8:$BB$25,6*(R388-1)+MATCH(AB388,$AS$8:$AS$13,0),MATCH(O388,$AU$7:$BB$7,0))</f>
        <v/>
      </c>
    </row>
    <row r="389" ht="14.25" customHeight="1">
      <c r="O389" s="43" t="inlineStr">
        <is>
          <t>Q3’26</t>
        </is>
      </c>
      <c r="P389" s="43" t="n">
        <v>3</v>
      </c>
      <c r="Q389" s="43" t="n">
        <v>16</v>
      </c>
      <c r="R389" s="43" t="n">
        <v>1</v>
      </c>
      <c r="S389" s="45" t="n">
        <v>0</v>
      </c>
      <c r="T389">
        <f>(S389+S390+S391)=P4</f>
        <v/>
      </c>
      <c r="X389" s="84">
        <f>MAX(S386-S389,0)</f>
        <v/>
      </c>
      <c r="Y389" s="83" t="n">
        <v>0</v>
      </c>
      <c r="AA389" s="84" t="n">
        <v>4</v>
      </c>
      <c r="AB389" s="84" t="inlineStr">
        <is>
          <t>C</t>
        </is>
      </c>
      <c r="AC389" s="84" t="inlineStr">
        <is>
          <t>C+</t>
        </is>
      </c>
      <c r="AD389" s="84" t="n">
        <v>25</v>
      </c>
      <c r="AE389" s="84" t="n">
        <v>20</v>
      </c>
      <c r="AF389" s="84" t="n">
        <v>0.8</v>
      </c>
      <c r="AG389" s="84" t="n">
        <v>0.86</v>
      </c>
      <c r="AH389" s="84" t="n">
        <v>0</v>
      </c>
      <c r="AI389" s="84" t="n">
        <v>0</v>
      </c>
      <c r="AJ389" s="84">
        <f>SUMIFS(AH$8:AH$1039,$O$8:$O$1039,O389,$AB$8:$AB$1039,AB389,$R$8:$R$1039,R389,$AA$8:$AA$1039,"&lt;="&amp;AA389)</f>
        <v/>
      </c>
      <c r="AK389" s="84">
        <f>C34</f>
        <v/>
      </c>
      <c r="AL389" s="84">
        <f>C40</f>
        <v/>
      </c>
      <c r="AM389" s="84">
        <f>MAX(0,AJ389-AK389)</f>
        <v/>
      </c>
      <c r="AN389" s="84">
        <f>IF(AM389=0,AH389,IF(AM389&gt;=AH389,0,AH389-AM389))</f>
        <v/>
      </c>
      <c r="AO389" s="84">
        <f>IF(AM389&gt;=AH389,AI389,AI389*AM389/AH389)</f>
        <v/>
      </c>
      <c r="AP389">
        <f t="array" ref="AP389">INDEX($AU$8:$BB$25,6*(R389-1)+MATCH(AB389,$AS$8:$AS$13,0),MATCH(O389,$AU$7:$BB$7,0))</f>
        <v/>
      </c>
    </row>
    <row r="390" ht="14.25" customHeight="1">
      <c r="O390" s="43" t="inlineStr">
        <is>
          <t>Q3’26</t>
        </is>
      </c>
      <c r="P390" s="43" t="n">
        <v>3</v>
      </c>
      <c r="Q390" s="43" t="n">
        <v>16</v>
      </c>
      <c r="R390" s="43" t="n">
        <v>2</v>
      </c>
      <c r="S390" s="45" t="n">
        <v>3263.548235294071</v>
      </c>
      <c r="T390">
        <f>(S389+S390+S391)=P4</f>
        <v/>
      </c>
      <c r="X390" s="84">
        <f>MAX(S387-S390,0)</f>
        <v/>
      </c>
      <c r="Y390" s="83" t="n">
        <v>0</v>
      </c>
      <c r="AA390" s="84" t="n">
        <v>4</v>
      </c>
      <c r="AB390" s="84" t="inlineStr">
        <is>
          <t>C</t>
        </is>
      </c>
      <c r="AC390" s="84" t="inlineStr">
        <is>
          <t>C+</t>
        </is>
      </c>
      <c r="AD390" s="84" t="n">
        <v>25</v>
      </c>
      <c r="AE390" s="84" t="n">
        <v>20</v>
      </c>
      <c r="AF390" s="84" t="n">
        <v>0.8</v>
      </c>
      <c r="AG390" s="84" t="n">
        <v>0.86</v>
      </c>
      <c r="AH390" s="84" t="n">
        <v>0</v>
      </c>
      <c r="AI390" s="84" t="n">
        <v>0</v>
      </c>
      <c r="AJ390" s="84">
        <f>SUMIFS(AH$8:AH$1039,$O$8:$O$1039,O390,$AB$8:$AB$1039,AB390,$R$8:$R$1039,R390,$AA$8:$AA$1039,"&lt;="&amp;AA390)</f>
        <v/>
      </c>
      <c r="AK390" s="84">
        <f>D34</f>
        <v/>
      </c>
      <c r="AL390" s="84">
        <f>D40</f>
        <v/>
      </c>
      <c r="AM390" s="84">
        <f>MAX(0,AJ390-AK390)</f>
        <v/>
      </c>
      <c r="AN390" s="84">
        <f>IF(AM390=0,AH390,IF(AM390&gt;=AH390,0,AH390-AM390))</f>
        <v/>
      </c>
      <c r="AO390" s="84">
        <f>IF(AM390&gt;=AH390,AI390,AI390*AM390/AH390)</f>
        <v/>
      </c>
      <c r="AP390">
        <f t="array" ref="AP390">INDEX($AU$8:$BB$25,6*(R390-1)+MATCH(AB390,$AS$8:$AS$13,0),MATCH(O390,$AU$7:$BB$7,0))</f>
        <v/>
      </c>
    </row>
    <row r="391" ht="14.25" customHeight="1">
      <c r="O391" s="43" t="inlineStr">
        <is>
          <t>Q3’26</t>
        </is>
      </c>
      <c r="P391" s="43" t="n">
        <v>3</v>
      </c>
      <c r="Q391" s="43" t="n">
        <v>16</v>
      </c>
      <c r="R391" s="43" t="n">
        <v>3</v>
      </c>
      <c r="S391" s="45" t="n">
        <v>3736.451764705929</v>
      </c>
      <c r="T391">
        <f>(S389+S390+S391)=P4</f>
        <v/>
      </c>
      <c r="X391" s="84">
        <f>MAX(S388-S391,0)</f>
        <v/>
      </c>
      <c r="Y391" s="83" t="n">
        <v>0</v>
      </c>
      <c r="AA391" s="84" t="n">
        <v>4</v>
      </c>
      <c r="AB391" s="84" t="inlineStr">
        <is>
          <t>C</t>
        </is>
      </c>
      <c r="AC391" s="84" t="inlineStr">
        <is>
          <t>C+</t>
        </is>
      </c>
      <c r="AD391" s="84" t="n">
        <v>25</v>
      </c>
      <c r="AE391" s="84" t="n">
        <v>20</v>
      </c>
      <c r="AF391" s="84" t="n">
        <v>0.8</v>
      </c>
      <c r="AG391" s="84" t="n">
        <v>0.86</v>
      </c>
      <c r="AH391" s="84" t="n">
        <v>0</v>
      </c>
      <c r="AI391" s="84" t="n">
        <v>0</v>
      </c>
      <c r="AJ391" s="84">
        <f>SUMIFS(AH$8:AH$1039,$O$8:$O$1039,O391,$AB$8:$AB$1039,AB391,$R$8:$R$1039,R391,$AA$8:$AA$1039,"&lt;="&amp;AA391)</f>
        <v/>
      </c>
      <c r="AK391" s="84">
        <f>E34</f>
        <v/>
      </c>
      <c r="AL391" s="84">
        <f>E40</f>
        <v/>
      </c>
      <c r="AM391" s="84">
        <f>MAX(0,AJ391-AK391)</f>
        <v/>
      </c>
      <c r="AN391" s="84">
        <f>IF(AM391=0,AH391,IF(AM391&gt;=AH391,0,AH391-AM391))</f>
        <v/>
      </c>
      <c r="AO391" s="84">
        <f>IF(AM391&gt;=AH391,AI391,AI391*AM391/AH391)</f>
        <v/>
      </c>
      <c r="AP391">
        <f t="array" ref="AP391">INDEX($AU$8:$BB$25,6*(R391-1)+MATCH(AB391,$AS$8:$AS$13,0),MATCH(O391,$AU$7:$BB$7,0))</f>
        <v/>
      </c>
    </row>
    <row r="392" ht="14.25" customHeight="1">
      <c r="O392" s="43" t="inlineStr">
        <is>
          <t>Q3’26</t>
        </is>
      </c>
      <c r="P392" s="43" t="n">
        <v>3</v>
      </c>
      <c r="Q392" s="43" t="n">
        <v>17</v>
      </c>
      <c r="R392" s="43" t="n">
        <v>1</v>
      </c>
      <c r="S392" s="45" t="n">
        <v>0</v>
      </c>
      <c r="T392">
        <f>(S392+S393+S394)=P4</f>
        <v/>
      </c>
      <c r="X392" s="84">
        <f>MAX(S389-S392,0)</f>
        <v/>
      </c>
      <c r="Y392" s="83" t="n">
        <v>0</v>
      </c>
      <c r="AA392" s="84" t="n">
        <v>1</v>
      </c>
      <c r="AB392" s="84" t="inlineStr">
        <is>
          <t>F</t>
        </is>
      </c>
      <c r="AC392" s="84" t="inlineStr">
        <is>
          <t>F+</t>
        </is>
      </c>
      <c r="AD392" s="84" t="n">
        <v>14</v>
      </c>
      <c r="AE392" s="84" t="n">
        <v>13</v>
      </c>
      <c r="AF392" s="84" t="n">
        <v>0.8</v>
      </c>
      <c r="AG392" s="84" t="n">
        <v>0.9</v>
      </c>
      <c r="AH392" s="84" t="n">
        <v>0</v>
      </c>
      <c r="AI392" s="84" t="n">
        <v>0</v>
      </c>
      <c r="AJ392" s="84">
        <f>SUMIFS(AH$8:AH$1039,$O$8:$O$1039,O392,$AB$8:$AB$1039,AB392,$R$8:$R$1039,R392,$AA$8:$AA$1039,"&lt;="&amp;AA392)</f>
        <v/>
      </c>
      <c r="AK392" s="84">
        <f>C37</f>
        <v/>
      </c>
      <c r="AL392" s="84">
        <f>C43</f>
        <v/>
      </c>
      <c r="AM392" s="84">
        <f>MAX(0,AJ392-AK392)</f>
        <v/>
      </c>
      <c r="AN392" s="84">
        <f>IF(AM392=0,AH392,IF(AM392&gt;=AH392,0,AH392-AM392))</f>
        <v/>
      </c>
      <c r="AO392" s="84">
        <f>IF(AM392&gt;=AH392,AI392,AI392*AM392/AH392)</f>
        <v/>
      </c>
      <c r="AP392">
        <f t="array" ref="AP392">INDEX($AU$8:$BB$25,6*(R392-1)+MATCH(AB392,$AS$8:$AS$13,0),MATCH(O392,$AU$7:$BB$7,0))</f>
        <v/>
      </c>
    </row>
    <row r="393" ht="14.25" customHeight="1">
      <c r="O393" s="43" t="inlineStr">
        <is>
          <t>Q3’26</t>
        </is>
      </c>
      <c r="P393" s="43" t="n">
        <v>3</v>
      </c>
      <c r="Q393" s="43" t="n">
        <v>17</v>
      </c>
      <c r="R393" s="43" t="n">
        <v>2</v>
      </c>
      <c r="S393" s="45" t="n">
        <v>3263.548235294071</v>
      </c>
      <c r="T393">
        <f>(S392+S393+S394)=P4</f>
        <v/>
      </c>
      <c r="X393" s="84">
        <f>MAX(S390-S393,0)</f>
        <v/>
      </c>
      <c r="Y393" s="83" t="n">
        <v>0</v>
      </c>
      <c r="AA393" s="84" t="n">
        <v>1</v>
      </c>
      <c r="AB393" s="84" t="inlineStr">
        <is>
          <t>F</t>
        </is>
      </c>
      <c r="AC393" s="84" t="inlineStr">
        <is>
          <t>F+</t>
        </is>
      </c>
      <c r="AD393" s="84" t="n">
        <v>14</v>
      </c>
      <c r="AE393" s="84" t="n">
        <v>13</v>
      </c>
      <c r="AF393" s="84" t="n">
        <v>0.8</v>
      </c>
      <c r="AG393" s="84" t="n">
        <v>0.9</v>
      </c>
      <c r="AH393" s="84" t="n">
        <v>0</v>
      </c>
      <c r="AI393" s="84" t="n">
        <v>0</v>
      </c>
      <c r="AJ393" s="84">
        <f>SUMIFS(AH$8:AH$1039,$O$8:$O$1039,O393,$AB$8:$AB$1039,AB393,$R$8:$R$1039,R393,$AA$8:$AA$1039,"&lt;="&amp;AA393)</f>
        <v/>
      </c>
      <c r="AK393" s="84">
        <f>D37</f>
        <v/>
      </c>
      <c r="AL393" s="84">
        <f>D43</f>
        <v/>
      </c>
      <c r="AM393" s="84">
        <f>MAX(0,AJ393-AK393)</f>
        <v/>
      </c>
      <c r="AN393" s="84">
        <f>IF(AM393=0,AH393,IF(AM393&gt;=AH393,0,AH393-AM393))</f>
        <v/>
      </c>
      <c r="AO393" s="84">
        <f>IF(AM393&gt;=AH393,AI393,AI393*AM393/AH393)</f>
        <v/>
      </c>
      <c r="AP393">
        <f t="array" ref="AP393">INDEX($AU$8:$BB$25,6*(R393-1)+MATCH(AB393,$AS$8:$AS$13,0),MATCH(O393,$AU$7:$BB$7,0))</f>
        <v/>
      </c>
    </row>
    <row r="394" ht="14.25" customHeight="1">
      <c r="O394" s="43" t="inlineStr">
        <is>
          <t>Q3’26</t>
        </is>
      </c>
      <c r="P394" s="43" t="n">
        <v>3</v>
      </c>
      <c r="Q394" s="43" t="n">
        <v>17</v>
      </c>
      <c r="R394" s="43" t="n">
        <v>3</v>
      </c>
      <c r="S394" s="45" t="n">
        <v>3736.451764705929</v>
      </c>
      <c r="T394">
        <f>(S392+S393+S394)=P4</f>
        <v/>
      </c>
      <c r="X394" s="84">
        <f>MAX(S391-S394,0)</f>
        <v/>
      </c>
      <c r="Y394" s="83" t="n">
        <v>0</v>
      </c>
      <c r="AA394" s="84" t="n">
        <v>1</v>
      </c>
      <c r="AB394" s="84" t="inlineStr">
        <is>
          <t>F</t>
        </is>
      </c>
      <c r="AC394" s="84" t="inlineStr">
        <is>
          <t>F+</t>
        </is>
      </c>
      <c r="AD394" s="84" t="n">
        <v>14</v>
      </c>
      <c r="AE394" s="84" t="n">
        <v>13</v>
      </c>
      <c r="AF394" s="84" t="n">
        <v>0.8</v>
      </c>
      <c r="AG394" s="84" t="n">
        <v>0.9</v>
      </c>
      <c r="AH394" s="84" t="n">
        <v>0</v>
      </c>
      <c r="AI394" s="84" t="n">
        <v>0</v>
      </c>
      <c r="AJ394" s="84">
        <f>SUMIFS(AH$8:AH$1039,$O$8:$O$1039,O394,$AB$8:$AB$1039,AB394,$R$8:$R$1039,R394,$AA$8:$AA$1039,"&lt;="&amp;AA394)</f>
        <v/>
      </c>
      <c r="AK394" s="84">
        <f>E37</f>
        <v/>
      </c>
      <c r="AL394" s="84">
        <f>E43</f>
        <v/>
      </c>
      <c r="AM394" s="84">
        <f>MAX(0,AJ394-AK394)</f>
        <v/>
      </c>
      <c r="AN394" s="84">
        <f>IF(AM394=0,AH394,IF(AM394&gt;=AH394,0,AH394-AM394))</f>
        <v/>
      </c>
      <c r="AO394" s="84">
        <f>IF(AM394&gt;=AH394,AI394,AI394*AM394/AH394)</f>
        <v/>
      </c>
      <c r="AP394">
        <f t="array" ref="AP394">INDEX($AU$8:$BB$25,6*(R394-1)+MATCH(AB394,$AS$8:$AS$13,0),MATCH(O394,$AU$7:$BB$7,0))</f>
        <v/>
      </c>
    </row>
    <row r="395" ht="14.25" customHeight="1">
      <c r="O395" s="43" t="inlineStr">
        <is>
          <t>Q4’26</t>
        </is>
      </c>
      <c r="P395" s="43" t="n">
        <v>1</v>
      </c>
      <c r="Q395" s="43" t="n">
        <v>1</v>
      </c>
      <c r="R395" s="43" t="n">
        <v>1</v>
      </c>
      <c r="S395" s="45" t="n">
        <v>3348.8</v>
      </c>
      <c r="T395">
        <f>(S395+S396+S397)=Q2</f>
        <v/>
      </c>
      <c r="X395" s="84" t="n">
        <v>0</v>
      </c>
      <c r="Y395" s="83" t="n">
        <v>0</v>
      </c>
      <c r="AA395" s="84" t="n">
        <v>4</v>
      </c>
      <c r="AB395" s="84" t="inlineStr">
        <is>
          <t>D</t>
        </is>
      </c>
      <c r="AC395" s="84" t="inlineStr">
        <is>
          <t>D+</t>
        </is>
      </c>
      <c r="AD395" s="84" t="n">
        <v>14</v>
      </c>
      <c r="AE395" s="84" t="n">
        <v>12</v>
      </c>
      <c r="AF395" s="84" t="n">
        <v>0.8</v>
      </c>
      <c r="AG395" s="84" t="n">
        <v>0.88</v>
      </c>
      <c r="AH395" s="84" t="n">
        <v>0</v>
      </c>
      <c r="AI395" s="84" t="n">
        <v>0</v>
      </c>
      <c r="AJ395" s="84">
        <f>SUMIFS(AH$8:AH$1039,$O$8:$O$1039,O395,$AB$8:$AB$1039,AB395,$R$8:$R$1039,R395,$AA$8:$AA$1039,"&lt;="&amp;AA395)</f>
        <v/>
      </c>
      <c r="AK395" s="84">
        <f>C47</f>
        <v/>
      </c>
      <c r="AL395" s="84">
        <f>C53</f>
        <v/>
      </c>
      <c r="AM395" s="84">
        <f>MAX(0,AJ395-AK395)</f>
        <v/>
      </c>
      <c r="AN395" s="84">
        <f>IF(AM395=0,AH395,IF(AM395&gt;=AH395,0,AH395-AM395))</f>
        <v/>
      </c>
      <c r="AO395" s="84">
        <f>IF(AM395&gt;=AH395,AI395,AI395*AM395/AH395)</f>
        <v/>
      </c>
      <c r="AP395">
        <f t="array" ref="AP395">INDEX($AU$8:$BB$25,6*(R395-1)+MATCH(AB395,$AS$8:$AS$13,0),MATCH(O395,$AU$7:$BB$7,0))</f>
        <v/>
      </c>
    </row>
    <row r="396" ht="14.25" customHeight="1">
      <c r="O396" s="43" t="inlineStr">
        <is>
          <t>Q4’26</t>
        </is>
      </c>
      <c r="P396" s="43" t="n">
        <v>1</v>
      </c>
      <c r="Q396" s="43" t="n">
        <v>1</v>
      </c>
      <c r="R396" s="43" t="n">
        <v>2</v>
      </c>
      <c r="S396" s="45" t="n">
        <v>3140.799999999997</v>
      </c>
      <c r="T396">
        <f>(S395+S396+S397)=Q2</f>
        <v/>
      </c>
      <c r="X396" s="84" t="n">
        <v>0</v>
      </c>
      <c r="Y396" s="83" t="n">
        <v>0</v>
      </c>
      <c r="AA396" s="84" t="n">
        <v>4</v>
      </c>
      <c r="AB396" s="84" t="inlineStr">
        <is>
          <t>D</t>
        </is>
      </c>
      <c r="AC396" s="84" t="inlineStr">
        <is>
          <t>D+</t>
        </is>
      </c>
      <c r="AD396" s="84" t="n">
        <v>14</v>
      </c>
      <c r="AE396" s="84" t="n">
        <v>12</v>
      </c>
      <c r="AF396" s="84" t="n">
        <v>0.8</v>
      </c>
      <c r="AG396" s="84" t="n">
        <v>0.88</v>
      </c>
      <c r="AH396" s="84" t="n">
        <v>0</v>
      </c>
      <c r="AI396" s="84" t="n">
        <v>0</v>
      </c>
      <c r="AJ396" s="84">
        <f>SUMIFS(AH$8:AH$1039,$O$8:$O$1039,O396,$AB$8:$AB$1039,AB396,$R$8:$R$1039,R396,$AA$8:$AA$1039,"&lt;="&amp;AA396)</f>
        <v/>
      </c>
      <c r="AK396" s="84">
        <f>D47</f>
        <v/>
      </c>
      <c r="AL396" s="84">
        <f>D53</f>
        <v/>
      </c>
      <c r="AM396" s="84">
        <f>MAX(0,AJ396-AK396)</f>
        <v/>
      </c>
      <c r="AN396" s="84">
        <f>IF(AM396=0,AH396,IF(AM396&gt;=AH396,0,AH396-AM396))</f>
        <v/>
      </c>
      <c r="AO396" s="84">
        <f>IF(AM396&gt;=AH396,AI396,AI396*AM396/AH396)</f>
        <v/>
      </c>
      <c r="AP396">
        <f t="array" ref="AP396">INDEX($AU$8:$BB$25,6*(R396-1)+MATCH(AB396,$AS$8:$AS$13,0),MATCH(O396,$AU$7:$BB$7,0))</f>
        <v/>
      </c>
    </row>
    <row r="397" ht="14.25" customHeight="1">
      <c r="O397" s="43" t="inlineStr">
        <is>
          <t>Q4’26</t>
        </is>
      </c>
      <c r="P397" s="43" t="n">
        <v>1</v>
      </c>
      <c r="Q397" s="43" t="n">
        <v>1</v>
      </c>
      <c r="R397" s="43" t="n">
        <v>3</v>
      </c>
      <c r="S397" s="45" t="n">
        <v>1010.400000000003</v>
      </c>
      <c r="T397">
        <f>(S395+S396+S397)=Q2</f>
        <v/>
      </c>
      <c r="X397" s="84" t="n">
        <v>0</v>
      </c>
      <c r="Y397" s="83" t="n">
        <v>0</v>
      </c>
      <c r="AA397" s="84" t="n">
        <v>4</v>
      </c>
      <c r="AB397" s="84" t="inlineStr">
        <is>
          <t>D</t>
        </is>
      </c>
      <c r="AC397" s="84" t="inlineStr">
        <is>
          <t>D+</t>
        </is>
      </c>
      <c r="AD397" s="84" t="n">
        <v>14</v>
      </c>
      <c r="AE397" s="84" t="n">
        <v>12</v>
      </c>
      <c r="AF397" s="84" t="n">
        <v>0.8</v>
      </c>
      <c r="AG397" s="84" t="n">
        <v>0.88</v>
      </c>
      <c r="AH397" s="84" t="n">
        <v>0</v>
      </c>
      <c r="AI397" s="84" t="n">
        <v>0</v>
      </c>
      <c r="AJ397" s="84">
        <f>SUMIFS(AH$8:AH$1039,$O$8:$O$1039,O397,$AB$8:$AB$1039,AB397,$R$8:$R$1039,R397,$AA$8:$AA$1039,"&lt;="&amp;AA397)</f>
        <v/>
      </c>
      <c r="AK397" s="84">
        <f>E47</f>
        <v/>
      </c>
      <c r="AL397" s="84">
        <f>E53</f>
        <v/>
      </c>
      <c r="AM397" s="84">
        <f>MAX(0,AJ397-AK397)</f>
        <v/>
      </c>
      <c r="AN397" s="84">
        <f>IF(AM397=0,AH397,IF(AM397&gt;=AH397,0,AH397-AM397))</f>
        <v/>
      </c>
      <c r="AO397" s="84">
        <f>IF(AM397&gt;=AH397,AI397,AI397*AM397/AH397)</f>
        <v/>
      </c>
      <c r="AP397">
        <f t="array" ref="AP397">INDEX($AU$8:$BB$25,6*(R397-1)+MATCH(AB397,$AS$8:$AS$13,0),MATCH(O397,$AU$7:$BB$7,0))</f>
        <v/>
      </c>
    </row>
    <row r="398" ht="14.25" customHeight="1">
      <c r="O398" s="43" t="inlineStr">
        <is>
          <t>Q4’26</t>
        </is>
      </c>
      <c r="P398" s="43" t="n">
        <v>1</v>
      </c>
      <c r="Q398" s="43" t="n">
        <v>2</v>
      </c>
      <c r="R398" s="43" t="n">
        <v>1</v>
      </c>
      <c r="S398" s="45" t="n">
        <v>3348.800000000001</v>
      </c>
      <c r="T398">
        <f>(S398+S399+S400)=Q2</f>
        <v/>
      </c>
      <c r="X398" s="84">
        <f>MAX(S395-S398,0)</f>
        <v/>
      </c>
      <c r="Y398" s="83" t="n">
        <v>0</v>
      </c>
      <c r="AA398" s="84" t="n">
        <v>10</v>
      </c>
      <c r="AB398" s="84" t="inlineStr">
        <is>
          <t>F</t>
        </is>
      </c>
      <c r="AC398" s="84" t="inlineStr">
        <is>
          <t>F+</t>
        </is>
      </c>
      <c r="AD398" s="84" t="n">
        <v>25</v>
      </c>
      <c r="AE398" s="84" t="n">
        <v>21</v>
      </c>
      <c r="AF398" s="84" t="n">
        <v>0.8</v>
      </c>
      <c r="AG398" s="84" t="n">
        <v>0.9</v>
      </c>
      <c r="AH398" s="84" t="n">
        <v>0</v>
      </c>
      <c r="AI398" s="84" t="n">
        <v>0</v>
      </c>
      <c r="AJ398" s="84">
        <f>SUMIFS(AH$8:AH$1039,$O$8:$O$1039,O398,$AB$8:$AB$1039,AB398,$R$8:$R$1039,R398,$AA$8:$AA$1039,"&lt;="&amp;AA398)</f>
        <v/>
      </c>
      <c r="AK398" s="84">
        <f>C49</f>
        <v/>
      </c>
      <c r="AL398" s="84">
        <f>C55</f>
        <v/>
      </c>
      <c r="AM398" s="84">
        <f>MAX(0,AJ398-AK398)</f>
        <v/>
      </c>
      <c r="AN398" s="84">
        <f>IF(AM398=0,AH398,IF(AM398&gt;=AH398,0,AH398-AM398))</f>
        <v/>
      </c>
      <c r="AO398" s="84">
        <f>IF(AM398&gt;=AH398,AI398,AI398*AM398/AH398)</f>
        <v/>
      </c>
      <c r="AP398">
        <f t="array" ref="AP398">INDEX($AU$8:$BB$25,6*(R398-1)+MATCH(AB398,$AS$8:$AS$13,0),MATCH(O398,$AU$7:$BB$7,0))</f>
        <v/>
      </c>
    </row>
    <row r="399" ht="14.25" customHeight="1">
      <c r="O399" s="43" t="inlineStr">
        <is>
          <t>Q4’26</t>
        </is>
      </c>
      <c r="P399" s="43" t="n">
        <v>1</v>
      </c>
      <c r="Q399" s="43" t="n">
        <v>2</v>
      </c>
      <c r="R399" s="43" t="n">
        <v>2</v>
      </c>
      <c r="S399" s="45" t="n">
        <v>3140.799999999997</v>
      </c>
      <c r="T399">
        <f>(S398+S399+S400)=Q2</f>
        <v/>
      </c>
      <c r="X399" s="84">
        <f>MAX(S396-S399,0)</f>
        <v/>
      </c>
      <c r="Y399" s="83" t="n">
        <v>0</v>
      </c>
      <c r="AA399" s="84" t="n">
        <v>10</v>
      </c>
      <c r="AB399" s="84" t="inlineStr">
        <is>
          <t>F</t>
        </is>
      </c>
      <c r="AC399" s="84" t="inlineStr">
        <is>
          <t>F+</t>
        </is>
      </c>
      <c r="AD399" s="84" t="n">
        <v>25</v>
      </c>
      <c r="AE399" s="84" t="n">
        <v>21</v>
      </c>
      <c r="AF399" s="84" t="n">
        <v>0.8</v>
      </c>
      <c r="AG399" s="84" t="n">
        <v>0.9</v>
      </c>
      <c r="AH399" s="84" t="n">
        <v>0</v>
      </c>
      <c r="AI399" s="84" t="n">
        <v>0</v>
      </c>
      <c r="AJ399" s="84">
        <f>SUMIFS(AH$8:AH$1039,$O$8:$O$1039,O399,$AB$8:$AB$1039,AB399,$R$8:$R$1039,R399,$AA$8:$AA$1039,"&lt;="&amp;AA399)</f>
        <v/>
      </c>
      <c r="AK399" s="84">
        <f>D49</f>
        <v/>
      </c>
      <c r="AL399" s="84">
        <f>D55</f>
        <v/>
      </c>
      <c r="AM399" s="84">
        <f>MAX(0,AJ399-AK399)</f>
        <v/>
      </c>
      <c r="AN399" s="84">
        <f>IF(AM399=0,AH399,IF(AM399&gt;=AH399,0,AH399-AM399))</f>
        <v/>
      </c>
      <c r="AO399" s="84">
        <f>IF(AM399&gt;=AH399,AI399,AI399*AM399/AH399)</f>
        <v/>
      </c>
      <c r="AP399">
        <f t="array" ref="AP399">INDEX($AU$8:$BB$25,6*(R399-1)+MATCH(AB399,$AS$8:$AS$13,0),MATCH(O399,$AU$7:$BB$7,0))</f>
        <v/>
      </c>
    </row>
    <row r="400" ht="14.25" customHeight="1">
      <c r="O400" s="43" t="inlineStr">
        <is>
          <t>Q4’26</t>
        </is>
      </c>
      <c r="P400" s="43" t="n">
        <v>1</v>
      </c>
      <c r="Q400" s="43" t="n">
        <v>2</v>
      </c>
      <c r="R400" s="43" t="n">
        <v>3</v>
      </c>
      <c r="S400" s="45" t="n">
        <v>1010.400000000001</v>
      </c>
      <c r="T400">
        <f>(S398+S399+S400)=Q2</f>
        <v/>
      </c>
      <c r="X400" s="84">
        <f>MAX(S397-S400,0)</f>
        <v/>
      </c>
      <c r="Y400" s="83" t="n">
        <v>0</v>
      </c>
      <c r="AA400" s="84" t="n">
        <v>10</v>
      </c>
      <c r="AB400" s="84" t="inlineStr">
        <is>
          <t>F</t>
        </is>
      </c>
      <c r="AC400" s="84" t="inlineStr">
        <is>
          <t>F+</t>
        </is>
      </c>
      <c r="AD400" s="84" t="n">
        <v>25</v>
      </c>
      <c r="AE400" s="84" t="n">
        <v>21</v>
      </c>
      <c r="AF400" s="84" t="n">
        <v>0.8</v>
      </c>
      <c r="AG400" s="84" t="n">
        <v>0.9</v>
      </c>
      <c r="AH400" s="84" t="n">
        <v>0</v>
      </c>
      <c r="AI400" s="84" t="n">
        <v>0</v>
      </c>
      <c r="AJ400" s="84">
        <f>SUMIFS(AH$8:AH$1039,$O$8:$O$1039,O400,$AB$8:$AB$1039,AB400,$R$8:$R$1039,R400,$AA$8:$AA$1039,"&lt;="&amp;AA400)</f>
        <v/>
      </c>
      <c r="AK400" s="84">
        <f>E49</f>
        <v/>
      </c>
      <c r="AL400" s="84">
        <f>E55</f>
        <v/>
      </c>
      <c r="AM400" s="84">
        <f>MAX(0,AJ400-AK400)</f>
        <v/>
      </c>
      <c r="AN400" s="84">
        <f>IF(AM400=0,AH400,IF(AM400&gt;=AH400,0,AH400-AM400))</f>
        <v/>
      </c>
      <c r="AO400" s="84">
        <f>IF(AM400&gt;=AH400,AI400,AI400*AM400/AH400)</f>
        <v/>
      </c>
      <c r="AP400">
        <f t="array" ref="AP400">INDEX($AU$8:$BB$25,6*(R400-1)+MATCH(AB400,$AS$8:$AS$13,0),MATCH(O400,$AU$7:$BB$7,0))</f>
        <v/>
      </c>
    </row>
    <row r="401" ht="14.25" customHeight="1">
      <c r="O401" s="43" t="inlineStr">
        <is>
          <t>Q4’26</t>
        </is>
      </c>
      <c r="P401" s="43" t="n">
        <v>1</v>
      </c>
      <c r="Q401" s="43" t="n">
        <v>3</v>
      </c>
      <c r="R401" s="43" t="n">
        <v>1</v>
      </c>
      <c r="S401" s="45" t="n">
        <v>3348.800000000001</v>
      </c>
      <c r="T401">
        <f>(S401+S402+S403)=Q2</f>
        <v/>
      </c>
      <c r="X401" s="84">
        <f>MAX(S398-S401,0)</f>
        <v/>
      </c>
      <c r="Y401" s="83" t="n">
        <v>0</v>
      </c>
      <c r="AA401" s="84" t="n">
        <v>8</v>
      </c>
      <c r="AB401" s="84" t="inlineStr">
        <is>
          <t>F</t>
        </is>
      </c>
      <c r="AC401" s="84" t="inlineStr">
        <is>
          <t>F+</t>
        </is>
      </c>
      <c r="AD401" s="84" t="n">
        <v>27</v>
      </c>
      <c r="AE401" s="84" t="n">
        <v>23</v>
      </c>
      <c r="AF401" s="84" t="n">
        <v>0.8</v>
      </c>
      <c r="AG401" s="84" t="n">
        <v>0.9</v>
      </c>
      <c r="AH401" s="84" t="n">
        <v>0</v>
      </c>
      <c r="AI401" s="84" t="n">
        <v>0</v>
      </c>
      <c r="AJ401" s="84">
        <f>SUMIFS(AH$8:AH$1039,$O$8:$O$1039,O401,$AB$8:$AB$1039,AB401,$R$8:$R$1039,R401,$AA$8:$AA$1039,"&lt;="&amp;AA401)</f>
        <v/>
      </c>
      <c r="AK401" s="84">
        <f>C49</f>
        <v/>
      </c>
      <c r="AL401" s="84">
        <f>C55</f>
        <v/>
      </c>
      <c r="AM401" s="84">
        <f>MAX(0,AJ401-AK401)</f>
        <v/>
      </c>
      <c r="AN401" s="84">
        <f>IF(AM401=0,AH401,IF(AM401&gt;=AH401,0,AH401-AM401))</f>
        <v/>
      </c>
      <c r="AO401" s="84">
        <f>IF(AM401&gt;=AH401,AI401,AI401*AM401/AH401)</f>
        <v/>
      </c>
      <c r="AP401">
        <f t="array" ref="AP401">INDEX($AU$8:$BB$25,6*(R401-1)+MATCH(AB401,$AS$8:$AS$13,0),MATCH(O401,$AU$7:$BB$7,0))</f>
        <v/>
      </c>
    </row>
    <row r="402" ht="14.25" customHeight="1">
      <c r="O402" s="43" t="inlineStr">
        <is>
          <t>Q4’26</t>
        </is>
      </c>
      <c r="P402" s="43" t="n">
        <v>1</v>
      </c>
      <c r="Q402" s="43" t="n">
        <v>3</v>
      </c>
      <c r="R402" s="43" t="n">
        <v>2</v>
      </c>
      <c r="S402" s="45" t="n">
        <v>3140.799999999997</v>
      </c>
      <c r="T402">
        <f>(S401+S402+S403)=Q2</f>
        <v/>
      </c>
      <c r="X402" s="84">
        <f>MAX(S399-S402,0)</f>
        <v/>
      </c>
      <c r="Y402" s="83" t="n">
        <v>0</v>
      </c>
      <c r="AA402" s="84" t="n">
        <v>8</v>
      </c>
      <c r="AB402" s="84" t="inlineStr">
        <is>
          <t>F</t>
        </is>
      </c>
      <c r="AC402" s="84" t="inlineStr">
        <is>
          <t>F+</t>
        </is>
      </c>
      <c r="AD402" s="84" t="n">
        <v>27</v>
      </c>
      <c r="AE402" s="84" t="n">
        <v>23</v>
      </c>
      <c r="AF402" s="84" t="n">
        <v>0.8</v>
      </c>
      <c r="AG402" s="84" t="n">
        <v>0.9</v>
      </c>
      <c r="AH402" s="84" t="n">
        <v>0</v>
      </c>
      <c r="AI402" s="84" t="n">
        <v>0</v>
      </c>
      <c r="AJ402" s="84">
        <f>SUMIFS(AH$8:AH$1039,$O$8:$O$1039,O402,$AB$8:$AB$1039,AB402,$R$8:$R$1039,R402,$AA$8:$AA$1039,"&lt;="&amp;AA402)</f>
        <v/>
      </c>
      <c r="AK402" s="84">
        <f>D49</f>
        <v/>
      </c>
      <c r="AL402" s="84">
        <f>D55</f>
        <v/>
      </c>
      <c r="AM402" s="84">
        <f>MAX(0,AJ402-AK402)</f>
        <v/>
      </c>
      <c r="AN402" s="84">
        <f>IF(AM402=0,AH402,IF(AM402&gt;=AH402,0,AH402-AM402))</f>
        <v/>
      </c>
      <c r="AO402" s="84">
        <f>IF(AM402&gt;=AH402,AI402,AI402*AM402/AH402)</f>
        <v/>
      </c>
      <c r="AP402">
        <f t="array" ref="AP402">INDEX($AU$8:$BB$25,6*(R402-1)+MATCH(AB402,$AS$8:$AS$13,0),MATCH(O402,$AU$7:$BB$7,0))</f>
        <v/>
      </c>
    </row>
    <row r="403" ht="14.25" customHeight="1">
      <c r="O403" s="43" t="inlineStr">
        <is>
          <t>Q4’26</t>
        </is>
      </c>
      <c r="P403" s="43" t="n">
        <v>1</v>
      </c>
      <c r="Q403" s="43" t="n">
        <v>3</v>
      </c>
      <c r="R403" s="43" t="n">
        <v>3</v>
      </c>
      <c r="S403" s="45" t="n">
        <v>1010.400000000001</v>
      </c>
      <c r="T403">
        <f>(S401+S402+S403)=Q2</f>
        <v/>
      </c>
      <c r="X403" s="84">
        <f>MAX(S400-S403,0)</f>
        <v/>
      </c>
      <c r="Y403" s="83" t="n">
        <v>0</v>
      </c>
      <c r="AA403" s="84" t="n">
        <v>8</v>
      </c>
      <c r="AB403" s="84" t="inlineStr">
        <is>
          <t>F</t>
        </is>
      </c>
      <c r="AC403" s="84" t="inlineStr">
        <is>
          <t>F+</t>
        </is>
      </c>
      <c r="AD403" s="84" t="n">
        <v>27</v>
      </c>
      <c r="AE403" s="84" t="n">
        <v>23</v>
      </c>
      <c r="AF403" s="84" t="n">
        <v>0.8</v>
      </c>
      <c r="AG403" s="84" t="n">
        <v>0.9</v>
      </c>
      <c r="AH403" s="84" t="n">
        <v>0</v>
      </c>
      <c r="AI403" s="84" t="n">
        <v>0</v>
      </c>
      <c r="AJ403" s="84">
        <f>SUMIFS(AH$8:AH$1039,$O$8:$O$1039,O403,$AB$8:$AB$1039,AB403,$R$8:$R$1039,R403,$AA$8:$AA$1039,"&lt;="&amp;AA403)</f>
        <v/>
      </c>
      <c r="AK403" s="84">
        <f>E49</f>
        <v/>
      </c>
      <c r="AL403" s="84">
        <f>E55</f>
        <v/>
      </c>
      <c r="AM403" s="84">
        <f>MAX(0,AJ403-AK403)</f>
        <v/>
      </c>
      <c r="AN403" s="84">
        <f>IF(AM403=0,AH403,IF(AM403&gt;=AH403,0,AH403-AM403))</f>
        <v/>
      </c>
      <c r="AO403" s="84">
        <f>IF(AM403&gt;=AH403,AI403,AI403*AM403/AH403)</f>
        <v/>
      </c>
      <c r="AP403">
        <f t="array" ref="AP403">INDEX($AU$8:$BB$25,6*(R403-1)+MATCH(AB403,$AS$8:$AS$13,0),MATCH(O403,$AU$7:$BB$7,0))</f>
        <v/>
      </c>
    </row>
    <row r="404" ht="14.25" customHeight="1">
      <c r="O404" s="43" t="inlineStr">
        <is>
          <t>Q4’26</t>
        </is>
      </c>
      <c r="P404" s="43" t="n">
        <v>1</v>
      </c>
      <c r="Q404" s="43" t="n">
        <v>4</v>
      </c>
      <c r="R404" s="43" t="n">
        <v>1</v>
      </c>
      <c r="S404" s="45" t="n">
        <v>3348.800000000001</v>
      </c>
      <c r="T404">
        <f>(S404+S405+S406)=Q2</f>
        <v/>
      </c>
      <c r="X404" s="84">
        <f>MAX(S401-S404,0)</f>
        <v/>
      </c>
      <c r="Y404" s="83" t="n">
        <v>0</v>
      </c>
      <c r="AA404" s="84" t="n">
        <v>3</v>
      </c>
      <c r="AB404" s="84" t="inlineStr">
        <is>
          <t>A</t>
        </is>
      </c>
      <c r="AC404" s="84" t="inlineStr">
        <is>
          <t>A+</t>
        </is>
      </c>
      <c r="AD404" s="84" t="n">
        <v>20</v>
      </c>
      <c r="AE404" s="84" t="n">
        <v>16</v>
      </c>
      <c r="AF404" s="84" t="n">
        <v>0.78</v>
      </c>
      <c r="AG404" s="84" t="n">
        <v>0.84</v>
      </c>
      <c r="AH404" s="84" t="n">
        <v>0</v>
      </c>
      <c r="AI404" s="84" t="n">
        <v>0</v>
      </c>
      <c r="AJ404" s="84">
        <f>SUMIFS(AH$8:AH$1039,$O$8:$O$1039,O404,$AB$8:$AB$1039,AB404,$R$8:$R$1039,R404,$AA$8:$AA$1039,"&lt;="&amp;AA404)</f>
        <v/>
      </c>
      <c r="AK404" s="84">
        <f>C44</f>
        <v/>
      </c>
      <c r="AL404" s="84">
        <f>C50</f>
        <v/>
      </c>
      <c r="AM404" s="84">
        <f>MAX(0,AJ404-AK404)</f>
        <v/>
      </c>
      <c r="AN404" s="84">
        <f>IF(AM404=0,AH404,IF(AM404&gt;=AH404,0,AH404-AM404))</f>
        <v/>
      </c>
      <c r="AO404" s="84">
        <f>IF(AM404&gt;=AH404,AI404,AI404*AM404/AH404)</f>
        <v/>
      </c>
      <c r="AP404">
        <f t="array" ref="AP404">INDEX($AU$8:$BB$25,6*(R404-1)+MATCH(AB404,$AS$8:$AS$13,0),MATCH(O404,$AU$7:$BB$7,0))</f>
        <v/>
      </c>
    </row>
    <row r="405" ht="14.25" customHeight="1">
      <c r="O405" s="43" t="inlineStr">
        <is>
          <t>Q4’26</t>
        </is>
      </c>
      <c r="P405" s="43" t="n">
        <v>1</v>
      </c>
      <c r="Q405" s="43" t="n">
        <v>4</v>
      </c>
      <c r="R405" s="43" t="n">
        <v>2</v>
      </c>
      <c r="S405" s="45" t="n">
        <v>3140.799999999995</v>
      </c>
      <c r="T405">
        <f>(S404+S405+S406)=Q2</f>
        <v/>
      </c>
      <c r="X405" s="84">
        <f>MAX(S402-S405,0)</f>
        <v/>
      </c>
      <c r="Y405" s="83" t="n">
        <v>0</v>
      </c>
      <c r="AA405" s="84" t="n">
        <v>3</v>
      </c>
      <c r="AB405" s="84" t="inlineStr">
        <is>
          <t>A</t>
        </is>
      </c>
      <c r="AC405" s="84" t="inlineStr">
        <is>
          <t>A+</t>
        </is>
      </c>
      <c r="AD405" s="84" t="n">
        <v>20</v>
      </c>
      <c r="AE405" s="84" t="n">
        <v>16</v>
      </c>
      <c r="AF405" s="84" t="n">
        <v>0.78</v>
      </c>
      <c r="AG405" s="84" t="n">
        <v>0.84</v>
      </c>
      <c r="AH405" s="84" t="n">
        <v>0</v>
      </c>
      <c r="AI405" s="84" t="n">
        <v>0</v>
      </c>
      <c r="AJ405" s="84">
        <f>SUMIFS(AH$8:AH$1039,$O$8:$O$1039,O405,$AB$8:$AB$1039,AB405,$R$8:$R$1039,R405,$AA$8:$AA$1039,"&lt;="&amp;AA405)</f>
        <v/>
      </c>
      <c r="AK405" s="84">
        <f>D44</f>
        <v/>
      </c>
      <c r="AL405" s="84">
        <f>D50</f>
        <v/>
      </c>
      <c r="AM405" s="84">
        <f>MAX(0,AJ405-AK405)</f>
        <v/>
      </c>
      <c r="AN405" s="84">
        <f>IF(AM405=0,AH405,IF(AM405&gt;=AH405,0,AH405-AM405))</f>
        <v/>
      </c>
      <c r="AO405" s="84">
        <f>IF(AM405&gt;=AH405,AI405,AI405*AM405/AH405)</f>
        <v/>
      </c>
      <c r="AP405">
        <f t="array" ref="AP405">INDEX($AU$8:$BB$25,6*(R405-1)+MATCH(AB405,$AS$8:$AS$13,0),MATCH(O405,$AU$7:$BB$7,0))</f>
        <v/>
      </c>
    </row>
    <row r="406" ht="14.25" customHeight="1">
      <c r="O406" s="43" t="inlineStr">
        <is>
          <t>Q4’26</t>
        </is>
      </c>
      <c r="P406" s="43" t="n">
        <v>1</v>
      </c>
      <c r="Q406" s="43" t="n">
        <v>4</v>
      </c>
      <c r="R406" s="43" t="n">
        <v>3</v>
      </c>
      <c r="S406" s="45" t="n">
        <v>1010.400000000003</v>
      </c>
      <c r="T406">
        <f>(S404+S405+S406)=Q2</f>
        <v/>
      </c>
      <c r="X406" s="84">
        <f>MAX(S403-S406,0)</f>
        <v/>
      </c>
      <c r="Y406" s="83" t="n">
        <v>0</v>
      </c>
      <c r="AA406" s="84" t="n">
        <v>3</v>
      </c>
      <c r="AB406" s="84" t="inlineStr">
        <is>
          <t>A</t>
        </is>
      </c>
      <c r="AC406" s="84" t="inlineStr">
        <is>
          <t>A+</t>
        </is>
      </c>
      <c r="AD406" s="84" t="n">
        <v>20</v>
      </c>
      <c r="AE406" s="84" t="n">
        <v>16</v>
      </c>
      <c r="AF406" s="84" t="n">
        <v>0.78</v>
      </c>
      <c r="AG406" s="84" t="n">
        <v>0.84</v>
      </c>
      <c r="AH406" s="84" t="n">
        <v>0</v>
      </c>
      <c r="AI406" s="84" t="n">
        <v>0</v>
      </c>
      <c r="AJ406" s="84">
        <f>SUMIFS(AH$8:AH$1039,$O$8:$O$1039,O406,$AB$8:$AB$1039,AB406,$R$8:$R$1039,R406,$AA$8:$AA$1039,"&lt;="&amp;AA406)</f>
        <v/>
      </c>
      <c r="AK406" s="84">
        <f>E44</f>
        <v/>
      </c>
      <c r="AL406" s="84">
        <f>E50</f>
        <v/>
      </c>
      <c r="AM406" s="84">
        <f>MAX(0,AJ406-AK406)</f>
        <v/>
      </c>
      <c r="AN406" s="84">
        <f>IF(AM406=0,AH406,IF(AM406&gt;=AH406,0,AH406-AM406))</f>
        <v/>
      </c>
      <c r="AO406" s="84">
        <f>IF(AM406&gt;=AH406,AI406,AI406*AM406/AH406)</f>
        <v/>
      </c>
      <c r="AP406">
        <f t="array" ref="AP406">INDEX($AU$8:$BB$25,6*(R406-1)+MATCH(AB406,$AS$8:$AS$13,0),MATCH(O406,$AU$7:$BB$7,0))</f>
        <v/>
      </c>
    </row>
    <row r="407" ht="14.25" customHeight="1">
      <c r="O407" s="43" t="inlineStr">
        <is>
          <t>Q4’26</t>
        </is>
      </c>
      <c r="P407" s="43" t="n">
        <v>1</v>
      </c>
      <c r="Q407" s="43" t="n">
        <v>5</v>
      </c>
      <c r="R407" s="43" t="n">
        <v>1</v>
      </c>
      <c r="S407" s="45" t="n">
        <v>3348.800000000001</v>
      </c>
      <c r="T407">
        <f>(S407+S408+S409)=Q2</f>
        <v/>
      </c>
      <c r="X407" s="84">
        <f>MAX(S404-S407,0)</f>
        <v/>
      </c>
      <c r="Y407" s="83" t="n">
        <v>0</v>
      </c>
      <c r="AA407" s="84" t="n">
        <v>11</v>
      </c>
      <c r="AB407" s="84" t="inlineStr">
        <is>
          <t>F</t>
        </is>
      </c>
      <c r="AC407" s="84" t="inlineStr">
        <is>
          <t>F+</t>
        </is>
      </c>
      <c r="AD407" s="84" t="n">
        <v>12</v>
      </c>
      <c r="AE407" s="84" t="n">
        <v>9</v>
      </c>
      <c r="AF407" s="84" t="n">
        <v>0.8</v>
      </c>
      <c r="AG407" s="84" t="n">
        <v>0.9</v>
      </c>
      <c r="AH407" s="84" t="n">
        <v>0</v>
      </c>
      <c r="AI407" s="84" t="n">
        <v>0</v>
      </c>
      <c r="AJ407" s="84">
        <f>SUMIFS(AH$8:AH$1039,$O$8:$O$1039,O407,$AB$8:$AB$1039,AB407,$R$8:$R$1039,R407,$AA$8:$AA$1039,"&lt;="&amp;AA407)</f>
        <v/>
      </c>
      <c r="AK407" s="84">
        <f>C49</f>
        <v/>
      </c>
      <c r="AL407" s="84">
        <f>C55</f>
        <v/>
      </c>
      <c r="AM407" s="84">
        <f>MAX(0,AJ407-AK407)</f>
        <v/>
      </c>
      <c r="AN407" s="84">
        <f>IF(AM407=0,AH407,IF(AM407&gt;=AH407,0,AH407-AM407))</f>
        <v/>
      </c>
      <c r="AO407" s="84">
        <f>IF(AM407&gt;=AH407,AI407,AI407*AM407/AH407)</f>
        <v/>
      </c>
      <c r="AP407">
        <f t="array" ref="AP407">INDEX($AU$8:$BB$25,6*(R407-1)+MATCH(AB407,$AS$8:$AS$13,0),MATCH(O407,$AU$7:$BB$7,0))</f>
        <v/>
      </c>
    </row>
    <row r="408" ht="14.25" customHeight="1">
      <c r="O408" s="43" t="inlineStr">
        <is>
          <t>Q4’26</t>
        </is>
      </c>
      <c r="P408" s="43" t="n">
        <v>1</v>
      </c>
      <c r="Q408" s="43" t="n">
        <v>5</v>
      </c>
      <c r="R408" s="43" t="n">
        <v>2</v>
      </c>
      <c r="S408" s="45" t="n">
        <v>3140.799999999997</v>
      </c>
      <c r="T408">
        <f>(S407+S408+S409)=Q2</f>
        <v/>
      </c>
      <c r="X408" s="84">
        <f>MAX(S405-S408,0)</f>
        <v/>
      </c>
      <c r="Y408" s="83" t="n">
        <v>0</v>
      </c>
      <c r="AA408" s="84" t="n">
        <v>11</v>
      </c>
      <c r="AB408" s="84" t="inlineStr">
        <is>
          <t>F</t>
        </is>
      </c>
      <c r="AC408" s="84" t="inlineStr">
        <is>
          <t>F+</t>
        </is>
      </c>
      <c r="AD408" s="84" t="n">
        <v>12</v>
      </c>
      <c r="AE408" s="84" t="n">
        <v>9</v>
      </c>
      <c r="AF408" s="84" t="n">
        <v>0.8</v>
      </c>
      <c r="AG408" s="84" t="n">
        <v>0.9</v>
      </c>
      <c r="AH408" s="84" t="n">
        <v>0</v>
      </c>
      <c r="AI408" s="84" t="n">
        <v>0</v>
      </c>
      <c r="AJ408" s="84">
        <f>SUMIFS(AH$8:AH$1039,$O$8:$O$1039,O408,$AB$8:$AB$1039,AB408,$R$8:$R$1039,R408,$AA$8:$AA$1039,"&lt;="&amp;AA408)</f>
        <v/>
      </c>
      <c r="AK408" s="84">
        <f>D49</f>
        <v/>
      </c>
      <c r="AL408" s="84">
        <f>D55</f>
        <v/>
      </c>
      <c r="AM408" s="84">
        <f>MAX(0,AJ408-AK408)</f>
        <v/>
      </c>
      <c r="AN408" s="84">
        <f>IF(AM408=0,AH408,IF(AM408&gt;=AH408,0,AH408-AM408))</f>
        <v/>
      </c>
      <c r="AO408" s="84">
        <f>IF(AM408&gt;=AH408,AI408,AI408*AM408/AH408)</f>
        <v/>
      </c>
      <c r="AP408">
        <f t="array" ref="AP408">INDEX($AU$8:$BB$25,6*(R408-1)+MATCH(AB408,$AS$8:$AS$13,0),MATCH(O408,$AU$7:$BB$7,0))</f>
        <v/>
      </c>
    </row>
    <row r="409" ht="14.25" customHeight="1">
      <c r="O409" s="43" t="inlineStr">
        <is>
          <t>Q4’26</t>
        </is>
      </c>
      <c r="P409" s="43" t="n">
        <v>1</v>
      </c>
      <c r="Q409" s="43" t="n">
        <v>5</v>
      </c>
      <c r="R409" s="43" t="n">
        <v>3</v>
      </c>
      <c r="S409" s="45" t="n">
        <v>1010.400000000001</v>
      </c>
      <c r="T409">
        <f>(S407+S408+S409)=Q2</f>
        <v/>
      </c>
      <c r="X409" s="84">
        <f>MAX(S406-S409,0)</f>
        <v/>
      </c>
      <c r="Y409" s="83" t="n">
        <v>0</v>
      </c>
      <c r="AA409" s="84" t="n">
        <v>11</v>
      </c>
      <c r="AB409" s="84" t="inlineStr">
        <is>
          <t>F</t>
        </is>
      </c>
      <c r="AC409" s="84" t="inlineStr">
        <is>
          <t>F+</t>
        </is>
      </c>
      <c r="AD409" s="84" t="n">
        <v>12</v>
      </c>
      <c r="AE409" s="84" t="n">
        <v>9</v>
      </c>
      <c r="AF409" s="84" t="n">
        <v>0.8</v>
      </c>
      <c r="AG409" s="84" t="n">
        <v>0.9</v>
      </c>
      <c r="AH409" s="84" t="n">
        <v>0</v>
      </c>
      <c r="AI409" s="84" t="n">
        <v>0</v>
      </c>
      <c r="AJ409" s="84">
        <f>SUMIFS(AH$8:AH$1039,$O$8:$O$1039,O409,$AB$8:$AB$1039,AB409,$R$8:$R$1039,R409,$AA$8:$AA$1039,"&lt;="&amp;AA409)</f>
        <v/>
      </c>
      <c r="AK409" s="84">
        <f>E49</f>
        <v/>
      </c>
      <c r="AL409" s="84">
        <f>E55</f>
        <v/>
      </c>
      <c r="AM409" s="84">
        <f>MAX(0,AJ409-AK409)</f>
        <v/>
      </c>
      <c r="AN409" s="84">
        <f>IF(AM409=0,AH409,IF(AM409&gt;=AH409,0,AH409-AM409))</f>
        <v/>
      </c>
      <c r="AO409" s="84">
        <f>IF(AM409&gt;=AH409,AI409,AI409*AM409/AH409)</f>
        <v/>
      </c>
      <c r="AP409">
        <f t="array" ref="AP409">INDEX($AU$8:$BB$25,6*(R409-1)+MATCH(AB409,$AS$8:$AS$13,0),MATCH(O409,$AU$7:$BB$7,0))</f>
        <v/>
      </c>
    </row>
    <row r="410" ht="14.25" customHeight="1">
      <c r="O410" s="43" t="inlineStr">
        <is>
          <t>Q4’26</t>
        </is>
      </c>
      <c r="P410" s="43" t="n">
        <v>1</v>
      </c>
      <c r="Q410" s="43" t="n">
        <v>6</v>
      </c>
      <c r="R410" s="43" t="n">
        <v>1</v>
      </c>
      <c r="S410" s="45" t="n">
        <v>3348.800000000001</v>
      </c>
      <c r="T410">
        <f>(S410+S411+S412)=Q2</f>
        <v/>
      </c>
      <c r="X410" s="84">
        <f>MAX(S407-S410,0)</f>
        <v/>
      </c>
      <c r="Y410" s="83" t="n">
        <v>0</v>
      </c>
      <c r="AA410" s="84" t="n">
        <v>7</v>
      </c>
      <c r="AB410" s="84" t="inlineStr">
        <is>
          <t>D</t>
        </is>
      </c>
      <c r="AC410" s="84" t="inlineStr">
        <is>
          <t>D+</t>
        </is>
      </c>
      <c r="AD410" s="84" t="n">
        <v>27</v>
      </c>
      <c r="AE410" s="84" t="n">
        <v>21</v>
      </c>
      <c r="AF410" s="84" t="n">
        <v>0.8</v>
      </c>
      <c r="AG410" s="84" t="n">
        <v>0.88</v>
      </c>
      <c r="AH410" s="84" t="n">
        <v>0</v>
      </c>
      <c r="AI410" s="84" t="n">
        <v>0</v>
      </c>
      <c r="AJ410" s="84">
        <f>SUMIFS(AH$8:AH$1039,$O$8:$O$1039,O410,$AB$8:$AB$1039,AB410,$R$8:$R$1039,R410,$AA$8:$AA$1039,"&lt;="&amp;AA410)</f>
        <v/>
      </c>
      <c r="AK410" s="84">
        <f>C47</f>
        <v/>
      </c>
      <c r="AL410" s="84">
        <f>C53</f>
        <v/>
      </c>
      <c r="AM410" s="84">
        <f>MAX(0,AJ410-AK410)</f>
        <v/>
      </c>
      <c r="AN410" s="84">
        <f>IF(AM410=0,AH410,IF(AM410&gt;=AH410,0,AH410-AM410))</f>
        <v/>
      </c>
      <c r="AO410" s="84">
        <f>IF(AM410&gt;=AH410,AI410,AI410*AM410/AH410)</f>
        <v/>
      </c>
      <c r="AP410">
        <f t="array" ref="AP410">INDEX($AU$8:$BB$25,6*(R410-1)+MATCH(AB410,$AS$8:$AS$13,0),MATCH(O410,$AU$7:$BB$7,0))</f>
        <v/>
      </c>
    </row>
    <row r="411" ht="14.25" customHeight="1">
      <c r="O411" s="43" t="inlineStr">
        <is>
          <t>Q4’26</t>
        </is>
      </c>
      <c r="P411" s="43" t="n">
        <v>1</v>
      </c>
      <c r="Q411" s="43" t="n">
        <v>6</v>
      </c>
      <c r="R411" s="43" t="n">
        <v>2</v>
      </c>
      <c r="S411" s="45" t="n">
        <v>3140.799999999997</v>
      </c>
      <c r="T411">
        <f>(S410+S411+S412)=Q2</f>
        <v/>
      </c>
      <c r="X411" s="84">
        <f>MAX(S408-S411,0)</f>
        <v/>
      </c>
      <c r="Y411" s="83" t="n">
        <v>0</v>
      </c>
      <c r="AA411" s="84" t="n">
        <v>7</v>
      </c>
      <c r="AB411" s="84" t="inlineStr">
        <is>
          <t>D</t>
        </is>
      </c>
      <c r="AC411" s="84" t="inlineStr">
        <is>
          <t>D+</t>
        </is>
      </c>
      <c r="AD411" s="84" t="n">
        <v>27</v>
      </c>
      <c r="AE411" s="84" t="n">
        <v>21</v>
      </c>
      <c r="AF411" s="84" t="n">
        <v>0.8</v>
      </c>
      <c r="AG411" s="84" t="n">
        <v>0.88</v>
      </c>
      <c r="AH411" s="84" t="n">
        <v>0</v>
      </c>
      <c r="AI411" s="84" t="n">
        <v>0</v>
      </c>
      <c r="AJ411" s="84">
        <f>SUMIFS(AH$8:AH$1039,$O$8:$O$1039,O411,$AB$8:$AB$1039,AB411,$R$8:$R$1039,R411,$AA$8:$AA$1039,"&lt;="&amp;AA411)</f>
        <v/>
      </c>
      <c r="AK411" s="84">
        <f>D47</f>
        <v/>
      </c>
      <c r="AL411" s="84">
        <f>D53</f>
        <v/>
      </c>
      <c r="AM411" s="84">
        <f>MAX(0,AJ411-AK411)</f>
        <v/>
      </c>
      <c r="AN411" s="84">
        <f>IF(AM411=0,AH411,IF(AM411&gt;=AH411,0,AH411-AM411))</f>
        <v/>
      </c>
      <c r="AO411" s="84">
        <f>IF(AM411&gt;=AH411,AI411,AI411*AM411/AH411)</f>
        <v/>
      </c>
      <c r="AP411">
        <f t="array" ref="AP411">INDEX($AU$8:$BB$25,6*(R411-1)+MATCH(AB411,$AS$8:$AS$13,0),MATCH(O411,$AU$7:$BB$7,0))</f>
        <v/>
      </c>
    </row>
    <row r="412" ht="14.25" customHeight="1">
      <c r="O412" s="43" t="inlineStr">
        <is>
          <t>Q4’26</t>
        </is>
      </c>
      <c r="P412" s="43" t="n">
        <v>1</v>
      </c>
      <c r="Q412" s="43" t="n">
        <v>6</v>
      </c>
      <c r="R412" s="43" t="n">
        <v>3</v>
      </c>
      <c r="S412" s="45" t="n">
        <v>1010.400000000001</v>
      </c>
      <c r="T412">
        <f>(S410+S411+S412)=Q2</f>
        <v/>
      </c>
      <c r="X412" s="84">
        <f>MAX(S409-S412,0)</f>
        <v/>
      </c>
      <c r="Y412" s="83" t="n">
        <v>0</v>
      </c>
      <c r="AA412" s="84" t="n">
        <v>7</v>
      </c>
      <c r="AB412" s="84" t="inlineStr">
        <is>
          <t>D</t>
        </is>
      </c>
      <c r="AC412" s="84" t="inlineStr">
        <is>
          <t>D+</t>
        </is>
      </c>
      <c r="AD412" s="84" t="n">
        <v>27</v>
      </c>
      <c r="AE412" s="84" t="n">
        <v>21</v>
      </c>
      <c r="AF412" s="84" t="n">
        <v>0.8</v>
      </c>
      <c r="AG412" s="84" t="n">
        <v>0.88</v>
      </c>
      <c r="AH412" s="84" t="n">
        <v>0</v>
      </c>
      <c r="AI412" s="84" t="n">
        <v>0</v>
      </c>
      <c r="AJ412" s="84">
        <f>SUMIFS(AH$8:AH$1039,$O$8:$O$1039,O412,$AB$8:$AB$1039,AB412,$R$8:$R$1039,R412,$AA$8:$AA$1039,"&lt;="&amp;AA412)</f>
        <v/>
      </c>
      <c r="AK412" s="84">
        <f>E47</f>
        <v/>
      </c>
      <c r="AL412" s="84">
        <f>E53</f>
        <v/>
      </c>
      <c r="AM412" s="84">
        <f>MAX(0,AJ412-AK412)</f>
        <v/>
      </c>
      <c r="AN412" s="84">
        <f>IF(AM412=0,AH412,IF(AM412&gt;=AH412,0,AH412-AM412))</f>
        <v/>
      </c>
      <c r="AO412" s="84">
        <f>IF(AM412&gt;=AH412,AI412,AI412*AM412/AH412)</f>
        <v/>
      </c>
      <c r="AP412">
        <f t="array" ref="AP412">INDEX($AU$8:$BB$25,6*(R412-1)+MATCH(AB412,$AS$8:$AS$13,0),MATCH(O412,$AU$7:$BB$7,0))</f>
        <v/>
      </c>
    </row>
    <row r="413" ht="14.25" customHeight="1">
      <c r="O413" s="43" t="inlineStr">
        <is>
          <t>Q4’26</t>
        </is>
      </c>
      <c r="P413" s="43" t="n">
        <v>1</v>
      </c>
      <c r="Q413" s="43" t="n">
        <v>7</v>
      </c>
      <c r="R413" s="43" t="n">
        <v>1</v>
      </c>
      <c r="S413" s="45" t="n">
        <v>3348.800000000002</v>
      </c>
      <c r="T413">
        <f>(S413+S414+S415)=Q2</f>
        <v/>
      </c>
      <c r="X413" s="84">
        <f>MAX(S410-S413,0)</f>
        <v/>
      </c>
      <c r="Y413" s="83" t="n">
        <v>0</v>
      </c>
      <c r="AA413" s="84" t="n">
        <v>9</v>
      </c>
      <c r="AB413" s="84" t="inlineStr">
        <is>
          <t>D</t>
        </is>
      </c>
      <c r="AC413" s="84" t="inlineStr">
        <is>
          <t>D+</t>
        </is>
      </c>
      <c r="AD413" s="84" t="n">
        <v>17</v>
      </c>
      <c r="AE413" s="84" t="n">
        <v>13</v>
      </c>
      <c r="AF413" s="84" t="n">
        <v>0.8</v>
      </c>
      <c r="AG413" s="84" t="n">
        <v>0.88</v>
      </c>
      <c r="AH413" s="84" t="n">
        <v>0</v>
      </c>
      <c r="AI413" s="84" t="n">
        <v>0</v>
      </c>
      <c r="AJ413" s="84">
        <f>SUMIFS(AH$8:AH$1039,$O$8:$O$1039,O413,$AB$8:$AB$1039,AB413,$R$8:$R$1039,R413,$AA$8:$AA$1039,"&lt;="&amp;AA413)</f>
        <v/>
      </c>
      <c r="AK413" s="84">
        <f>C47</f>
        <v/>
      </c>
      <c r="AL413" s="84">
        <f>C53</f>
        <v/>
      </c>
      <c r="AM413" s="84">
        <f>MAX(0,AJ413-AK413)</f>
        <v/>
      </c>
      <c r="AN413" s="84">
        <f>IF(AM413=0,AH413,IF(AM413&gt;=AH413,0,AH413-AM413))</f>
        <v/>
      </c>
      <c r="AO413" s="84">
        <f>IF(AM413&gt;=AH413,AI413,AI413*AM413/AH413)</f>
        <v/>
      </c>
      <c r="AP413">
        <f t="array" ref="AP413">INDEX($AU$8:$BB$25,6*(R413-1)+MATCH(AB413,$AS$8:$AS$13,0),MATCH(O413,$AU$7:$BB$7,0))</f>
        <v/>
      </c>
    </row>
    <row r="414" ht="14.25" customHeight="1">
      <c r="O414" s="43" t="inlineStr">
        <is>
          <t>Q4’26</t>
        </is>
      </c>
      <c r="P414" s="43" t="n">
        <v>1</v>
      </c>
      <c r="Q414" s="43" t="n">
        <v>7</v>
      </c>
      <c r="R414" s="43" t="n">
        <v>2</v>
      </c>
      <c r="S414" s="45" t="n">
        <v>3140.799999999995</v>
      </c>
      <c r="T414">
        <f>(S413+S414+S415)=Q2</f>
        <v/>
      </c>
      <c r="X414" s="84">
        <f>MAX(S411-S414,0)</f>
        <v/>
      </c>
      <c r="Y414" s="83" t="n">
        <v>0</v>
      </c>
      <c r="AA414" s="84" t="n">
        <v>9</v>
      </c>
      <c r="AB414" s="84" t="inlineStr">
        <is>
          <t>D</t>
        </is>
      </c>
      <c r="AC414" s="84" t="inlineStr">
        <is>
          <t>D+</t>
        </is>
      </c>
      <c r="AD414" s="84" t="n">
        <v>17</v>
      </c>
      <c r="AE414" s="84" t="n">
        <v>13</v>
      </c>
      <c r="AF414" s="84" t="n">
        <v>0.8</v>
      </c>
      <c r="AG414" s="84" t="n">
        <v>0.88</v>
      </c>
      <c r="AH414" s="84" t="n">
        <v>0</v>
      </c>
      <c r="AI414" s="84" t="n">
        <v>0</v>
      </c>
      <c r="AJ414" s="84">
        <f>SUMIFS(AH$8:AH$1039,$O$8:$O$1039,O414,$AB$8:$AB$1039,AB414,$R$8:$R$1039,R414,$AA$8:$AA$1039,"&lt;="&amp;AA414)</f>
        <v/>
      </c>
      <c r="AK414" s="84">
        <f>D47</f>
        <v/>
      </c>
      <c r="AL414" s="84">
        <f>D53</f>
        <v/>
      </c>
      <c r="AM414" s="84">
        <f>MAX(0,AJ414-AK414)</f>
        <v/>
      </c>
      <c r="AN414" s="84">
        <f>IF(AM414=0,AH414,IF(AM414&gt;=AH414,0,AH414-AM414))</f>
        <v/>
      </c>
      <c r="AO414" s="84">
        <f>IF(AM414&gt;=AH414,AI414,AI414*AM414/AH414)</f>
        <v/>
      </c>
      <c r="AP414">
        <f t="array" ref="AP414">INDEX($AU$8:$BB$25,6*(R414-1)+MATCH(AB414,$AS$8:$AS$13,0),MATCH(O414,$AU$7:$BB$7,0))</f>
        <v/>
      </c>
    </row>
    <row r="415" ht="14.25" customHeight="1">
      <c r="O415" s="43" t="inlineStr">
        <is>
          <t>Q4’26</t>
        </is>
      </c>
      <c r="P415" s="43" t="n">
        <v>1</v>
      </c>
      <c r="Q415" s="43" t="n">
        <v>7</v>
      </c>
      <c r="R415" s="43" t="n">
        <v>3</v>
      </c>
      <c r="S415" s="45" t="n">
        <v>1010.400000000003</v>
      </c>
      <c r="T415">
        <f>(S413+S414+S415)=Q2</f>
        <v/>
      </c>
      <c r="X415" s="84">
        <f>MAX(S412-S415,0)</f>
        <v/>
      </c>
      <c r="Y415" s="83" t="n">
        <v>0</v>
      </c>
      <c r="AA415" s="84" t="n">
        <v>9</v>
      </c>
      <c r="AB415" s="84" t="inlineStr">
        <is>
          <t>D</t>
        </is>
      </c>
      <c r="AC415" s="84" t="inlineStr">
        <is>
          <t>D+</t>
        </is>
      </c>
      <c r="AD415" s="84" t="n">
        <v>17</v>
      </c>
      <c r="AE415" s="84" t="n">
        <v>13</v>
      </c>
      <c r="AF415" s="84" t="n">
        <v>0.8</v>
      </c>
      <c r="AG415" s="84" t="n">
        <v>0.88</v>
      </c>
      <c r="AH415" s="84" t="n">
        <v>0</v>
      </c>
      <c r="AI415" s="84" t="n">
        <v>0</v>
      </c>
      <c r="AJ415" s="84">
        <f>SUMIFS(AH$8:AH$1039,$O$8:$O$1039,O415,$AB$8:$AB$1039,AB415,$R$8:$R$1039,R415,$AA$8:$AA$1039,"&lt;="&amp;AA415)</f>
        <v/>
      </c>
      <c r="AK415" s="84">
        <f>E47</f>
        <v/>
      </c>
      <c r="AL415" s="84">
        <f>E53</f>
        <v/>
      </c>
      <c r="AM415" s="84">
        <f>MAX(0,AJ415-AK415)</f>
        <v/>
      </c>
      <c r="AN415" s="84">
        <f>IF(AM415=0,AH415,IF(AM415&gt;=AH415,0,AH415-AM415))</f>
        <v/>
      </c>
      <c r="AO415" s="84">
        <f>IF(AM415&gt;=AH415,AI415,AI415*AM415/AH415)</f>
        <v/>
      </c>
      <c r="AP415">
        <f t="array" ref="AP415">INDEX($AU$8:$BB$25,6*(R415-1)+MATCH(AB415,$AS$8:$AS$13,0),MATCH(O415,$AU$7:$BB$7,0))</f>
        <v/>
      </c>
    </row>
    <row r="416" ht="14.25" customHeight="1">
      <c r="O416" s="43" t="inlineStr">
        <is>
          <t>Q4’26</t>
        </is>
      </c>
      <c r="P416" s="43" t="n">
        <v>1</v>
      </c>
      <c r="Q416" s="43" t="n">
        <v>8</v>
      </c>
      <c r="R416" s="43" t="n">
        <v>1</v>
      </c>
      <c r="S416" s="45" t="n">
        <v>3348.799999999999</v>
      </c>
      <c r="T416">
        <f>(S416+S417+S418)=Q2</f>
        <v/>
      </c>
      <c r="X416" s="84">
        <f>MAX(S413-S416,0)</f>
        <v/>
      </c>
      <c r="Y416" s="83" t="n">
        <v>0</v>
      </c>
      <c r="AA416" s="84" t="n">
        <v>1</v>
      </c>
      <c r="AB416" s="84" t="inlineStr">
        <is>
          <t>A</t>
        </is>
      </c>
      <c r="AC416" s="84" t="inlineStr">
        <is>
          <t>A+</t>
        </is>
      </c>
      <c r="AD416" s="84" t="n">
        <v>18</v>
      </c>
      <c r="AE416" s="84" t="n">
        <v>16</v>
      </c>
      <c r="AF416" s="84" t="n">
        <v>0.78</v>
      </c>
      <c r="AG416" s="84" t="n">
        <v>0.84</v>
      </c>
      <c r="AH416" s="84" t="n">
        <v>0</v>
      </c>
      <c r="AI416" s="84" t="n">
        <v>0</v>
      </c>
      <c r="AJ416" s="84">
        <f>SUMIFS(AH$8:AH$1039,$O$8:$O$1039,O416,$AB$8:$AB$1039,AB416,$R$8:$R$1039,R416,$AA$8:$AA$1039,"&lt;="&amp;AA416)</f>
        <v/>
      </c>
      <c r="AK416" s="84">
        <f>C44</f>
        <v/>
      </c>
      <c r="AL416" s="84">
        <f>C50</f>
        <v/>
      </c>
      <c r="AM416" s="84">
        <f>MAX(0,AJ416-AK416)</f>
        <v/>
      </c>
      <c r="AN416" s="84">
        <f>IF(AM416=0,AH416,IF(AM416&gt;=AH416,0,AH416-AM416))</f>
        <v/>
      </c>
      <c r="AO416" s="84">
        <f>IF(AM416&gt;=AH416,AI416,AI416*AM416/AH416)</f>
        <v/>
      </c>
      <c r="AP416">
        <f t="array" ref="AP416">INDEX($AU$8:$BB$25,6*(R416-1)+MATCH(AB416,$AS$8:$AS$13,0),MATCH(O416,$AU$7:$BB$7,0))</f>
        <v/>
      </c>
    </row>
    <row r="417" ht="14.25" customHeight="1">
      <c r="O417" s="43" t="inlineStr">
        <is>
          <t>Q4’26</t>
        </is>
      </c>
      <c r="P417" s="43" t="n">
        <v>1</v>
      </c>
      <c r="Q417" s="43" t="n">
        <v>8</v>
      </c>
      <c r="R417" s="43" t="n">
        <v>2</v>
      </c>
      <c r="S417" s="45" t="n">
        <v>3248.800000000003</v>
      </c>
      <c r="T417">
        <f>(S416+S417+S418)=Q2</f>
        <v/>
      </c>
      <c r="X417" s="84">
        <f>MAX(S414-S417,0)</f>
        <v/>
      </c>
      <c r="Y417" s="83" t="n">
        <v>0</v>
      </c>
      <c r="AA417" s="84" t="n">
        <v>1</v>
      </c>
      <c r="AB417" s="84" t="inlineStr">
        <is>
          <t>A</t>
        </is>
      </c>
      <c r="AC417" s="84" t="inlineStr">
        <is>
          <t>A+</t>
        </is>
      </c>
      <c r="AD417" s="84" t="n">
        <v>18</v>
      </c>
      <c r="AE417" s="84" t="n">
        <v>16</v>
      </c>
      <c r="AF417" s="84" t="n">
        <v>0.78</v>
      </c>
      <c r="AG417" s="84" t="n">
        <v>0.84</v>
      </c>
      <c r="AH417" s="84" t="n">
        <v>0</v>
      </c>
      <c r="AI417" s="84" t="n">
        <v>0</v>
      </c>
      <c r="AJ417" s="84">
        <f>SUMIFS(AH$8:AH$1039,$O$8:$O$1039,O417,$AB$8:$AB$1039,AB417,$R$8:$R$1039,R417,$AA$8:$AA$1039,"&lt;="&amp;AA417)</f>
        <v/>
      </c>
      <c r="AK417" s="84">
        <f>D44</f>
        <v/>
      </c>
      <c r="AL417" s="84">
        <f>D50</f>
        <v/>
      </c>
      <c r="AM417" s="84">
        <f>MAX(0,AJ417-AK417)</f>
        <v/>
      </c>
      <c r="AN417" s="84">
        <f>IF(AM417=0,AH417,IF(AM417&gt;=AH417,0,AH417-AM417))</f>
        <v/>
      </c>
      <c r="AO417" s="84">
        <f>IF(AM417&gt;=AH417,AI417,AI417*AM417/AH417)</f>
        <v/>
      </c>
      <c r="AP417">
        <f t="array" ref="AP417">INDEX($AU$8:$BB$25,6*(R417-1)+MATCH(AB417,$AS$8:$AS$13,0),MATCH(O417,$AU$7:$BB$7,0))</f>
        <v/>
      </c>
    </row>
    <row r="418" ht="14.25" customHeight="1">
      <c r="O418" s="43" t="inlineStr">
        <is>
          <t>Q4’26</t>
        </is>
      </c>
      <c r="P418" s="43" t="n">
        <v>1</v>
      </c>
      <c r="Q418" s="43" t="n">
        <v>8</v>
      </c>
      <c r="R418" s="43" t="n">
        <v>3</v>
      </c>
      <c r="S418" s="45" t="n">
        <v>902.399999999998</v>
      </c>
      <c r="T418">
        <f>(S416+S417+S418)=Q2</f>
        <v/>
      </c>
      <c r="X418" s="84">
        <f>MAX(S415-S418,0)</f>
        <v/>
      </c>
      <c r="Y418" s="83" t="n">
        <v>0</v>
      </c>
      <c r="AA418" s="84" t="n">
        <v>1</v>
      </c>
      <c r="AB418" s="84" t="inlineStr">
        <is>
          <t>A</t>
        </is>
      </c>
      <c r="AC418" s="84" t="inlineStr">
        <is>
          <t>A+</t>
        </is>
      </c>
      <c r="AD418" s="84" t="n">
        <v>18</v>
      </c>
      <c r="AE418" s="84" t="n">
        <v>16</v>
      </c>
      <c r="AF418" s="84" t="n">
        <v>0.78</v>
      </c>
      <c r="AG418" s="84" t="n">
        <v>0.84</v>
      </c>
      <c r="AH418" s="84" t="n">
        <v>0</v>
      </c>
      <c r="AI418" s="84" t="n">
        <v>0</v>
      </c>
      <c r="AJ418" s="84">
        <f>SUMIFS(AH$8:AH$1039,$O$8:$O$1039,O418,$AB$8:$AB$1039,AB418,$R$8:$R$1039,R418,$AA$8:$AA$1039,"&lt;="&amp;AA418)</f>
        <v/>
      </c>
      <c r="AK418" s="84">
        <f>E44</f>
        <v/>
      </c>
      <c r="AL418" s="84">
        <f>E50</f>
        <v/>
      </c>
      <c r="AM418" s="84">
        <f>MAX(0,AJ418-AK418)</f>
        <v/>
      </c>
      <c r="AN418" s="84">
        <f>IF(AM418=0,AH418,IF(AM418&gt;=AH418,0,AH418-AM418))</f>
        <v/>
      </c>
      <c r="AO418" s="84">
        <f>IF(AM418&gt;=AH418,AI418,AI418*AM418/AH418)</f>
        <v/>
      </c>
      <c r="AP418">
        <f t="array" ref="AP418">INDEX($AU$8:$BB$25,6*(R418-1)+MATCH(AB418,$AS$8:$AS$13,0),MATCH(O418,$AU$7:$BB$7,0))</f>
        <v/>
      </c>
    </row>
    <row r="419" ht="14.25" customHeight="1">
      <c r="O419" s="43" t="inlineStr">
        <is>
          <t>Q4’26</t>
        </is>
      </c>
      <c r="P419" s="43" t="n">
        <v>1</v>
      </c>
      <c r="Q419" s="43" t="n">
        <v>9</v>
      </c>
      <c r="R419" s="43" t="n">
        <v>1</v>
      </c>
      <c r="S419" s="45" t="n">
        <v>3348.799999999999</v>
      </c>
      <c r="T419">
        <f>(S419+S420+S421)=Q2</f>
        <v/>
      </c>
      <c r="X419" s="84">
        <f>MAX(S416-S419,0)</f>
        <v/>
      </c>
      <c r="Y419" s="83" t="n">
        <v>0</v>
      </c>
      <c r="AA419" s="84" t="n">
        <v>2</v>
      </c>
      <c r="AB419" s="84" t="inlineStr">
        <is>
          <t>A</t>
        </is>
      </c>
      <c r="AC419" s="84" t="inlineStr">
        <is>
          <t>A+</t>
        </is>
      </c>
      <c r="AD419" s="84" t="n">
        <v>16</v>
      </c>
      <c r="AE419" s="84" t="n">
        <v>13</v>
      </c>
      <c r="AF419" s="84" t="n">
        <v>0.78</v>
      </c>
      <c r="AG419" s="84" t="n">
        <v>0.84</v>
      </c>
      <c r="AH419" s="84" t="n">
        <v>0</v>
      </c>
      <c r="AI419" s="84" t="n">
        <v>0</v>
      </c>
      <c r="AJ419" s="84">
        <f>SUMIFS(AH$8:AH$1039,$O$8:$O$1039,O419,$AB$8:$AB$1039,AB419,$R$8:$R$1039,R419,$AA$8:$AA$1039,"&lt;="&amp;AA419)</f>
        <v/>
      </c>
      <c r="AK419" s="84">
        <f>C44</f>
        <v/>
      </c>
      <c r="AL419" s="84">
        <f>C50</f>
        <v/>
      </c>
      <c r="AM419" s="84">
        <f>MAX(0,AJ419-AK419)</f>
        <v/>
      </c>
      <c r="AN419" s="84">
        <f>IF(AM419=0,AH419,IF(AM419&gt;=AH419,0,AH419-AM419))</f>
        <v/>
      </c>
      <c r="AO419" s="84">
        <f>IF(AM419&gt;=AH419,AI419,AI419*AM419/AH419)</f>
        <v/>
      </c>
      <c r="AP419">
        <f t="array" ref="AP419">INDEX($AU$8:$BB$25,6*(R419-1)+MATCH(AB419,$AS$8:$AS$13,0),MATCH(O419,$AU$7:$BB$7,0))</f>
        <v/>
      </c>
    </row>
    <row r="420" ht="14.25" customHeight="1">
      <c r="O420" s="43" t="inlineStr">
        <is>
          <t>Q4’26</t>
        </is>
      </c>
      <c r="P420" s="43" t="n">
        <v>1</v>
      </c>
      <c r="Q420" s="43" t="n">
        <v>9</v>
      </c>
      <c r="R420" s="43" t="n">
        <v>2</v>
      </c>
      <c r="S420" s="45" t="n">
        <v>3248.800000000003</v>
      </c>
      <c r="T420">
        <f>(S419+S420+S421)=Q2</f>
        <v/>
      </c>
      <c r="X420" s="84">
        <f>MAX(S417-S420,0)</f>
        <v/>
      </c>
      <c r="Y420" s="83" t="n">
        <v>0</v>
      </c>
      <c r="AA420" s="84" t="n">
        <v>2</v>
      </c>
      <c r="AB420" s="84" t="inlineStr">
        <is>
          <t>A</t>
        </is>
      </c>
      <c r="AC420" s="84" t="inlineStr">
        <is>
          <t>A+</t>
        </is>
      </c>
      <c r="AD420" s="84" t="n">
        <v>16</v>
      </c>
      <c r="AE420" s="84" t="n">
        <v>13</v>
      </c>
      <c r="AF420" s="84" t="n">
        <v>0.78</v>
      </c>
      <c r="AG420" s="84" t="n">
        <v>0.84</v>
      </c>
      <c r="AH420" s="84" t="n">
        <v>0</v>
      </c>
      <c r="AI420" s="84" t="n">
        <v>0</v>
      </c>
      <c r="AJ420" s="84">
        <f>SUMIFS(AH$8:AH$1039,$O$8:$O$1039,O420,$AB$8:$AB$1039,AB420,$R$8:$R$1039,R420,$AA$8:$AA$1039,"&lt;="&amp;AA420)</f>
        <v/>
      </c>
      <c r="AK420" s="84">
        <f>D44</f>
        <v/>
      </c>
      <c r="AL420" s="84">
        <f>D50</f>
        <v/>
      </c>
      <c r="AM420" s="84">
        <f>MAX(0,AJ420-AK420)</f>
        <v/>
      </c>
      <c r="AN420" s="84">
        <f>IF(AM420=0,AH420,IF(AM420&gt;=AH420,0,AH420-AM420))</f>
        <v/>
      </c>
      <c r="AO420" s="84">
        <f>IF(AM420&gt;=AH420,AI420,AI420*AM420/AH420)</f>
        <v/>
      </c>
      <c r="AP420">
        <f t="array" ref="AP420">INDEX($AU$8:$BB$25,6*(R420-1)+MATCH(AB420,$AS$8:$AS$13,0),MATCH(O420,$AU$7:$BB$7,0))</f>
        <v/>
      </c>
    </row>
    <row r="421" ht="14.25" customHeight="1">
      <c r="O421" s="43" t="inlineStr">
        <is>
          <t>Q4’26</t>
        </is>
      </c>
      <c r="P421" s="43" t="n">
        <v>1</v>
      </c>
      <c r="Q421" s="43" t="n">
        <v>9</v>
      </c>
      <c r="R421" s="43" t="n">
        <v>3</v>
      </c>
      <c r="S421" s="45" t="n">
        <v>902.399999999998</v>
      </c>
      <c r="T421">
        <f>(S419+S420+S421)=Q2</f>
        <v/>
      </c>
      <c r="X421" s="84">
        <f>MAX(S418-S421,0)</f>
        <v/>
      </c>
      <c r="Y421" s="83" t="n">
        <v>0</v>
      </c>
      <c r="AA421" s="84" t="n">
        <v>2</v>
      </c>
      <c r="AB421" s="84" t="inlineStr">
        <is>
          <t>A</t>
        </is>
      </c>
      <c r="AC421" s="84" t="inlineStr">
        <is>
          <t>A+</t>
        </is>
      </c>
      <c r="AD421" s="84" t="n">
        <v>16</v>
      </c>
      <c r="AE421" s="84" t="n">
        <v>13</v>
      </c>
      <c r="AF421" s="84" t="n">
        <v>0.78</v>
      </c>
      <c r="AG421" s="84" t="n">
        <v>0.84</v>
      </c>
      <c r="AH421" s="84" t="n">
        <v>0</v>
      </c>
      <c r="AI421" s="84" t="n">
        <v>0</v>
      </c>
      <c r="AJ421" s="84">
        <f>SUMIFS(AH$8:AH$1039,$O$8:$O$1039,O421,$AB$8:$AB$1039,AB421,$R$8:$R$1039,R421,$AA$8:$AA$1039,"&lt;="&amp;AA421)</f>
        <v/>
      </c>
      <c r="AK421" s="84">
        <f>E44</f>
        <v/>
      </c>
      <c r="AL421" s="84">
        <f>E50</f>
        <v/>
      </c>
      <c r="AM421" s="84">
        <f>MAX(0,AJ421-AK421)</f>
        <v/>
      </c>
      <c r="AN421" s="84">
        <f>IF(AM421=0,AH421,IF(AM421&gt;=AH421,0,AH421-AM421))</f>
        <v/>
      </c>
      <c r="AO421" s="84">
        <f>IF(AM421&gt;=AH421,AI421,AI421*AM421/AH421)</f>
        <v/>
      </c>
      <c r="AP421">
        <f t="array" ref="AP421">INDEX($AU$8:$BB$25,6*(R421-1)+MATCH(AB421,$AS$8:$AS$13,0),MATCH(O421,$AU$7:$BB$7,0))</f>
        <v/>
      </c>
    </row>
    <row r="422" ht="14.25" customHeight="1">
      <c r="O422" s="43" t="inlineStr">
        <is>
          <t>Q4’26</t>
        </is>
      </c>
      <c r="P422" s="43" t="n">
        <v>1</v>
      </c>
      <c r="Q422" s="43" t="n">
        <v>10</v>
      </c>
      <c r="R422" s="43" t="n">
        <v>1</v>
      </c>
      <c r="S422" s="45" t="n">
        <v>3348.799999999999</v>
      </c>
      <c r="T422">
        <f>(S422+S423+S424)=Q2</f>
        <v/>
      </c>
      <c r="X422" s="84">
        <f>MAX(S419-S422,0)</f>
        <v/>
      </c>
      <c r="Y422" s="83" t="n">
        <v>0</v>
      </c>
      <c r="AA422" s="84" t="n">
        <v>6</v>
      </c>
      <c r="AB422" s="84" t="inlineStr">
        <is>
          <t>D</t>
        </is>
      </c>
      <c r="AC422" s="84" t="inlineStr">
        <is>
          <t>D+</t>
        </is>
      </c>
      <c r="AD422" s="84" t="n">
        <v>14</v>
      </c>
      <c r="AE422" s="84" t="n">
        <v>11</v>
      </c>
      <c r="AF422" s="84" t="n">
        <v>0.8</v>
      </c>
      <c r="AG422" s="84" t="n">
        <v>0.88</v>
      </c>
      <c r="AH422" s="84" t="n">
        <v>0</v>
      </c>
      <c r="AI422" s="84" t="n">
        <v>0</v>
      </c>
      <c r="AJ422" s="84">
        <f>SUMIFS(AH$8:AH$1039,$O$8:$O$1039,O422,$AB$8:$AB$1039,AB422,$R$8:$R$1039,R422,$AA$8:$AA$1039,"&lt;="&amp;AA422)</f>
        <v/>
      </c>
      <c r="AK422" s="84">
        <f>C47</f>
        <v/>
      </c>
      <c r="AL422" s="84">
        <f>C53</f>
        <v/>
      </c>
      <c r="AM422" s="84">
        <f>MAX(0,AJ422-AK422)</f>
        <v/>
      </c>
      <c r="AN422" s="84">
        <f>IF(AM422=0,AH422,IF(AM422&gt;=AH422,0,AH422-AM422))</f>
        <v/>
      </c>
      <c r="AO422" s="84">
        <f>IF(AM422&gt;=AH422,AI422,AI422*AM422/AH422)</f>
        <v/>
      </c>
      <c r="AP422">
        <f t="array" ref="AP422">INDEX($AU$8:$BB$25,6*(R422-1)+MATCH(AB422,$AS$8:$AS$13,0),MATCH(O422,$AU$7:$BB$7,0))</f>
        <v/>
      </c>
    </row>
    <row r="423" ht="14.25" customHeight="1">
      <c r="O423" s="43" t="inlineStr">
        <is>
          <t>Q4’26</t>
        </is>
      </c>
      <c r="P423" s="43" t="n">
        <v>1</v>
      </c>
      <c r="Q423" s="43" t="n">
        <v>10</v>
      </c>
      <c r="R423" s="43" t="n">
        <v>2</v>
      </c>
      <c r="S423" s="45" t="n">
        <v>3248.800000000003</v>
      </c>
      <c r="T423">
        <f>(S422+S423+S424)=Q2</f>
        <v/>
      </c>
      <c r="X423" s="84">
        <f>MAX(S420-S423,0)</f>
        <v/>
      </c>
      <c r="Y423" s="83" t="n">
        <v>0</v>
      </c>
      <c r="AA423" s="84" t="n">
        <v>6</v>
      </c>
      <c r="AB423" s="84" t="inlineStr">
        <is>
          <t>D</t>
        </is>
      </c>
      <c r="AC423" s="84" t="inlineStr">
        <is>
          <t>D+</t>
        </is>
      </c>
      <c r="AD423" s="84" t="n">
        <v>14</v>
      </c>
      <c r="AE423" s="84" t="n">
        <v>11</v>
      </c>
      <c r="AF423" s="84" t="n">
        <v>0.8</v>
      </c>
      <c r="AG423" s="84" t="n">
        <v>0.88</v>
      </c>
      <c r="AH423" s="84" t="n">
        <v>0</v>
      </c>
      <c r="AI423" s="84" t="n">
        <v>0</v>
      </c>
      <c r="AJ423" s="84">
        <f>SUMIFS(AH$8:AH$1039,$O$8:$O$1039,O423,$AB$8:$AB$1039,AB423,$R$8:$R$1039,R423,$AA$8:$AA$1039,"&lt;="&amp;AA423)</f>
        <v/>
      </c>
      <c r="AK423" s="84">
        <f>D47</f>
        <v/>
      </c>
      <c r="AL423" s="84">
        <f>D53</f>
        <v/>
      </c>
      <c r="AM423" s="84">
        <f>MAX(0,AJ423-AK423)</f>
        <v/>
      </c>
      <c r="AN423" s="84">
        <f>IF(AM423=0,AH423,IF(AM423&gt;=AH423,0,AH423-AM423))</f>
        <v/>
      </c>
      <c r="AO423" s="84">
        <f>IF(AM423&gt;=AH423,AI423,AI423*AM423/AH423)</f>
        <v/>
      </c>
      <c r="AP423">
        <f t="array" ref="AP423">INDEX($AU$8:$BB$25,6*(R423-1)+MATCH(AB423,$AS$8:$AS$13,0),MATCH(O423,$AU$7:$BB$7,0))</f>
        <v/>
      </c>
    </row>
    <row r="424" ht="14.25" customHeight="1">
      <c r="O424" s="43" t="inlineStr">
        <is>
          <t>Q4’26</t>
        </is>
      </c>
      <c r="P424" s="43" t="n">
        <v>1</v>
      </c>
      <c r="Q424" s="43" t="n">
        <v>10</v>
      </c>
      <c r="R424" s="43" t="n">
        <v>3</v>
      </c>
      <c r="S424" s="45" t="n">
        <v>902.399999999998</v>
      </c>
      <c r="T424">
        <f>(S422+S423+S424)=Q2</f>
        <v/>
      </c>
      <c r="X424" s="84">
        <f>MAX(S421-S424,0)</f>
        <v/>
      </c>
      <c r="Y424" s="83" t="n">
        <v>0</v>
      </c>
      <c r="AA424" s="84" t="n">
        <v>6</v>
      </c>
      <c r="AB424" s="84" t="inlineStr">
        <is>
          <t>D</t>
        </is>
      </c>
      <c r="AC424" s="84" t="inlineStr">
        <is>
          <t>D+</t>
        </is>
      </c>
      <c r="AD424" s="84" t="n">
        <v>14</v>
      </c>
      <c r="AE424" s="84" t="n">
        <v>11</v>
      </c>
      <c r="AF424" s="84" t="n">
        <v>0.8</v>
      </c>
      <c r="AG424" s="84" t="n">
        <v>0.88</v>
      </c>
      <c r="AH424" s="84" t="n">
        <v>0</v>
      </c>
      <c r="AI424" s="84" t="n">
        <v>0</v>
      </c>
      <c r="AJ424" s="84">
        <f>SUMIFS(AH$8:AH$1039,$O$8:$O$1039,O424,$AB$8:$AB$1039,AB424,$R$8:$R$1039,R424,$AA$8:$AA$1039,"&lt;="&amp;AA424)</f>
        <v/>
      </c>
      <c r="AK424" s="84">
        <f>E47</f>
        <v/>
      </c>
      <c r="AL424" s="84">
        <f>E53</f>
        <v/>
      </c>
      <c r="AM424" s="84">
        <f>MAX(0,AJ424-AK424)</f>
        <v/>
      </c>
      <c r="AN424" s="84">
        <f>IF(AM424=0,AH424,IF(AM424&gt;=AH424,0,AH424-AM424))</f>
        <v/>
      </c>
      <c r="AO424" s="84">
        <f>IF(AM424&gt;=AH424,AI424,AI424*AM424/AH424)</f>
        <v/>
      </c>
      <c r="AP424">
        <f t="array" ref="AP424">INDEX($AU$8:$BB$25,6*(R424-1)+MATCH(AB424,$AS$8:$AS$13,0),MATCH(O424,$AU$7:$BB$7,0))</f>
        <v/>
      </c>
    </row>
    <row r="425" ht="14.25" customHeight="1">
      <c r="O425" s="43" t="inlineStr">
        <is>
          <t>Q4’26</t>
        </is>
      </c>
      <c r="P425" s="43" t="n">
        <v>1</v>
      </c>
      <c r="Q425" s="43" t="n">
        <v>11</v>
      </c>
      <c r="R425" s="43" t="n">
        <v>1</v>
      </c>
      <c r="S425" s="45" t="n">
        <v>3348.799999999999</v>
      </c>
      <c r="T425">
        <f>(S425+S426+S427)=Q2</f>
        <v/>
      </c>
      <c r="X425" s="84">
        <f>MAX(S422-S425,0)</f>
        <v/>
      </c>
      <c r="Y425" s="83" t="n">
        <v>0</v>
      </c>
      <c r="AA425" s="84" t="n">
        <v>3</v>
      </c>
      <c r="AB425" s="84" t="inlineStr">
        <is>
          <t>F</t>
        </is>
      </c>
      <c r="AC425" s="84" t="inlineStr">
        <is>
          <t>F+</t>
        </is>
      </c>
      <c r="AD425" s="84" t="n">
        <v>18</v>
      </c>
      <c r="AE425" s="84" t="n">
        <v>16</v>
      </c>
      <c r="AF425" s="84" t="n">
        <v>0.8</v>
      </c>
      <c r="AG425" s="84" t="n">
        <v>0.9</v>
      </c>
      <c r="AH425" s="84" t="n">
        <v>0</v>
      </c>
      <c r="AI425" s="84" t="n">
        <v>0</v>
      </c>
      <c r="AJ425" s="84">
        <f>SUMIFS(AH$8:AH$1039,$O$8:$O$1039,O425,$AB$8:$AB$1039,AB425,$R$8:$R$1039,R425,$AA$8:$AA$1039,"&lt;="&amp;AA425)</f>
        <v/>
      </c>
      <c r="AK425" s="84">
        <f>C49</f>
        <v/>
      </c>
      <c r="AL425" s="84">
        <f>C55</f>
        <v/>
      </c>
      <c r="AM425" s="84">
        <f>MAX(0,AJ425-AK425)</f>
        <v/>
      </c>
      <c r="AN425" s="84">
        <f>IF(AM425=0,AH425,IF(AM425&gt;=AH425,0,AH425-AM425))</f>
        <v/>
      </c>
      <c r="AO425" s="84">
        <f>IF(AM425&gt;=AH425,AI425,AI425*AM425/AH425)</f>
        <v/>
      </c>
      <c r="AP425">
        <f t="array" ref="AP425">INDEX($AU$8:$BB$25,6*(R425-1)+MATCH(AB425,$AS$8:$AS$13,0),MATCH(O425,$AU$7:$BB$7,0))</f>
        <v/>
      </c>
    </row>
    <row r="426" ht="14.25" customHeight="1">
      <c r="O426" s="43" t="inlineStr">
        <is>
          <t>Q4’26</t>
        </is>
      </c>
      <c r="P426" s="43" t="n">
        <v>1</v>
      </c>
      <c r="Q426" s="43" t="n">
        <v>11</v>
      </c>
      <c r="R426" s="43" t="n">
        <v>2</v>
      </c>
      <c r="S426" s="45" t="n">
        <v>3248.800000000003</v>
      </c>
      <c r="T426">
        <f>(S425+S426+S427)=Q2</f>
        <v/>
      </c>
      <c r="X426" s="84">
        <f>MAX(S423-S426,0)</f>
        <v/>
      </c>
      <c r="Y426" s="83" t="n">
        <v>0</v>
      </c>
      <c r="AA426" s="84" t="n">
        <v>3</v>
      </c>
      <c r="AB426" s="84" t="inlineStr">
        <is>
          <t>F</t>
        </is>
      </c>
      <c r="AC426" s="84" t="inlineStr">
        <is>
          <t>F+</t>
        </is>
      </c>
      <c r="AD426" s="84" t="n">
        <v>18</v>
      </c>
      <c r="AE426" s="84" t="n">
        <v>16</v>
      </c>
      <c r="AF426" s="84" t="n">
        <v>0.8</v>
      </c>
      <c r="AG426" s="84" t="n">
        <v>0.9</v>
      </c>
      <c r="AH426" s="84" t="n">
        <v>0</v>
      </c>
      <c r="AI426" s="84" t="n">
        <v>0</v>
      </c>
      <c r="AJ426" s="84">
        <f>SUMIFS(AH$8:AH$1039,$O$8:$O$1039,O426,$AB$8:$AB$1039,AB426,$R$8:$R$1039,R426,$AA$8:$AA$1039,"&lt;="&amp;AA426)</f>
        <v/>
      </c>
      <c r="AK426" s="84">
        <f>D49</f>
        <v/>
      </c>
      <c r="AL426" s="84">
        <f>D55</f>
        <v/>
      </c>
      <c r="AM426" s="84">
        <f>MAX(0,AJ426-AK426)</f>
        <v/>
      </c>
      <c r="AN426" s="84">
        <f>IF(AM426=0,AH426,IF(AM426&gt;=AH426,0,AH426-AM426))</f>
        <v/>
      </c>
      <c r="AO426" s="84">
        <f>IF(AM426&gt;=AH426,AI426,AI426*AM426/AH426)</f>
        <v/>
      </c>
      <c r="AP426">
        <f t="array" ref="AP426">INDEX($AU$8:$BB$25,6*(R426-1)+MATCH(AB426,$AS$8:$AS$13,0),MATCH(O426,$AU$7:$BB$7,0))</f>
        <v/>
      </c>
    </row>
    <row r="427" ht="14.25" customHeight="1">
      <c r="O427" s="43" t="inlineStr">
        <is>
          <t>Q4’26</t>
        </is>
      </c>
      <c r="P427" s="43" t="n">
        <v>1</v>
      </c>
      <c r="Q427" s="43" t="n">
        <v>11</v>
      </c>
      <c r="R427" s="43" t="n">
        <v>3</v>
      </c>
      <c r="S427" s="45" t="n">
        <v>902.399999999998</v>
      </c>
      <c r="T427">
        <f>(S425+S426+S427)=Q2</f>
        <v/>
      </c>
      <c r="X427" s="84">
        <f>MAX(S424-S427,0)</f>
        <v/>
      </c>
      <c r="Y427" s="83" t="n">
        <v>0</v>
      </c>
      <c r="AA427" s="84" t="n">
        <v>3</v>
      </c>
      <c r="AB427" s="84" t="inlineStr">
        <is>
          <t>F</t>
        </is>
      </c>
      <c r="AC427" s="84" t="inlineStr">
        <is>
          <t>F+</t>
        </is>
      </c>
      <c r="AD427" s="84" t="n">
        <v>18</v>
      </c>
      <c r="AE427" s="84" t="n">
        <v>16</v>
      </c>
      <c r="AF427" s="84" t="n">
        <v>0.8</v>
      </c>
      <c r="AG427" s="84" t="n">
        <v>0.9</v>
      </c>
      <c r="AH427" s="84" t="n">
        <v>0</v>
      </c>
      <c r="AI427" s="84" t="n">
        <v>0</v>
      </c>
      <c r="AJ427" s="84">
        <f>SUMIFS(AH$8:AH$1039,$O$8:$O$1039,O427,$AB$8:$AB$1039,AB427,$R$8:$R$1039,R427,$AA$8:$AA$1039,"&lt;="&amp;AA427)</f>
        <v/>
      </c>
      <c r="AK427" s="84">
        <f>E49</f>
        <v/>
      </c>
      <c r="AL427" s="84">
        <f>E55</f>
        <v/>
      </c>
      <c r="AM427" s="84">
        <f>MAX(0,AJ427-AK427)</f>
        <v/>
      </c>
      <c r="AN427" s="84">
        <f>IF(AM427=0,AH427,IF(AM427&gt;=AH427,0,AH427-AM427))</f>
        <v/>
      </c>
      <c r="AO427" s="84">
        <f>IF(AM427&gt;=AH427,AI427,AI427*AM427/AH427)</f>
        <v/>
      </c>
      <c r="AP427">
        <f t="array" ref="AP427">INDEX($AU$8:$BB$25,6*(R427-1)+MATCH(AB427,$AS$8:$AS$13,0),MATCH(O427,$AU$7:$BB$7,0))</f>
        <v/>
      </c>
    </row>
    <row r="428" ht="14.25" customHeight="1">
      <c r="O428" s="43" t="inlineStr">
        <is>
          <t>Q4’26</t>
        </is>
      </c>
      <c r="P428" s="43" t="n">
        <v>2</v>
      </c>
      <c r="Q428" s="43" t="n">
        <v>1</v>
      </c>
      <c r="R428" s="43" t="n">
        <v>1</v>
      </c>
      <c r="S428" s="45" t="n">
        <v>5180</v>
      </c>
      <c r="T428">
        <f>(S428+S429+S430)=Q3</f>
        <v/>
      </c>
      <c r="X428" s="84" t="n">
        <v>0</v>
      </c>
      <c r="Y428" s="83" t="n">
        <v>0</v>
      </c>
      <c r="AA428" s="84" t="n">
        <v>9</v>
      </c>
      <c r="AB428" s="84" t="inlineStr">
        <is>
          <t>F</t>
        </is>
      </c>
      <c r="AC428" s="84" t="inlineStr">
        <is>
          <t>F+</t>
        </is>
      </c>
      <c r="AD428" s="84" t="n">
        <v>19</v>
      </c>
      <c r="AE428" s="84" t="n">
        <v>16</v>
      </c>
      <c r="AF428" s="84" t="n">
        <v>0.8</v>
      </c>
      <c r="AG428" s="84" t="n">
        <v>0.9</v>
      </c>
      <c r="AH428" s="84" t="n">
        <v>0</v>
      </c>
      <c r="AI428" s="84" t="n">
        <v>0</v>
      </c>
      <c r="AJ428" s="84">
        <f>SUMIFS(AH$8:AH$1039,$O$8:$O$1039,O428,$AB$8:$AB$1039,AB428,$R$8:$R$1039,R428,$AA$8:$AA$1039,"&lt;="&amp;AA428)</f>
        <v/>
      </c>
      <c r="AK428" s="84">
        <f>C49</f>
        <v/>
      </c>
      <c r="AL428" s="84">
        <f>C55</f>
        <v/>
      </c>
      <c r="AM428" s="84">
        <f>MAX(0,AJ428-AK428)</f>
        <v/>
      </c>
      <c r="AN428" s="84">
        <f>IF(AM428=0,AH428,IF(AM428&gt;=AH428,0,AH428-AM428))</f>
        <v/>
      </c>
      <c r="AO428" s="84">
        <f>IF(AM428&gt;=AH428,AI428,AI428*AM428/AH428)</f>
        <v/>
      </c>
      <c r="AP428">
        <f t="array" ref="AP428">INDEX($AU$8:$BB$25,6*(R428-1)+MATCH(AB428,$AS$8:$AS$13,0),MATCH(O428,$AU$7:$BB$7,0))</f>
        <v/>
      </c>
    </row>
    <row r="429" ht="14.25" customHeight="1">
      <c r="O429" s="43" t="inlineStr">
        <is>
          <t>Q4’26</t>
        </is>
      </c>
      <c r="P429" s="43" t="n">
        <v>2</v>
      </c>
      <c r="Q429" s="43" t="n">
        <v>1</v>
      </c>
      <c r="R429" s="43" t="n">
        <v>2</v>
      </c>
      <c r="S429" s="45" t="n">
        <v>420</v>
      </c>
      <c r="T429">
        <f>(S428+S429+S430)=Q3</f>
        <v/>
      </c>
      <c r="X429" s="84" t="n">
        <v>0</v>
      </c>
      <c r="Y429" s="83" t="n">
        <v>0</v>
      </c>
      <c r="AA429" s="84" t="n">
        <v>9</v>
      </c>
      <c r="AB429" s="84" t="inlineStr">
        <is>
          <t>F</t>
        </is>
      </c>
      <c r="AC429" s="84" t="inlineStr">
        <is>
          <t>F+</t>
        </is>
      </c>
      <c r="AD429" s="84" t="n">
        <v>19</v>
      </c>
      <c r="AE429" s="84" t="n">
        <v>16</v>
      </c>
      <c r="AF429" s="84" t="n">
        <v>0.8</v>
      </c>
      <c r="AG429" s="84" t="n">
        <v>0.9</v>
      </c>
      <c r="AH429" s="84" t="n">
        <v>0</v>
      </c>
      <c r="AI429" s="84" t="n">
        <v>0</v>
      </c>
      <c r="AJ429" s="84">
        <f>SUMIFS(AH$8:AH$1039,$O$8:$O$1039,O429,$AB$8:$AB$1039,AB429,$R$8:$R$1039,R429,$AA$8:$AA$1039,"&lt;="&amp;AA429)</f>
        <v/>
      </c>
      <c r="AK429" s="84">
        <f>D49</f>
        <v/>
      </c>
      <c r="AL429" s="84">
        <f>D55</f>
        <v/>
      </c>
      <c r="AM429" s="84">
        <f>MAX(0,AJ429-AK429)</f>
        <v/>
      </c>
      <c r="AN429" s="84">
        <f>IF(AM429=0,AH429,IF(AM429&gt;=AH429,0,AH429-AM429))</f>
        <v/>
      </c>
      <c r="AO429" s="84">
        <f>IF(AM429&gt;=AH429,AI429,AI429*AM429/AH429)</f>
        <v/>
      </c>
      <c r="AP429">
        <f t="array" ref="AP429">INDEX($AU$8:$BB$25,6*(R429-1)+MATCH(AB429,$AS$8:$AS$13,0),MATCH(O429,$AU$7:$BB$7,0))</f>
        <v/>
      </c>
    </row>
    <row r="430" ht="14.25" customHeight="1">
      <c r="O430" s="43" t="inlineStr">
        <is>
          <t>Q4’26</t>
        </is>
      </c>
      <c r="P430" s="43" t="n">
        <v>2</v>
      </c>
      <c r="Q430" s="43" t="n">
        <v>1</v>
      </c>
      <c r="R430" s="43" t="n">
        <v>3</v>
      </c>
      <c r="S430" s="45" t="n">
        <v>0</v>
      </c>
      <c r="T430">
        <f>(S428+S429+S430)=Q3</f>
        <v/>
      </c>
      <c r="X430" s="84" t="n">
        <v>0</v>
      </c>
      <c r="Y430" s="83" t="n">
        <v>0</v>
      </c>
      <c r="AA430" s="84" t="n">
        <v>9</v>
      </c>
      <c r="AB430" s="84" t="inlineStr">
        <is>
          <t>F</t>
        </is>
      </c>
      <c r="AC430" s="84" t="inlineStr">
        <is>
          <t>F+</t>
        </is>
      </c>
      <c r="AD430" s="84" t="n">
        <v>19</v>
      </c>
      <c r="AE430" s="84" t="n">
        <v>16</v>
      </c>
      <c r="AF430" s="84" t="n">
        <v>0.8</v>
      </c>
      <c r="AG430" s="84" t="n">
        <v>0.9</v>
      </c>
      <c r="AH430" s="84" t="n">
        <v>0</v>
      </c>
      <c r="AI430" s="84" t="n">
        <v>0</v>
      </c>
      <c r="AJ430" s="84">
        <f>SUMIFS(AH$8:AH$1039,$O$8:$O$1039,O430,$AB$8:$AB$1039,AB430,$R$8:$R$1039,R430,$AA$8:$AA$1039,"&lt;="&amp;AA430)</f>
        <v/>
      </c>
      <c r="AK430" s="84">
        <f>E49</f>
        <v/>
      </c>
      <c r="AL430" s="84">
        <f>E55</f>
        <v/>
      </c>
      <c r="AM430" s="84">
        <f>MAX(0,AJ430-AK430)</f>
        <v/>
      </c>
      <c r="AN430" s="84">
        <f>IF(AM430=0,AH430,IF(AM430&gt;=AH430,0,AH430-AM430))</f>
        <v/>
      </c>
      <c r="AO430" s="84">
        <f>IF(AM430&gt;=AH430,AI430,AI430*AM430/AH430)</f>
        <v/>
      </c>
      <c r="AP430">
        <f t="array" ref="AP430">INDEX($AU$8:$BB$25,6*(R430-1)+MATCH(AB430,$AS$8:$AS$13,0),MATCH(O430,$AU$7:$BB$7,0))</f>
        <v/>
      </c>
    </row>
    <row r="431" ht="14.25" customHeight="1">
      <c r="O431" s="43" t="inlineStr">
        <is>
          <t>Q4’26</t>
        </is>
      </c>
      <c r="P431" s="43" t="n">
        <v>2</v>
      </c>
      <c r="Q431" s="43" t="n">
        <v>2</v>
      </c>
      <c r="R431" s="43" t="n">
        <v>1</v>
      </c>
      <c r="S431" s="45" t="n">
        <v>5180</v>
      </c>
      <c r="T431">
        <f>(S431+S432+S433)=Q3</f>
        <v/>
      </c>
      <c r="X431" s="84">
        <f>MAX(S428-S431,0)</f>
        <v/>
      </c>
      <c r="Y431" s="83" t="n">
        <v>0</v>
      </c>
      <c r="AA431" s="84" t="n">
        <v>1</v>
      </c>
      <c r="AB431" s="84" t="inlineStr">
        <is>
          <t>B</t>
        </is>
      </c>
      <c r="AC431" s="84" t="inlineStr">
        <is>
          <t>B+</t>
        </is>
      </c>
      <c r="AD431" s="84" t="n">
        <v>20</v>
      </c>
      <c r="AE431" s="84" t="n">
        <v>18</v>
      </c>
      <c r="AF431" s="84" t="n">
        <v>0.76</v>
      </c>
      <c r="AG431" s="84" t="n">
        <v>0.8100000000000001</v>
      </c>
      <c r="AH431" s="84" t="n">
        <v>0</v>
      </c>
      <c r="AI431" s="84" t="n">
        <v>0</v>
      </c>
      <c r="AJ431" s="84">
        <f>SUMIFS(AH$8:AH$1039,$O$8:$O$1039,O431,$AB$8:$AB$1039,AB431,$R$8:$R$1039,R431,$AA$8:$AA$1039,"&lt;="&amp;AA431)</f>
        <v/>
      </c>
      <c r="AK431" s="84">
        <f>C45</f>
        <v/>
      </c>
      <c r="AL431" s="84">
        <f>C51</f>
        <v/>
      </c>
      <c r="AM431" s="84">
        <f>MAX(0,AJ431-AK431)</f>
        <v/>
      </c>
      <c r="AN431" s="84">
        <f>IF(AM431=0,AH431,IF(AM431&gt;=AH431,0,AH431-AM431))</f>
        <v/>
      </c>
      <c r="AO431" s="84">
        <f>IF(AM431&gt;=AH431,AI431,AI431*AM431/AH431)</f>
        <v/>
      </c>
      <c r="AP431">
        <f t="array" ref="AP431">INDEX($AU$8:$BB$25,6*(R431-1)+MATCH(AB431,$AS$8:$AS$13,0),MATCH(O431,$AU$7:$BB$7,0))</f>
        <v/>
      </c>
    </row>
    <row r="432" ht="14.25" customHeight="1">
      <c r="O432" s="43" t="inlineStr">
        <is>
          <t>Q4’26</t>
        </is>
      </c>
      <c r="P432" s="43" t="n">
        <v>2</v>
      </c>
      <c r="Q432" s="43" t="n">
        <v>2</v>
      </c>
      <c r="R432" s="43" t="n">
        <v>2</v>
      </c>
      <c r="S432" s="45" t="n">
        <v>420</v>
      </c>
      <c r="T432">
        <f>(S431+S432+S433)=Q3</f>
        <v/>
      </c>
      <c r="X432" s="84">
        <f>MAX(S429-S432,0)</f>
        <v/>
      </c>
      <c r="Y432" s="83" t="n">
        <v>0</v>
      </c>
      <c r="AA432" s="84" t="n">
        <v>1</v>
      </c>
      <c r="AB432" s="84" t="inlineStr">
        <is>
          <t>B</t>
        </is>
      </c>
      <c r="AC432" s="84" t="inlineStr">
        <is>
          <t>B+</t>
        </is>
      </c>
      <c r="AD432" s="84" t="n">
        <v>20</v>
      </c>
      <c r="AE432" s="84" t="n">
        <v>18</v>
      </c>
      <c r="AF432" s="84" t="n">
        <v>0.76</v>
      </c>
      <c r="AG432" s="84" t="n">
        <v>0.8100000000000001</v>
      </c>
      <c r="AH432" s="84" t="n">
        <v>0</v>
      </c>
      <c r="AI432" s="84" t="n">
        <v>0</v>
      </c>
      <c r="AJ432" s="84">
        <f>SUMIFS(AH$8:AH$1039,$O$8:$O$1039,O432,$AB$8:$AB$1039,AB432,$R$8:$R$1039,R432,$AA$8:$AA$1039,"&lt;="&amp;AA432)</f>
        <v/>
      </c>
      <c r="AK432" s="84">
        <f>D45</f>
        <v/>
      </c>
      <c r="AL432" s="84">
        <f>D51</f>
        <v/>
      </c>
      <c r="AM432" s="84">
        <f>MAX(0,AJ432-AK432)</f>
        <v/>
      </c>
      <c r="AN432" s="84">
        <f>IF(AM432=0,AH432,IF(AM432&gt;=AH432,0,AH432-AM432))</f>
        <v/>
      </c>
      <c r="AO432" s="84">
        <f>IF(AM432&gt;=AH432,AI432,AI432*AM432/AH432)</f>
        <v/>
      </c>
      <c r="AP432">
        <f t="array" ref="AP432">INDEX($AU$8:$BB$25,6*(R432-1)+MATCH(AB432,$AS$8:$AS$13,0),MATCH(O432,$AU$7:$BB$7,0))</f>
        <v/>
      </c>
    </row>
    <row r="433" ht="14.25" customHeight="1">
      <c r="O433" s="43" t="inlineStr">
        <is>
          <t>Q4’26</t>
        </is>
      </c>
      <c r="P433" s="43" t="n">
        <v>2</v>
      </c>
      <c r="Q433" s="43" t="n">
        <v>2</v>
      </c>
      <c r="R433" s="43" t="n">
        <v>3</v>
      </c>
      <c r="S433" s="45" t="n">
        <v>0</v>
      </c>
      <c r="T433">
        <f>(S431+S432+S433)=Q3</f>
        <v/>
      </c>
      <c r="X433" s="84">
        <f>MAX(S430-S433,0)</f>
        <v/>
      </c>
      <c r="Y433" s="83" t="n">
        <v>0</v>
      </c>
      <c r="AA433" s="84" t="n">
        <v>1</v>
      </c>
      <c r="AB433" s="84" t="inlineStr">
        <is>
          <t>B</t>
        </is>
      </c>
      <c r="AC433" s="84" t="inlineStr">
        <is>
          <t>B+</t>
        </is>
      </c>
      <c r="AD433" s="84" t="n">
        <v>20</v>
      </c>
      <c r="AE433" s="84" t="n">
        <v>18</v>
      </c>
      <c r="AF433" s="84" t="n">
        <v>0.76</v>
      </c>
      <c r="AG433" s="84" t="n">
        <v>0.8100000000000001</v>
      </c>
      <c r="AH433" s="84" t="n">
        <v>0</v>
      </c>
      <c r="AI433" s="84" t="n">
        <v>0</v>
      </c>
      <c r="AJ433" s="84">
        <f>SUMIFS(AH$8:AH$1039,$O$8:$O$1039,O433,$AB$8:$AB$1039,AB433,$R$8:$R$1039,R433,$AA$8:$AA$1039,"&lt;="&amp;AA433)</f>
        <v/>
      </c>
      <c r="AK433" s="84">
        <f>E45</f>
        <v/>
      </c>
      <c r="AL433" s="84">
        <f>E51</f>
        <v/>
      </c>
      <c r="AM433" s="84">
        <f>MAX(0,AJ433-AK433)</f>
        <v/>
      </c>
      <c r="AN433" s="84">
        <f>IF(AM433=0,AH433,IF(AM433&gt;=AH433,0,AH433-AM433))</f>
        <v/>
      </c>
      <c r="AO433" s="84">
        <f>IF(AM433&gt;=AH433,AI433,AI433*AM433/AH433)</f>
        <v/>
      </c>
      <c r="AP433">
        <f t="array" ref="AP433">INDEX($AU$8:$BB$25,6*(R433-1)+MATCH(AB433,$AS$8:$AS$13,0),MATCH(O433,$AU$7:$BB$7,0))</f>
        <v/>
      </c>
    </row>
    <row r="434" ht="14.25" customHeight="1">
      <c r="O434" s="43" t="inlineStr">
        <is>
          <t>Q4’26</t>
        </is>
      </c>
      <c r="P434" s="43" t="n">
        <v>2</v>
      </c>
      <c r="Q434" s="43" t="n">
        <v>3</v>
      </c>
      <c r="R434" s="43" t="n">
        <v>1</v>
      </c>
      <c r="S434" s="45" t="n">
        <v>5180</v>
      </c>
      <c r="T434">
        <f>(S434+S435+S436)=Q3</f>
        <v/>
      </c>
      <c r="X434" s="84">
        <f>MAX(S431-S434,0)</f>
        <v/>
      </c>
      <c r="Y434" s="83" t="n">
        <v>0</v>
      </c>
      <c r="AA434" s="84" t="n">
        <v>11</v>
      </c>
      <c r="AB434" s="84" t="inlineStr">
        <is>
          <t>E</t>
        </is>
      </c>
      <c r="AC434" s="84" t="inlineStr">
        <is>
          <t>E+</t>
        </is>
      </c>
      <c r="AD434" s="84" t="n">
        <v>10</v>
      </c>
      <c r="AE434" s="84" t="n">
        <v>7</v>
      </c>
      <c r="AF434" s="84" t="n">
        <v>0.76</v>
      </c>
      <c r="AG434" s="84" t="n">
        <v>0.84</v>
      </c>
      <c r="AH434" s="84" t="n">
        <v>0</v>
      </c>
      <c r="AI434" s="84" t="n">
        <v>0</v>
      </c>
      <c r="AJ434" s="84">
        <f>SUMIFS(AH$8:AH$1039,$O$8:$O$1039,O434,$AB$8:$AB$1039,AB434,$R$8:$R$1039,R434,$AA$8:$AA$1039,"&lt;="&amp;AA434)</f>
        <v/>
      </c>
      <c r="AK434" s="84">
        <f>C48</f>
        <v/>
      </c>
      <c r="AL434" s="84">
        <f>C54</f>
        <v/>
      </c>
      <c r="AM434" s="84">
        <f>MAX(0,AJ434-AK434)</f>
        <v/>
      </c>
      <c r="AN434" s="84">
        <f>IF(AM434=0,AH434,IF(AM434&gt;=AH434,0,AH434-AM434))</f>
        <v/>
      </c>
      <c r="AO434" s="84">
        <f>IF(AM434&gt;=AH434,AI434,AI434*AM434/AH434)</f>
        <v/>
      </c>
      <c r="AP434">
        <f t="array" ref="AP434">INDEX($AU$8:$BB$25,6*(R434-1)+MATCH(AB434,$AS$8:$AS$13,0),MATCH(O434,$AU$7:$BB$7,0))</f>
        <v/>
      </c>
    </row>
    <row r="435" ht="14.25" customHeight="1">
      <c r="O435" s="43" t="inlineStr">
        <is>
          <t>Q4’26</t>
        </is>
      </c>
      <c r="P435" s="43" t="n">
        <v>2</v>
      </c>
      <c r="Q435" s="43" t="n">
        <v>3</v>
      </c>
      <c r="R435" s="43" t="n">
        <v>2</v>
      </c>
      <c r="S435" s="45" t="n">
        <v>420</v>
      </c>
      <c r="T435">
        <f>(S434+S435+S436)=Q3</f>
        <v/>
      </c>
      <c r="X435" s="84">
        <f>MAX(S432-S435,0)</f>
        <v/>
      </c>
      <c r="Y435" s="83" t="n">
        <v>0</v>
      </c>
      <c r="AA435" s="84" t="n">
        <v>11</v>
      </c>
      <c r="AB435" s="84" t="inlineStr">
        <is>
          <t>E</t>
        </is>
      </c>
      <c r="AC435" s="84" t="inlineStr">
        <is>
          <t>E+</t>
        </is>
      </c>
      <c r="AD435" s="84" t="n">
        <v>10</v>
      </c>
      <c r="AE435" s="84" t="n">
        <v>7</v>
      </c>
      <c r="AF435" s="84" t="n">
        <v>0.76</v>
      </c>
      <c r="AG435" s="84" t="n">
        <v>0.84</v>
      </c>
      <c r="AH435" s="84" t="n">
        <v>0</v>
      </c>
      <c r="AI435" s="84" t="n">
        <v>0</v>
      </c>
      <c r="AJ435" s="84">
        <f>SUMIFS(AH$8:AH$1039,$O$8:$O$1039,O435,$AB$8:$AB$1039,AB435,$R$8:$R$1039,R435,$AA$8:$AA$1039,"&lt;="&amp;AA435)</f>
        <v/>
      </c>
      <c r="AK435" s="84">
        <f>D48</f>
        <v/>
      </c>
      <c r="AL435" s="84">
        <f>D54</f>
        <v/>
      </c>
      <c r="AM435" s="84">
        <f>MAX(0,AJ435-AK435)</f>
        <v/>
      </c>
      <c r="AN435" s="84">
        <f>IF(AM435=0,AH435,IF(AM435&gt;=AH435,0,AH435-AM435))</f>
        <v/>
      </c>
      <c r="AO435" s="84">
        <f>IF(AM435&gt;=AH435,AI435,AI435*AM435/AH435)</f>
        <v/>
      </c>
      <c r="AP435">
        <f t="array" ref="AP435">INDEX($AU$8:$BB$25,6*(R435-1)+MATCH(AB435,$AS$8:$AS$13,0),MATCH(O435,$AU$7:$BB$7,0))</f>
        <v/>
      </c>
    </row>
    <row r="436" ht="14.25" customHeight="1">
      <c r="O436" s="43" t="inlineStr">
        <is>
          <t>Q4’26</t>
        </is>
      </c>
      <c r="P436" s="43" t="n">
        <v>2</v>
      </c>
      <c r="Q436" s="43" t="n">
        <v>3</v>
      </c>
      <c r="R436" s="43" t="n">
        <v>3</v>
      </c>
      <c r="S436" s="45" t="n">
        <v>0</v>
      </c>
      <c r="T436">
        <f>(S434+S435+S436)=Q3</f>
        <v/>
      </c>
      <c r="X436" s="84">
        <f>MAX(S433-S436,0)</f>
        <v/>
      </c>
      <c r="Y436" s="83" t="n">
        <v>0</v>
      </c>
      <c r="AA436" s="84" t="n">
        <v>11</v>
      </c>
      <c r="AB436" s="84" t="inlineStr">
        <is>
          <t>E</t>
        </is>
      </c>
      <c r="AC436" s="84" t="inlineStr">
        <is>
          <t>E+</t>
        </is>
      </c>
      <c r="AD436" s="84" t="n">
        <v>10</v>
      </c>
      <c r="AE436" s="84" t="n">
        <v>7</v>
      </c>
      <c r="AF436" s="84" t="n">
        <v>0.76</v>
      </c>
      <c r="AG436" s="84" t="n">
        <v>0.84</v>
      </c>
      <c r="AH436" s="84" t="n">
        <v>0</v>
      </c>
      <c r="AI436" s="84" t="n">
        <v>0</v>
      </c>
      <c r="AJ436" s="84">
        <f>SUMIFS(AH$8:AH$1039,$O$8:$O$1039,O436,$AB$8:$AB$1039,AB436,$R$8:$R$1039,R436,$AA$8:$AA$1039,"&lt;="&amp;AA436)</f>
        <v/>
      </c>
      <c r="AK436" s="84">
        <f>E48</f>
        <v/>
      </c>
      <c r="AL436" s="84">
        <f>E54</f>
        <v/>
      </c>
      <c r="AM436" s="84">
        <f>MAX(0,AJ436-AK436)</f>
        <v/>
      </c>
      <c r="AN436" s="84">
        <f>IF(AM436=0,AH436,IF(AM436&gt;=AH436,0,AH436-AM436))</f>
        <v/>
      </c>
      <c r="AO436" s="84">
        <f>IF(AM436&gt;=AH436,AI436,AI436*AM436/AH436)</f>
        <v/>
      </c>
      <c r="AP436">
        <f t="array" ref="AP436">INDEX($AU$8:$BB$25,6*(R436-1)+MATCH(AB436,$AS$8:$AS$13,0),MATCH(O436,$AU$7:$BB$7,0))</f>
        <v/>
      </c>
    </row>
    <row r="437" ht="14.25" customHeight="1">
      <c r="O437" s="43" t="inlineStr">
        <is>
          <t>Q4’26</t>
        </is>
      </c>
      <c r="P437" s="43" t="n">
        <v>2</v>
      </c>
      <c r="Q437" s="43" t="n">
        <v>4</v>
      </c>
      <c r="R437" s="43" t="n">
        <v>1</v>
      </c>
      <c r="S437" s="45" t="n">
        <v>5180</v>
      </c>
      <c r="T437">
        <f>(S437+S438+S439)=Q3</f>
        <v/>
      </c>
      <c r="X437" s="84">
        <f>MAX(S434-S437,0)</f>
        <v/>
      </c>
      <c r="Y437" s="83" t="n">
        <v>0</v>
      </c>
      <c r="AA437" s="84" t="n">
        <v>2</v>
      </c>
      <c r="AB437" s="84" t="inlineStr">
        <is>
          <t>B</t>
        </is>
      </c>
      <c r="AC437" s="84" t="inlineStr">
        <is>
          <t>B+</t>
        </is>
      </c>
      <c r="AD437" s="84" t="n">
        <v>25</v>
      </c>
      <c r="AE437" s="84" t="n">
        <v>19</v>
      </c>
      <c r="AF437" s="84" t="n">
        <v>0.76</v>
      </c>
      <c r="AG437" s="84" t="n">
        <v>0.8100000000000001</v>
      </c>
      <c r="AH437" s="84" t="n">
        <v>0</v>
      </c>
      <c r="AI437" s="84" t="n">
        <v>0</v>
      </c>
      <c r="AJ437" s="84">
        <f>SUMIFS(AH$8:AH$1039,$O$8:$O$1039,O437,$AB$8:$AB$1039,AB437,$R$8:$R$1039,R437,$AA$8:$AA$1039,"&lt;="&amp;AA437)</f>
        <v/>
      </c>
      <c r="AK437" s="84">
        <f>C45</f>
        <v/>
      </c>
      <c r="AL437" s="84">
        <f>C51</f>
        <v/>
      </c>
      <c r="AM437" s="84">
        <f>MAX(0,AJ437-AK437)</f>
        <v/>
      </c>
      <c r="AN437" s="84">
        <f>IF(AM437=0,AH437,IF(AM437&gt;=AH437,0,AH437-AM437))</f>
        <v/>
      </c>
      <c r="AO437" s="84">
        <f>IF(AM437&gt;=AH437,AI437,AI437*AM437/AH437)</f>
        <v/>
      </c>
      <c r="AP437">
        <f t="array" ref="AP437">INDEX($AU$8:$BB$25,6*(R437-1)+MATCH(AB437,$AS$8:$AS$13,0),MATCH(O437,$AU$7:$BB$7,0))</f>
        <v/>
      </c>
    </row>
    <row r="438" ht="14.25" customHeight="1">
      <c r="O438" s="43" t="inlineStr">
        <is>
          <t>Q4’26</t>
        </is>
      </c>
      <c r="P438" s="43" t="n">
        <v>2</v>
      </c>
      <c r="Q438" s="43" t="n">
        <v>4</v>
      </c>
      <c r="R438" s="43" t="n">
        <v>2</v>
      </c>
      <c r="S438" s="45" t="n">
        <v>420</v>
      </c>
      <c r="T438">
        <f>(S437+S438+S439)=Q3</f>
        <v/>
      </c>
      <c r="X438" s="84">
        <f>MAX(S435-S438,0)</f>
        <v/>
      </c>
      <c r="Y438" s="83" t="n">
        <v>0</v>
      </c>
      <c r="AA438" s="84" t="n">
        <v>2</v>
      </c>
      <c r="AB438" s="84" t="inlineStr">
        <is>
          <t>B</t>
        </is>
      </c>
      <c r="AC438" s="84" t="inlineStr">
        <is>
          <t>B+</t>
        </is>
      </c>
      <c r="AD438" s="84" t="n">
        <v>25</v>
      </c>
      <c r="AE438" s="84" t="n">
        <v>19</v>
      </c>
      <c r="AF438" s="84" t="n">
        <v>0.76</v>
      </c>
      <c r="AG438" s="84" t="n">
        <v>0.8100000000000001</v>
      </c>
      <c r="AH438" s="84" t="n">
        <v>0</v>
      </c>
      <c r="AI438" s="84" t="n">
        <v>0</v>
      </c>
      <c r="AJ438" s="84">
        <f>SUMIFS(AH$8:AH$1039,$O$8:$O$1039,O438,$AB$8:$AB$1039,AB438,$R$8:$R$1039,R438,$AA$8:$AA$1039,"&lt;="&amp;AA438)</f>
        <v/>
      </c>
      <c r="AK438" s="84">
        <f>D45</f>
        <v/>
      </c>
      <c r="AL438" s="84">
        <f>D51</f>
        <v/>
      </c>
      <c r="AM438" s="84">
        <f>MAX(0,AJ438-AK438)</f>
        <v/>
      </c>
      <c r="AN438" s="84">
        <f>IF(AM438=0,AH438,IF(AM438&gt;=AH438,0,AH438-AM438))</f>
        <v/>
      </c>
      <c r="AO438" s="84">
        <f>IF(AM438&gt;=AH438,AI438,AI438*AM438/AH438)</f>
        <v/>
      </c>
      <c r="AP438">
        <f t="array" ref="AP438">INDEX($AU$8:$BB$25,6*(R438-1)+MATCH(AB438,$AS$8:$AS$13,0),MATCH(O438,$AU$7:$BB$7,0))</f>
        <v/>
      </c>
    </row>
    <row r="439" ht="14.25" customHeight="1">
      <c r="O439" s="43" t="inlineStr">
        <is>
          <t>Q4’26</t>
        </is>
      </c>
      <c r="P439" s="43" t="n">
        <v>2</v>
      </c>
      <c r="Q439" s="43" t="n">
        <v>4</v>
      </c>
      <c r="R439" s="43" t="n">
        <v>3</v>
      </c>
      <c r="S439" s="45" t="n">
        <v>0</v>
      </c>
      <c r="T439">
        <f>(S437+S438+S439)=Q3</f>
        <v/>
      </c>
      <c r="X439" s="84">
        <f>MAX(S436-S439,0)</f>
        <v/>
      </c>
      <c r="Y439" s="83" t="n">
        <v>0</v>
      </c>
      <c r="AA439" s="84" t="n">
        <v>2</v>
      </c>
      <c r="AB439" s="84" t="inlineStr">
        <is>
          <t>B</t>
        </is>
      </c>
      <c r="AC439" s="84" t="inlineStr">
        <is>
          <t>B+</t>
        </is>
      </c>
      <c r="AD439" s="84" t="n">
        <v>25</v>
      </c>
      <c r="AE439" s="84" t="n">
        <v>19</v>
      </c>
      <c r="AF439" s="84" t="n">
        <v>0.76</v>
      </c>
      <c r="AG439" s="84" t="n">
        <v>0.8100000000000001</v>
      </c>
      <c r="AH439" s="84" t="n">
        <v>0</v>
      </c>
      <c r="AI439" s="84" t="n">
        <v>0</v>
      </c>
      <c r="AJ439" s="84">
        <f>SUMIFS(AH$8:AH$1039,$O$8:$O$1039,O439,$AB$8:$AB$1039,AB439,$R$8:$R$1039,R439,$AA$8:$AA$1039,"&lt;="&amp;AA439)</f>
        <v/>
      </c>
      <c r="AK439" s="84">
        <f>E45</f>
        <v/>
      </c>
      <c r="AL439" s="84">
        <f>E51</f>
        <v/>
      </c>
      <c r="AM439" s="84">
        <f>MAX(0,AJ439-AK439)</f>
        <v/>
      </c>
      <c r="AN439" s="84">
        <f>IF(AM439=0,AH439,IF(AM439&gt;=AH439,0,AH439-AM439))</f>
        <v/>
      </c>
      <c r="AO439" s="84">
        <f>IF(AM439&gt;=AH439,AI439,AI439*AM439/AH439)</f>
        <v/>
      </c>
      <c r="AP439">
        <f t="array" ref="AP439">INDEX($AU$8:$BB$25,6*(R439-1)+MATCH(AB439,$AS$8:$AS$13,0),MATCH(O439,$AU$7:$BB$7,0))</f>
        <v/>
      </c>
    </row>
    <row r="440" ht="14.25" customHeight="1">
      <c r="O440" s="43" t="inlineStr">
        <is>
          <t>Q4’26</t>
        </is>
      </c>
      <c r="P440" s="43" t="n">
        <v>2</v>
      </c>
      <c r="Q440" s="43" t="n">
        <v>5</v>
      </c>
      <c r="R440" s="43" t="n">
        <v>1</v>
      </c>
      <c r="S440" s="45" t="n">
        <v>5180</v>
      </c>
      <c r="T440">
        <f>(S440+S441+S442)=Q3</f>
        <v/>
      </c>
      <c r="X440" s="84">
        <f>MAX(S437-S440,0)</f>
        <v/>
      </c>
      <c r="Y440" s="83" t="n">
        <v>0</v>
      </c>
      <c r="AA440" s="84" t="n">
        <v>3</v>
      </c>
      <c r="AB440" s="84" t="inlineStr">
        <is>
          <t>B</t>
        </is>
      </c>
      <c r="AC440" s="84" t="inlineStr">
        <is>
          <t>B+</t>
        </is>
      </c>
      <c r="AD440" s="84" t="n">
        <v>15</v>
      </c>
      <c r="AE440" s="84" t="n">
        <v>11</v>
      </c>
      <c r="AF440" s="84" t="n">
        <v>0.76</v>
      </c>
      <c r="AG440" s="84" t="n">
        <v>0.8100000000000001</v>
      </c>
      <c r="AH440" s="84" t="n">
        <v>0</v>
      </c>
      <c r="AI440" s="84" t="n">
        <v>0</v>
      </c>
      <c r="AJ440" s="84">
        <f>SUMIFS(AH$8:AH$1039,$O$8:$O$1039,O440,$AB$8:$AB$1039,AB440,$R$8:$R$1039,R440,$AA$8:$AA$1039,"&lt;="&amp;AA440)</f>
        <v/>
      </c>
      <c r="AK440" s="84">
        <f>C45</f>
        <v/>
      </c>
      <c r="AL440" s="84">
        <f>C51</f>
        <v/>
      </c>
      <c r="AM440" s="84">
        <f>MAX(0,AJ440-AK440)</f>
        <v/>
      </c>
      <c r="AN440" s="84">
        <f>IF(AM440=0,AH440,IF(AM440&gt;=AH440,0,AH440-AM440))</f>
        <v/>
      </c>
      <c r="AO440" s="84">
        <f>IF(AM440&gt;=AH440,AI440,AI440*AM440/AH440)</f>
        <v/>
      </c>
      <c r="AP440">
        <f t="array" ref="AP440">INDEX($AU$8:$BB$25,6*(R440-1)+MATCH(AB440,$AS$8:$AS$13,0),MATCH(O440,$AU$7:$BB$7,0))</f>
        <v/>
      </c>
    </row>
    <row r="441" ht="14.25" customHeight="1">
      <c r="O441" s="43" t="inlineStr">
        <is>
          <t>Q4’26</t>
        </is>
      </c>
      <c r="P441" s="43" t="n">
        <v>2</v>
      </c>
      <c r="Q441" s="43" t="n">
        <v>5</v>
      </c>
      <c r="R441" s="43" t="n">
        <v>2</v>
      </c>
      <c r="S441" s="45" t="n">
        <v>420</v>
      </c>
      <c r="T441">
        <f>(S440+S441+S442)=Q3</f>
        <v/>
      </c>
      <c r="X441" s="84">
        <f>MAX(S438-S441,0)</f>
        <v/>
      </c>
      <c r="Y441" s="83" t="n">
        <v>0</v>
      </c>
      <c r="AA441" s="84" t="n">
        <v>3</v>
      </c>
      <c r="AB441" s="84" t="inlineStr">
        <is>
          <t>B</t>
        </is>
      </c>
      <c r="AC441" s="84" t="inlineStr">
        <is>
          <t>B+</t>
        </is>
      </c>
      <c r="AD441" s="84" t="n">
        <v>15</v>
      </c>
      <c r="AE441" s="84" t="n">
        <v>11</v>
      </c>
      <c r="AF441" s="84" t="n">
        <v>0.76</v>
      </c>
      <c r="AG441" s="84" t="n">
        <v>0.8100000000000001</v>
      </c>
      <c r="AH441" s="84" t="n">
        <v>0</v>
      </c>
      <c r="AI441" s="84" t="n">
        <v>0</v>
      </c>
      <c r="AJ441" s="84">
        <f>SUMIFS(AH$8:AH$1039,$O$8:$O$1039,O441,$AB$8:$AB$1039,AB441,$R$8:$R$1039,R441,$AA$8:$AA$1039,"&lt;="&amp;AA441)</f>
        <v/>
      </c>
      <c r="AK441" s="84">
        <f>D45</f>
        <v/>
      </c>
      <c r="AL441" s="84">
        <f>D51</f>
        <v/>
      </c>
      <c r="AM441" s="84">
        <f>MAX(0,AJ441-AK441)</f>
        <v/>
      </c>
      <c r="AN441" s="84">
        <f>IF(AM441=0,AH441,IF(AM441&gt;=AH441,0,AH441-AM441))</f>
        <v/>
      </c>
      <c r="AO441" s="84">
        <f>IF(AM441&gt;=AH441,AI441,AI441*AM441/AH441)</f>
        <v/>
      </c>
      <c r="AP441">
        <f t="array" ref="AP441">INDEX($AU$8:$BB$25,6*(R441-1)+MATCH(AB441,$AS$8:$AS$13,0),MATCH(O441,$AU$7:$BB$7,0))</f>
        <v/>
      </c>
    </row>
    <row r="442" ht="14.25" customHeight="1">
      <c r="O442" s="43" t="inlineStr">
        <is>
          <t>Q4’26</t>
        </is>
      </c>
      <c r="P442" s="43" t="n">
        <v>2</v>
      </c>
      <c r="Q442" s="43" t="n">
        <v>5</v>
      </c>
      <c r="R442" s="43" t="n">
        <v>3</v>
      </c>
      <c r="S442" s="45" t="n">
        <v>0</v>
      </c>
      <c r="T442">
        <f>(S440+S441+S442)=Q3</f>
        <v/>
      </c>
      <c r="X442" s="84">
        <f>MAX(S439-S442,0)</f>
        <v/>
      </c>
      <c r="Y442" s="83" t="n">
        <v>0</v>
      </c>
      <c r="AA442" s="84" t="n">
        <v>3</v>
      </c>
      <c r="AB442" s="84" t="inlineStr">
        <is>
          <t>B</t>
        </is>
      </c>
      <c r="AC442" s="84" t="inlineStr">
        <is>
          <t>B+</t>
        </is>
      </c>
      <c r="AD442" s="84" t="n">
        <v>15</v>
      </c>
      <c r="AE442" s="84" t="n">
        <v>11</v>
      </c>
      <c r="AF442" s="84" t="n">
        <v>0.76</v>
      </c>
      <c r="AG442" s="84" t="n">
        <v>0.8100000000000001</v>
      </c>
      <c r="AH442" s="84" t="n">
        <v>0</v>
      </c>
      <c r="AI442" s="84" t="n">
        <v>0</v>
      </c>
      <c r="AJ442" s="84">
        <f>SUMIFS(AH$8:AH$1039,$O$8:$O$1039,O442,$AB$8:$AB$1039,AB442,$R$8:$R$1039,R442,$AA$8:$AA$1039,"&lt;="&amp;AA442)</f>
        <v/>
      </c>
      <c r="AK442" s="84">
        <f>E45</f>
        <v/>
      </c>
      <c r="AL442" s="84">
        <f>E51</f>
        <v/>
      </c>
      <c r="AM442" s="84">
        <f>MAX(0,AJ442-AK442)</f>
        <v/>
      </c>
      <c r="AN442" s="84">
        <f>IF(AM442=0,AH442,IF(AM442&gt;=AH442,0,AH442-AM442))</f>
        <v/>
      </c>
      <c r="AO442" s="84">
        <f>IF(AM442&gt;=AH442,AI442,AI442*AM442/AH442)</f>
        <v/>
      </c>
      <c r="AP442">
        <f t="array" ref="AP442">INDEX($AU$8:$BB$25,6*(R442-1)+MATCH(AB442,$AS$8:$AS$13,0),MATCH(O442,$AU$7:$BB$7,0))</f>
        <v/>
      </c>
    </row>
    <row r="443" ht="14.25" customHeight="1">
      <c r="O443" s="43" t="inlineStr">
        <is>
          <t>Q4’26</t>
        </is>
      </c>
      <c r="P443" s="43" t="n">
        <v>2</v>
      </c>
      <c r="Q443" s="43" t="n">
        <v>6</v>
      </c>
      <c r="R443" s="43" t="n">
        <v>1</v>
      </c>
      <c r="S443" s="45" t="n">
        <v>5180</v>
      </c>
      <c r="T443">
        <f>(S443+S444+S445)=Q3</f>
        <v/>
      </c>
      <c r="X443" s="84">
        <f>MAX(S440-S443,0)</f>
        <v/>
      </c>
      <c r="Y443" s="83" t="n">
        <v>0</v>
      </c>
      <c r="AA443" s="84" t="n">
        <v>5</v>
      </c>
      <c r="AB443" s="84" t="inlineStr">
        <is>
          <t>F</t>
        </is>
      </c>
      <c r="AC443" s="84" t="inlineStr">
        <is>
          <t>F+</t>
        </is>
      </c>
      <c r="AD443" s="84" t="n">
        <v>16</v>
      </c>
      <c r="AE443" s="84" t="n">
        <v>14</v>
      </c>
      <c r="AF443" s="84" t="n">
        <v>0.8</v>
      </c>
      <c r="AG443" s="84" t="n">
        <v>0.9</v>
      </c>
      <c r="AH443" s="84" t="n">
        <v>0</v>
      </c>
      <c r="AI443" s="84" t="n">
        <v>0</v>
      </c>
      <c r="AJ443" s="84">
        <f>SUMIFS(AH$8:AH$1039,$O$8:$O$1039,O443,$AB$8:$AB$1039,AB443,$R$8:$R$1039,R443,$AA$8:$AA$1039,"&lt;="&amp;AA443)</f>
        <v/>
      </c>
      <c r="AK443" s="84">
        <f>C49</f>
        <v/>
      </c>
      <c r="AL443" s="84">
        <f>C55</f>
        <v/>
      </c>
      <c r="AM443" s="84">
        <f>MAX(0,AJ443-AK443)</f>
        <v/>
      </c>
      <c r="AN443" s="84">
        <f>IF(AM443=0,AH443,IF(AM443&gt;=AH443,0,AH443-AM443))</f>
        <v/>
      </c>
      <c r="AO443" s="84">
        <f>IF(AM443&gt;=AH443,AI443,AI443*AM443/AH443)</f>
        <v/>
      </c>
      <c r="AP443">
        <f t="array" ref="AP443">INDEX($AU$8:$BB$25,6*(R443-1)+MATCH(AB443,$AS$8:$AS$13,0),MATCH(O443,$AU$7:$BB$7,0))</f>
        <v/>
      </c>
    </row>
    <row r="444" ht="14.25" customHeight="1">
      <c r="O444" s="43" t="inlineStr">
        <is>
          <t>Q4’26</t>
        </is>
      </c>
      <c r="P444" s="43" t="n">
        <v>2</v>
      </c>
      <c r="Q444" s="43" t="n">
        <v>6</v>
      </c>
      <c r="R444" s="43" t="n">
        <v>2</v>
      </c>
      <c r="S444" s="45" t="n">
        <v>420</v>
      </c>
      <c r="T444">
        <f>(S443+S444+S445)=Q3</f>
        <v/>
      </c>
      <c r="X444" s="84">
        <f>MAX(S441-S444,0)</f>
        <v/>
      </c>
      <c r="Y444" s="83" t="n">
        <v>0</v>
      </c>
      <c r="AA444" s="84" t="n">
        <v>5</v>
      </c>
      <c r="AB444" s="84" t="inlineStr">
        <is>
          <t>F</t>
        </is>
      </c>
      <c r="AC444" s="84" t="inlineStr">
        <is>
          <t>F+</t>
        </is>
      </c>
      <c r="AD444" s="84" t="n">
        <v>16</v>
      </c>
      <c r="AE444" s="84" t="n">
        <v>14</v>
      </c>
      <c r="AF444" s="84" t="n">
        <v>0.8</v>
      </c>
      <c r="AG444" s="84" t="n">
        <v>0.9</v>
      </c>
      <c r="AH444" s="84" t="n">
        <v>0</v>
      </c>
      <c r="AI444" s="84" t="n">
        <v>0</v>
      </c>
      <c r="AJ444" s="84">
        <f>SUMIFS(AH$8:AH$1039,$O$8:$O$1039,O444,$AB$8:$AB$1039,AB444,$R$8:$R$1039,R444,$AA$8:$AA$1039,"&lt;="&amp;AA444)</f>
        <v/>
      </c>
      <c r="AK444" s="84">
        <f>D49</f>
        <v/>
      </c>
      <c r="AL444" s="84">
        <f>D55</f>
        <v/>
      </c>
      <c r="AM444" s="84">
        <f>MAX(0,AJ444-AK444)</f>
        <v/>
      </c>
      <c r="AN444" s="84">
        <f>IF(AM444=0,AH444,IF(AM444&gt;=AH444,0,AH444-AM444))</f>
        <v/>
      </c>
      <c r="AO444" s="84">
        <f>IF(AM444&gt;=AH444,AI444,AI444*AM444/AH444)</f>
        <v/>
      </c>
      <c r="AP444">
        <f t="array" ref="AP444">INDEX($AU$8:$BB$25,6*(R444-1)+MATCH(AB444,$AS$8:$AS$13,0),MATCH(O444,$AU$7:$BB$7,0))</f>
        <v/>
      </c>
    </row>
    <row r="445" ht="14.25" customHeight="1">
      <c r="O445" s="43" t="inlineStr">
        <is>
          <t>Q4’26</t>
        </is>
      </c>
      <c r="P445" s="43" t="n">
        <v>2</v>
      </c>
      <c r="Q445" s="43" t="n">
        <v>6</v>
      </c>
      <c r="R445" s="43" t="n">
        <v>3</v>
      </c>
      <c r="S445" s="45" t="n">
        <v>0</v>
      </c>
      <c r="T445">
        <f>(S443+S444+S445)=Q3</f>
        <v/>
      </c>
      <c r="X445" s="84">
        <f>MAX(S442-S445,0)</f>
        <v/>
      </c>
      <c r="Y445" s="83" t="n">
        <v>0</v>
      </c>
      <c r="AA445" s="84" t="n">
        <v>5</v>
      </c>
      <c r="AB445" s="84" t="inlineStr">
        <is>
          <t>F</t>
        </is>
      </c>
      <c r="AC445" s="84" t="inlineStr">
        <is>
          <t>F+</t>
        </is>
      </c>
      <c r="AD445" s="84" t="n">
        <v>16</v>
      </c>
      <c r="AE445" s="84" t="n">
        <v>14</v>
      </c>
      <c r="AF445" s="84" t="n">
        <v>0.8</v>
      </c>
      <c r="AG445" s="84" t="n">
        <v>0.9</v>
      </c>
      <c r="AH445" s="84" t="n">
        <v>0</v>
      </c>
      <c r="AI445" s="84" t="n">
        <v>0</v>
      </c>
      <c r="AJ445" s="84">
        <f>SUMIFS(AH$8:AH$1039,$O$8:$O$1039,O445,$AB$8:$AB$1039,AB445,$R$8:$R$1039,R445,$AA$8:$AA$1039,"&lt;="&amp;AA445)</f>
        <v/>
      </c>
      <c r="AK445" s="84">
        <f>E49</f>
        <v/>
      </c>
      <c r="AL445" s="84">
        <f>E55</f>
        <v/>
      </c>
      <c r="AM445" s="84">
        <f>MAX(0,AJ445-AK445)</f>
        <v/>
      </c>
      <c r="AN445" s="84">
        <f>IF(AM445=0,AH445,IF(AM445&gt;=AH445,0,AH445-AM445))</f>
        <v/>
      </c>
      <c r="AO445" s="84">
        <f>IF(AM445&gt;=AH445,AI445,AI445*AM445/AH445)</f>
        <v/>
      </c>
      <c r="AP445">
        <f t="array" ref="AP445">INDEX($AU$8:$BB$25,6*(R445-1)+MATCH(AB445,$AS$8:$AS$13,0),MATCH(O445,$AU$7:$BB$7,0))</f>
        <v/>
      </c>
    </row>
    <row r="446" ht="14.25" customHeight="1">
      <c r="O446" s="43" t="inlineStr">
        <is>
          <t>Q4’26</t>
        </is>
      </c>
      <c r="P446" s="43" t="n">
        <v>2</v>
      </c>
      <c r="Q446" s="43" t="n">
        <v>7</v>
      </c>
      <c r="R446" s="43" t="n">
        <v>1</v>
      </c>
      <c r="S446" s="45" t="n">
        <v>5180</v>
      </c>
      <c r="T446">
        <f>(S446+S447+S448)=Q3</f>
        <v/>
      </c>
      <c r="X446" s="84">
        <f>MAX(S443-S446,0)</f>
        <v/>
      </c>
      <c r="Y446" s="83" t="n">
        <v>0</v>
      </c>
      <c r="AA446" s="84" t="n">
        <v>4</v>
      </c>
      <c r="AB446" s="84" t="inlineStr">
        <is>
          <t>F</t>
        </is>
      </c>
      <c r="AC446" s="84" t="inlineStr">
        <is>
          <t>F+</t>
        </is>
      </c>
      <c r="AD446" s="84" t="n">
        <v>17</v>
      </c>
      <c r="AE446" s="84" t="n">
        <v>15</v>
      </c>
      <c r="AF446" s="84" t="n">
        <v>0.8</v>
      </c>
      <c r="AG446" s="84" t="n">
        <v>0.9</v>
      </c>
      <c r="AH446" s="84" t="n">
        <v>0</v>
      </c>
      <c r="AI446" s="84" t="n">
        <v>0</v>
      </c>
      <c r="AJ446" s="84">
        <f>SUMIFS(AH$8:AH$1039,$O$8:$O$1039,O446,$AB$8:$AB$1039,AB446,$R$8:$R$1039,R446,$AA$8:$AA$1039,"&lt;="&amp;AA446)</f>
        <v/>
      </c>
      <c r="AK446" s="84">
        <f>C49</f>
        <v/>
      </c>
      <c r="AL446" s="84">
        <f>C55</f>
        <v/>
      </c>
      <c r="AM446" s="84">
        <f>MAX(0,AJ446-AK446)</f>
        <v/>
      </c>
      <c r="AN446" s="84">
        <f>IF(AM446=0,AH446,IF(AM446&gt;=AH446,0,AH446-AM446))</f>
        <v/>
      </c>
      <c r="AO446" s="84">
        <f>IF(AM446&gt;=AH446,AI446,AI446*AM446/AH446)</f>
        <v/>
      </c>
      <c r="AP446">
        <f t="array" ref="AP446">INDEX($AU$8:$BB$25,6*(R446-1)+MATCH(AB446,$AS$8:$AS$13,0),MATCH(O446,$AU$7:$BB$7,0))</f>
        <v/>
      </c>
    </row>
    <row r="447" ht="14.25" customHeight="1">
      <c r="O447" s="43" t="inlineStr">
        <is>
          <t>Q4’26</t>
        </is>
      </c>
      <c r="P447" s="43" t="n">
        <v>2</v>
      </c>
      <c r="Q447" s="43" t="n">
        <v>7</v>
      </c>
      <c r="R447" s="43" t="n">
        <v>2</v>
      </c>
      <c r="S447" s="45" t="n">
        <v>420</v>
      </c>
      <c r="T447">
        <f>(S446+S447+S448)=Q3</f>
        <v/>
      </c>
      <c r="X447" s="84">
        <f>MAX(S444-S447,0)</f>
        <v/>
      </c>
      <c r="Y447" s="83" t="n">
        <v>0</v>
      </c>
      <c r="AA447" s="84" t="n">
        <v>4</v>
      </c>
      <c r="AB447" s="84" t="inlineStr">
        <is>
          <t>F</t>
        </is>
      </c>
      <c r="AC447" s="84" t="inlineStr">
        <is>
          <t>F+</t>
        </is>
      </c>
      <c r="AD447" s="84" t="n">
        <v>17</v>
      </c>
      <c r="AE447" s="84" t="n">
        <v>15</v>
      </c>
      <c r="AF447" s="84" t="n">
        <v>0.8</v>
      </c>
      <c r="AG447" s="84" t="n">
        <v>0.9</v>
      </c>
      <c r="AH447" s="84" t="n">
        <v>0</v>
      </c>
      <c r="AI447" s="84" t="n">
        <v>0</v>
      </c>
      <c r="AJ447" s="84">
        <f>SUMIFS(AH$8:AH$1039,$O$8:$O$1039,O447,$AB$8:$AB$1039,AB447,$R$8:$R$1039,R447,$AA$8:$AA$1039,"&lt;="&amp;AA447)</f>
        <v/>
      </c>
      <c r="AK447" s="84">
        <f>D49</f>
        <v/>
      </c>
      <c r="AL447" s="84">
        <f>D55</f>
        <v/>
      </c>
      <c r="AM447" s="84">
        <f>MAX(0,AJ447-AK447)</f>
        <v/>
      </c>
      <c r="AN447" s="84">
        <f>IF(AM447=0,AH447,IF(AM447&gt;=AH447,0,AH447-AM447))</f>
        <v/>
      </c>
      <c r="AO447" s="84">
        <f>IF(AM447&gt;=AH447,AI447,AI447*AM447/AH447)</f>
        <v/>
      </c>
      <c r="AP447">
        <f t="array" ref="AP447">INDEX($AU$8:$BB$25,6*(R447-1)+MATCH(AB447,$AS$8:$AS$13,0),MATCH(O447,$AU$7:$BB$7,0))</f>
        <v/>
      </c>
    </row>
    <row r="448" ht="14.25" customHeight="1">
      <c r="O448" s="43" t="inlineStr">
        <is>
          <t>Q4’26</t>
        </is>
      </c>
      <c r="P448" s="43" t="n">
        <v>2</v>
      </c>
      <c r="Q448" s="43" t="n">
        <v>7</v>
      </c>
      <c r="R448" s="43" t="n">
        <v>3</v>
      </c>
      <c r="S448" s="45" t="n">
        <v>0</v>
      </c>
      <c r="T448">
        <f>(S446+S447+S448)=Q3</f>
        <v/>
      </c>
      <c r="X448" s="84">
        <f>MAX(S445-S448,0)</f>
        <v/>
      </c>
      <c r="Y448" s="83" t="n">
        <v>0</v>
      </c>
      <c r="AA448" s="84" t="n">
        <v>4</v>
      </c>
      <c r="AB448" s="84" t="inlineStr">
        <is>
          <t>F</t>
        </is>
      </c>
      <c r="AC448" s="84" t="inlineStr">
        <is>
          <t>F+</t>
        </is>
      </c>
      <c r="AD448" s="84" t="n">
        <v>17</v>
      </c>
      <c r="AE448" s="84" t="n">
        <v>15</v>
      </c>
      <c r="AF448" s="84" t="n">
        <v>0.8</v>
      </c>
      <c r="AG448" s="84" t="n">
        <v>0.9</v>
      </c>
      <c r="AH448" s="84" t="n">
        <v>0</v>
      </c>
      <c r="AI448" s="84" t="n">
        <v>0</v>
      </c>
      <c r="AJ448" s="84">
        <f>SUMIFS(AH$8:AH$1039,$O$8:$O$1039,O448,$AB$8:$AB$1039,AB448,$R$8:$R$1039,R448,$AA$8:$AA$1039,"&lt;="&amp;AA448)</f>
        <v/>
      </c>
      <c r="AK448" s="84">
        <f>E49</f>
        <v/>
      </c>
      <c r="AL448" s="84">
        <f>E55</f>
        <v/>
      </c>
      <c r="AM448" s="84">
        <f>MAX(0,AJ448-AK448)</f>
        <v/>
      </c>
      <c r="AN448" s="84">
        <f>IF(AM448=0,AH448,IF(AM448&gt;=AH448,0,AH448-AM448))</f>
        <v/>
      </c>
      <c r="AO448" s="84">
        <f>IF(AM448&gt;=AH448,AI448,AI448*AM448/AH448)</f>
        <v/>
      </c>
      <c r="AP448">
        <f t="array" ref="AP448">INDEX($AU$8:$BB$25,6*(R448-1)+MATCH(AB448,$AS$8:$AS$13,0),MATCH(O448,$AU$7:$BB$7,0))</f>
        <v/>
      </c>
    </row>
    <row r="449" ht="14.25" customHeight="1">
      <c r="O449" s="43" t="inlineStr">
        <is>
          <t>Q4’26</t>
        </is>
      </c>
      <c r="P449" s="43" t="n">
        <v>2</v>
      </c>
      <c r="Q449" s="43" t="n">
        <v>8</v>
      </c>
      <c r="R449" s="43" t="n">
        <v>1</v>
      </c>
      <c r="S449" s="45" t="n">
        <v>5180</v>
      </c>
      <c r="T449">
        <f>(S449+S450+S451)=Q3</f>
        <v/>
      </c>
      <c r="X449" s="84">
        <f>MAX(S446-S449,0)</f>
        <v/>
      </c>
      <c r="Y449" s="83" t="n">
        <v>0</v>
      </c>
      <c r="AA449" s="84" t="n">
        <v>4</v>
      </c>
      <c r="AB449" s="84" t="inlineStr">
        <is>
          <t>B</t>
        </is>
      </c>
      <c r="AC449" s="84" t="inlineStr">
        <is>
          <t>B+</t>
        </is>
      </c>
      <c r="AD449" s="84" t="n">
        <v>22</v>
      </c>
      <c r="AE449" s="84" t="n">
        <v>16</v>
      </c>
      <c r="AF449" s="84" t="n">
        <v>0.76</v>
      </c>
      <c r="AG449" s="84" t="n">
        <v>0.8100000000000001</v>
      </c>
      <c r="AH449" s="84" t="n">
        <v>0</v>
      </c>
      <c r="AI449" s="84" t="n">
        <v>0</v>
      </c>
      <c r="AJ449" s="84">
        <f>SUMIFS(AH$8:AH$1039,$O$8:$O$1039,O449,$AB$8:$AB$1039,AB449,$R$8:$R$1039,R449,$AA$8:$AA$1039,"&lt;="&amp;AA449)</f>
        <v/>
      </c>
      <c r="AK449" s="84">
        <f>C45</f>
        <v/>
      </c>
      <c r="AL449" s="84">
        <f>C51</f>
        <v/>
      </c>
      <c r="AM449" s="84">
        <f>MAX(0,AJ449-AK449)</f>
        <v/>
      </c>
      <c r="AN449" s="84">
        <f>IF(AM449=0,AH449,IF(AM449&gt;=AH449,0,AH449-AM449))</f>
        <v/>
      </c>
      <c r="AO449" s="84">
        <f>IF(AM449&gt;=AH449,AI449,AI449*AM449/AH449)</f>
        <v/>
      </c>
      <c r="AP449">
        <f t="array" ref="AP449">INDEX($AU$8:$BB$25,6*(R449-1)+MATCH(AB449,$AS$8:$AS$13,0),MATCH(O449,$AU$7:$BB$7,0))</f>
        <v/>
      </c>
    </row>
    <row r="450" ht="14.25" customHeight="1">
      <c r="O450" s="43" t="inlineStr">
        <is>
          <t>Q4’26</t>
        </is>
      </c>
      <c r="P450" s="43" t="n">
        <v>2</v>
      </c>
      <c r="Q450" s="43" t="n">
        <v>8</v>
      </c>
      <c r="R450" s="43" t="n">
        <v>2</v>
      </c>
      <c r="S450" s="45" t="n">
        <v>420</v>
      </c>
      <c r="T450">
        <f>(S449+S450+S451)=Q3</f>
        <v/>
      </c>
      <c r="X450" s="84">
        <f>MAX(S447-S450,0)</f>
        <v/>
      </c>
      <c r="Y450" s="83" t="n">
        <v>0</v>
      </c>
      <c r="AA450" s="84" t="n">
        <v>4</v>
      </c>
      <c r="AB450" s="84" t="inlineStr">
        <is>
          <t>B</t>
        </is>
      </c>
      <c r="AC450" s="84" t="inlineStr">
        <is>
          <t>B+</t>
        </is>
      </c>
      <c r="AD450" s="84" t="n">
        <v>22</v>
      </c>
      <c r="AE450" s="84" t="n">
        <v>16</v>
      </c>
      <c r="AF450" s="84" t="n">
        <v>0.76</v>
      </c>
      <c r="AG450" s="84" t="n">
        <v>0.8100000000000001</v>
      </c>
      <c r="AH450" s="84" t="n">
        <v>0</v>
      </c>
      <c r="AI450" s="84" t="n">
        <v>0</v>
      </c>
      <c r="AJ450" s="84">
        <f>SUMIFS(AH$8:AH$1039,$O$8:$O$1039,O450,$AB$8:$AB$1039,AB450,$R$8:$R$1039,R450,$AA$8:$AA$1039,"&lt;="&amp;AA450)</f>
        <v/>
      </c>
      <c r="AK450" s="84">
        <f>D45</f>
        <v/>
      </c>
      <c r="AL450" s="84">
        <f>D51</f>
        <v/>
      </c>
      <c r="AM450" s="84">
        <f>MAX(0,AJ450-AK450)</f>
        <v/>
      </c>
      <c r="AN450" s="84">
        <f>IF(AM450=0,AH450,IF(AM450&gt;=AH450,0,AH450-AM450))</f>
        <v/>
      </c>
      <c r="AO450" s="84">
        <f>IF(AM450&gt;=AH450,AI450,AI450*AM450/AH450)</f>
        <v/>
      </c>
      <c r="AP450">
        <f t="array" ref="AP450">INDEX($AU$8:$BB$25,6*(R450-1)+MATCH(AB450,$AS$8:$AS$13,0),MATCH(O450,$AU$7:$BB$7,0))</f>
        <v/>
      </c>
    </row>
    <row r="451" ht="14.25" customHeight="1">
      <c r="O451" s="43" t="inlineStr">
        <is>
          <t>Q4’26</t>
        </is>
      </c>
      <c r="P451" s="43" t="n">
        <v>2</v>
      </c>
      <c r="Q451" s="43" t="n">
        <v>8</v>
      </c>
      <c r="R451" s="43" t="n">
        <v>3</v>
      </c>
      <c r="S451" s="45" t="n">
        <v>0</v>
      </c>
      <c r="T451">
        <f>(S449+S450+S451)=Q3</f>
        <v/>
      </c>
      <c r="X451" s="84">
        <f>MAX(S448-S451,0)</f>
        <v/>
      </c>
      <c r="Y451" s="83" t="n">
        <v>0</v>
      </c>
      <c r="AA451" s="84" t="n">
        <v>4</v>
      </c>
      <c r="AB451" s="84" t="inlineStr">
        <is>
          <t>B</t>
        </is>
      </c>
      <c r="AC451" s="84" t="inlineStr">
        <is>
          <t>B+</t>
        </is>
      </c>
      <c r="AD451" s="84" t="n">
        <v>22</v>
      </c>
      <c r="AE451" s="84" t="n">
        <v>16</v>
      </c>
      <c r="AF451" s="84" t="n">
        <v>0.76</v>
      </c>
      <c r="AG451" s="84" t="n">
        <v>0.8100000000000001</v>
      </c>
      <c r="AH451" s="84" t="n">
        <v>0</v>
      </c>
      <c r="AI451" s="84" t="n">
        <v>0</v>
      </c>
      <c r="AJ451" s="84">
        <f>SUMIFS(AH$8:AH$1039,$O$8:$O$1039,O451,$AB$8:$AB$1039,AB451,$R$8:$R$1039,R451,$AA$8:$AA$1039,"&lt;="&amp;AA451)</f>
        <v/>
      </c>
      <c r="AK451" s="84">
        <f>E45</f>
        <v/>
      </c>
      <c r="AL451" s="84">
        <f>E51</f>
        <v/>
      </c>
      <c r="AM451" s="84">
        <f>MAX(0,AJ451-AK451)</f>
        <v/>
      </c>
      <c r="AN451" s="84">
        <f>IF(AM451=0,AH451,IF(AM451&gt;=AH451,0,AH451-AM451))</f>
        <v/>
      </c>
      <c r="AO451" s="84">
        <f>IF(AM451&gt;=AH451,AI451,AI451*AM451/AH451)</f>
        <v/>
      </c>
      <c r="AP451">
        <f t="array" ref="AP451">INDEX($AU$8:$BB$25,6*(R451-1)+MATCH(AB451,$AS$8:$AS$13,0),MATCH(O451,$AU$7:$BB$7,0))</f>
        <v/>
      </c>
    </row>
    <row r="452" ht="14.25" customHeight="1">
      <c r="O452" s="43" t="inlineStr">
        <is>
          <t>Q4’26</t>
        </is>
      </c>
      <c r="P452" s="43" t="n">
        <v>2</v>
      </c>
      <c r="Q452" s="43" t="n">
        <v>9</v>
      </c>
      <c r="R452" s="43" t="n">
        <v>1</v>
      </c>
      <c r="S452" s="45" t="n">
        <v>5180</v>
      </c>
      <c r="T452">
        <f>(S452+S453+S454)=Q3</f>
        <v/>
      </c>
      <c r="X452" s="84">
        <f>MAX(S449-S452,0)</f>
        <v/>
      </c>
      <c r="Y452" s="83" t="n">
        <v>0</v>
      </c>
      <c r="AA452" s="84" t="n">
        <v>4</v>
      </c>
      <c r="AB452" s="84" t="inlineStr">
        <is>
          <t>E</t>
        </is>
      </c>
      <c r="AC452" s="84" t="inlineStr">
        <is>
          <t>E+</t>
        </is>
      </c>
      <c r="AD452" s="84" t="n">
        <v>7</v>
      </c>
      <c r="AE452" s="84" t="n">
        <v>6</v>
      </c>
      <c r="AF452" s="84" t="n">
        <v>0.76</v>
      </c>
      <c r="AG452" s="84" t="n">
        <v>0.84</v>
      </c>
      <c r="AH452" s="84" t="n">
        <v>0</v>
      </c>
      <c r="AI452" s="84" t="n">
        <v>0</v>
      </c>
      <c r="AJ452" s="84">
        <f>SUMIFS(AH$8:AH$1039,$O$8:$O$1039,O452,$AB$8:$AB$1039,AB452,$R$8:$R$1039,R452,$AA$8:$AA$1039,"&lt;="&amp;AA452)</f>
        <v/>
      </c>
      <c r="AK452" s="84">
        <f>C48</f>
        <v/>
      </c>
      <c r="AL452" s="84">
        <f>C54</f>
        <v/>
      </c>
      <c r="AM452" s="84">
        <f>MAX(0,AJ452-AK452)</f>
        <v/>
      </c>
      <c r="AN452" s="84">
        <f>IF(AM452=0,AH452,IF(AM452&gt;=AH452,0,AH452-AM452))</f>
        <v/>
      </c>
      <c r="AO452" s="84">
        <f>IF(AM452&gt;=AH452,AI452,AI452*AM452/AH452)</f>
        <v/>
      </c>
      <c r="AP452">
        <f t="array" ref="AP452">INDEX($AU$8:$BB$25,6*(R452-1)+MATCH(AB452,$AS$8:$AS$13,0),MATCH(O452,$AU$7:$BB$7,0))</f>
        <v/>
      </c>
    </row>
    <row r="453" ht="14.25" customHeight="1">
      <c r="O453" s="43" t="inlineStr">
        <is>
          <t>Q4’26</t>
        </is>
      </c>
      <c r="P453" s="43" t="n">
        <v>2</v>
      </c>
      <c r="Q453" s="43" t="n">
        <v>9</v>
      </c>
      <c r="R453" s="43" t="n">
        <v>2</v>
      </c>
      <c r="S453" s="45" t="n">
        <v>420</v>
      </c>
      <c r="T453">
        <f>(S452+S453+S454)=Q3</f>
        <v/>
      </c>
      <c r="X453" s="84">
        <f>MAX(S450-S453,0)</f>
        <v/>
      </c>
      <c r="Y453" s="83" t="n">
        <v>0</v>
      </c>
      <c r="AA453" s="84" t="n">
        <v>4</v>
      </c>
      <c r="AB453" s="84" t="inlineStr">
        <is>
          <t>E</t>
        </is>
      </c>
      <c r="AC453" s="84" t="inlineStr">
        <is>
          <t>E+</t>
        </is>
      </c>
      <c r="AD453" s="84" t="n">
        <v>7</v>
      </c>
      <c r="AE453" s="84" t="n">
        <v>6</v>
      </c>
      <c r="AF453" s="84" t="n">
        <v>0.76</v>
      </c>
      <c r="AG453" s="84" t="n">
        <v>0.84</v>
      </c>
      <c r="AH453" s="84" t="n">
        <v>0</v>
      </c>
      <c r="AI453" s="84" t="n">
        <v>0</v>
      </c>
      <c r="AJ453" s="84">
        <f>SUMIFS(AH$8:AH$1039,$O$8:$O$1039,O453,$AB$8:$AB$1039,AB453,$R$8:$R$1039,R453,$AA$8:$AA$1039,"&lt;="&amp;AA453)</f>
        <v/>
      </c>
      <c r="AK453" s="84">
        <f>D48</f>
        <v/>
      </c>
      <c r="AL453" s="84">
        <f>D54</f>
        <v/>
      </c>
      <c r="AM453" s="84">
        <f>MAX(0,AJ453-AK453)</f>
        <v/>
      </c>
      <c r="AN453" s="84">
        <f>IF(AM453=0,AH453,IF(AM453&gt;=AH453,0,AH453-AM453))</f>
        <v/>
      </c>
      <c r="AO453" s="84">
        <f>IF(AM453&gt;=AH453,AI453,AI453*AM453/AH453)</f>
        <v/>
      </c>
      <c r="AP453">
        <f t="array" ref="AP453">INDEX($AU$8:$BB$25,6*(R453-1)+MATCH(AB453,$AS$8:$AS$13,0),MATCH(O453,$AU$7:$BB$7,0))</f>
        <v/>
      </c>
    </row>
    <row r="454" ht="14.25" customHeight="1">
      <c r="O454" s="43" t="inlineStr">
        <is>
          <t>Q4’26</t>
        </is>
      </c>
      <c r="P454" s="43" t="n">
        <v>2</v>
      </c>
      <c r="Q454" s="43" t="n">
        <v>9</v>
      </c>
      <c r="R454" s="43" t="n">
        <v>3</v>
      </c>
      <c r="S454" s="45" t="n">
        <v>0</v>
      </c>
      <c r="T454">
        <f>(S452+S453+S454)=Q3</f>
        <v/>
      </c>
      <c r="X454" s="84">
        <f>MAX(S451-S454,0)</f>
        <v/>
      </c>
      <c r="Y454" s="83" t="n">
        <v>0</v>
      </c>
      <c r="AA454" s="84" t="n">
        <v>4</v>
      </c>
      <c r="AB454" s="84" t="inlineStr">
        <is>
          <t>E</t>
        </is>
      </c>
      <c r="AC454" s="84" t="inlineStr">
        <is>
          <t>E+</t>
        </is>
      </c>
      <c r="AD454" s="84" t="n">
        <v>7</v>
      </c>
      <c r="AE454" s="84" t="n">
        <v>6</v>
      </c>
      <c r="AF454" s="84" t="n">
        <v>0.76</v>
      </c>
      <c r="AG454" s="84" t="n">
        <v>0.84</v>
      </c>
      <c r="AH454" s="84" t="n">
        <v>0</v>
      </c>
      <c r="AI454" s="84" t="n">
        <v>0</v>
      </c>
      <c r="AJ454" s="84">
        <f>SUMIFS(AH$8:AH$1039,$O$8:$O$1039,O454,$AB$8:$AB$1039,AB454,$R$8:$R$1039,R454,$AA$8:$AA$1039,"&lt;="&amp;AA454)</f>
        <v/>
      </c>
      <c r="AK454" s="84">
        <f>E48</f>
        <v/>
      </c>
      <c r="AL454" s="84">
        <f>E54</f>
        <v/>
      </c>
      <c r="AM454" s="84">
        <f>MAX(0,AJ454-AK454)</f>
        <v/>
      </c>
      <c r="AN454" s="84">
        <f>IF(AM454=0,AH454,IF(AM454&gt;=AH454,0,AH454-AM454))</f>
        <v/>
      </c>
      <c r="AO454" s="84">
        <f>IF(AM454&gt;=AH454,AI454,AI454*AM454/AH454)</f>
        <v/>
      </c>
      <c r="AP454">
        <f t="array" ref="AP454">INDEX($AU$8:$BB$25,6*(R454-1)+MATCH(AB454,$AS$8:$AS$13,0),MATCH(O454,$AU$7:$BB$7,0))</f>
        <v/>
      </c>
    </row>
    <row r="455" ht="14.25" customHeight="1">
      <c r="O455" s="43" t="inlineStr">
        <is>
          <t>Q4’26</t>
        </is>
      </c>
      <c r="P455" s="43" t="n">
        <v>2</v>
      </c>
      <c r="Q455" s="43" t="n">
        <v>10</v>
      </c>
      <c r="R455" s="43" t="n">
        <v>1</v>
      </c>
      <c r="S455" s="45" t="n">
        <v>5180</v>
      </c>
      <c r="T455">
        <f>(S455+S456+S457)=Q3</f>
        <v/>
      </c>
      <c r="X455" s="84">
        <f>MAX(S452-S455,0)</f>
        <v/>
      </c>
      <c r="Y455" s="83" t="n">
        <v>0</v>
      </c>
      <c r="AA455" s="84" t="n">
        <v>6</v>
      </c>
      <c r="AB455" s="84" t="inlineStr">
        <is>
          <t>E</t>
        </is>
      </c>
      <c r="AC455" s="84" t="inlineStr">
        <is>
          <t>E+</t>
        </is>
      </c>
      <c r="AD455" s="84" t="n">
        <v>9</v>
      </c>
      <c r="AE455" s="84" t="n">
        <v>7</v>
      </c>
      <c r="AF455" s="84" t="n">
        <v>0.76</v>
      </c>
      <c r="AG455" s="84" t="n">
        <v>0.84</v>
      </c>
      <c r="AH455" s="84" t="n">
        <v>0</v>
      </c>
      <c r="AI455" s="84" t="n">
        <v>0</v>
      </c>
      <c r="AJ455" s="84">
        <f>SUMIFS(AH$8:AH$1039,$O$8:$O$1039,O455,$AB$8:$AB$1039,AB455,$R$8:$R$1039,R455,$AA$8:$AA$1039,"&lt;="&amp;AA455)</f>
        <v/>
      </c>
      <c r="AK455" s="84">
        <f>C48</f>
        <v/>
      </c>
      <c r="AL455" s="84">
        <f>C54</f>
        <v/>
      </c>
      <c r="AM455" s="84">
        <f>MAX(0,AJ455-AK455)</f>
        <v/>
      </c>
      <c r="AN455" s="84">
        <f>IF(AM455=0,AH455,IF(AM455&gt;=AH455,0,AH455-AM455))</f>
        <v/>
      </c>
      <c r="AO455" s="84">
        <f>IF(AM455&gt;=AH455,AI455,AI455*AM455/AH455)</f>
        <v/>
      </c>
      <c r="AP455">
        <f t="array" ref="AP455">INDEX($AU$8:$BB$25,6*(R455-1)+MATCH(AB455,$AS$8:$AS$13,0),MATCH(O455,$AU$7:$BB$7,0))</f>
        <v/>
      </c>
    </row>
    <row r="456" ht="14.25" customHeight="1">
      <c r="O456" s="43" t="inlineStr">
        <is>
          <t>Q4’26</t>
        </is>
      </c>
      <c r="P456" s="43" t="n">
        <v>2</v>
      </c>
      <c r="Q456" s="43" t="n">
        <v>10</v>
      </c>
      <c r="R456" s="43" t="n">
        <v>2</v>
      </c>
      <c r="S456" s="45" t="n">
        <v>420</v>
      </c>
      <c r="T456">
        <f>(S455+S456+S457)=Q3</f>
        <v/>
      </c>
      <c r="X456" s="84">
        <f>MAX(S453-S456,0)</f>
        <v/>
      </c>
      <c r="Y456" s="83" t="n">
        <v>0</v>
      </c>
      <c r="AA456" s="84" t="n">
        <v>6</v>
      </c>
      <c r="AB456" s="84" t="inlineStr">
        <is>
          <t>E</t>
        </is>
      </c>
      <c r="AC456" s="84" t="inlineStr">
        <is>
          <t>E+</t>
        </is>
      </c>
      <c r="AD456" s="84" t="n">
        <v>9</v>
      </c>
      <c r="AE456" s="84" t="n">
        <v>7</v>
      </c>
      <c r="AF456" s="84" t="n">
        <v>0.76</v>
      </c>
      <c r="AG456" s="84" t="n">
        <v>0.84</v>
      </c>
      <c r="AH456" s="84" t="n">
        <v>0</v>
      </c>
      <c r="AI456" s="84" t="n">
        <v>0</v>
      </c>
      <c r="AJ456" s="84">
        <f>SUMIFS(AH$8:AH$1039,$O$8:$O$1039,O456,$AB$8:$AB$1039,AB456,$R$8:$R$1039,R456,$AA$8:$AA$1039,"&lt;="&amp;AA456)</f>
        <v/>
      </c>
      <c r="AK456" s="84">
        <f>D48</f>
        <v/>
      </c>
      <c r="AL456" s="84">
        <f>D54</f>
        <v/>
      </c>
      <c r="AM456" s="84">
        <f>MAX(0,AJ456-AK456)</f>
        <v/>
      </c>
      <c r="AN456" s="84">
        <f>IF(AM456=0,AH456,IF(AM456&gt;=AH456,0,AH456-AM456))</f>
        <v/>
      </c>
      <c r="AO456" s="84">
        <f>IF(AM456&gt;=AH456,AI456,AI456*AM456/AH456)</f>
        <v/>
      </c>
      <c r="AP456">
        <f t="array" ref="AP456">INDEX($AU$8:$BB$25,6*(R456-1)+MATCH(AB456,$AS$8:$AS$13,0),MATCH(O456,$AU$7:$BB$7,0))</f>
        <v/>
      </c>
    </row>
    <row r="457" ht="14.25" customHeight="1">
      <c r="O457" s="43" t="inlineStr">
        <is>
          <t>Q4’26</t>
        </is>
      </c>
      <c r="P457" s="43" t="n">
        <v>2</v>
      </c>
      <c r="Q457" s="43" t="n">
        <v>10</v>
      </c>
      <c r="R457" s="43" t="n">
        <v>3</v>
      </c>
      <c r="S457" s="45" t="n">
        <v>0</v>
      </c>
      <c r="T457">
        <f>(S455+S456+S457)=Q3</f>
        <v/>
      </c>
      <c r="X457" s="84">
        <f>MAX(S454-S457,0)</f>
        <v/>
      </c>
      <c r="Y457" s="83" t="n">
        <v>0</v>
      </c>
      <c r="AA457" s="84" t="n">
        <v>6</v>
      </c>
      <c r="AB457" s="84" t="inlineStr">
        <is>
          <t>E</t>
        </is>
      </c>
      <c r="AC457" s="84" t="inlineStr">
        <is>
          <t>E+</t>
        </is>
      </c>
      <c r="AD457" s="84" t="n">
        <v>9</v>
      </c>
      <c r="AE457" s="84" t="n">
        <v>7</v>
      </c>
      <c r="AF457" s="84" t="n">
        <v>0.76</v>
      </c>
      <c r="AG457" s="84" t="n">
        <v>0.84</v>
      </c>
      <c r="AH457" s="84" t="n">
        <v>0</v>
      </c>
      <c r="AI457" s="84" t="n">
        <v>0</v>
      </c>
      <c r="AJ457" s="84">
        <f>SUMIFS(AH$8:AH$1039,$O$8:$O$1039,O457,$AB$8:$AB$1039,AB457,$R$8:$R$1039,R457,$AA$8:$AA$1039,"&lt;="&amp;AA457)</f>
        <v/>
      </c>
      <c r="AK457" s="84">
        <f>E48</f>
        <v/>
      </c>
      <c r="AL457" s="84">
        <f>E54</f>
        <v/>
      </c>
      <c r="AM457" s="84">
        <f>MAX(0,AJ457-AK457)</f>
        <v/>
      </c>
      <c r="AN457" s="84">
        <f>IF(AM457=0,AH457,IF(AM457&gt;=AH457,0,AH457-AM457))</f>
        <v/>
      </c>
      <c r="AO457" s="84">
        <f>IF(AM457&gt;=AH457,AI457,AI457*AM457/AH457)</f>
        <v/>
      </c>
      <c r="AP457">
        <f t="array" ref="AP457">INDEX($AU$8:$BB$25,6*(R457-1)+MATCH(AB457,$AS$8:$AS$13,0),MATCH(O457,$AU$7:$BB$7,0))</f>
        <v/>
      </c>
    </row>
    <row r="458" ht="14.25" customHeight="1">
      <c r="O458" s="43" t="inlineStr">
        <is>
          <t>Q4’26</t>
        </is>
      </c>
      <c r="P458" s="43" t="n">
        <v>2</v>
      </c>
      <c r="Q458" s="43" t="n">
        <v>11</v>
      </c>
      <c r="R458" s="43" t="n">
        <v>1</v>
      </c>
      <c r="S458" s="45" t="n">
        <v>5180</v>
      </c>
      <c r="T458">
        <f>(S458+S459+S460)=Q3</f>
        <v/>
      </c>
      <c r="X458" s="84">
        <f>MAX(S455-S458,0)</f>
        <v/>
      </c>
      <c r="Y458" s="83" t="n">
        <v>0</v>
      </c>
      <c r="AA458" s="84" t="n">
        <v>2</v>
      </c>
      <c r="AB458" s="84" t="inlineStr">
        <is>
          <t>E</t>
        </is>
      </c>
      <c r="AC458" s="84" t="inlineStr">
        <is>
          <t>E+</t>
        </is>
      </c>
      <c r="AD458" s="84" t="n">
        <v>20</v>
      </c>
      <c r="AE458" s="84" t="n">
        <v>19</v>
      </c>
      <c r="AF458" s="84" t="n">
        <v>0.76</v>
      </c>
      <c r="AG458" s="84" t="n">
        <v>0.84</v>
      </c>
      <c r="AH458" s="84" t="n">
        <v>0</v>
      </c>
      <c r="AI458" s="84" t="n">
        <v>0</v>
      </c>
      <c r="AJ458" s="84">
        <f>SUMIFS(AH$8:AH$1039,$O$8:$O$1039,O458,$AB$8:$AB$1039,AB458,$R$8:$R$1039,R458,$AA$8:$AA$1039,"&lt;="&amp;AA458)</f>
        <v/>
      </c>
      <c r="AK458" s="84">
        <f>C48</f>
        <v/>
      </c>
      <c r="AL458" s="84">
        <f>C54</f>
        <v/>
      </c>
      <c r="AM458" s="84">
        <f>MAX(0,AJ458-AK458)</f>
        <v/>
      </c>
      <c r="AN458" s="84">
        <f>IF(AM458=0,AH458,IF(AM458&gt;=AH458,0,AH458-AM458))</f>
        <v/>
      </c>
      <c r="AO458" s="84">
        <f>IF(AM458&gt;=AH458,AI458,AI458*AM458/AH458)</f>
        <v/>
      </c>
      <c r="AP458">
        <f t="array" ref="AP458">INDEX($AU$8:$BB$25,6*(R458-1)+MATCH(AB458,$AS$8:$AS$13,0),MATCH(O458,$AU$7:$BB$7,0))</f>
        <v/>
      </c>
    </row>
    <row r="459" ht="14.25" customHeight="1">
      <c r="O459" s="43" t="inlineStr">
        <is>
          <t>Q4’26</t>
        </is>
      </c>
      <c r="P459" s="43" t="n">
        <v>2</v>
      </c>
      <c r="Q459" s="43" t="n">
        <v>11</v>
      </c>
      <c r="R459" s="43" t="n">
        <v>2</v>
      </c>
      <c r="S459" s="45" t="n">
        <v>420</v>
      </c>
      <c r="T459">
        <f>(S458+S459+S460)=Q3</f>
        <v/>
      </c>
      <c r="X459" s="84">
        <f>MAX(S456-S459,0)</f>
        <v/>
      </c>
      <c r="Y459" s="83" t="n">
        <v>0</v>
      </c>
      <c r="AA459" s="84" t="n">
        <v>2</v>
      </c>
      <c r="AB459" s="84" t="inlineStr">
        <is>
          <t>E</t>
        </is>
      </c>
      <c r="AC459" s="84" t="inlineStr">
        <is>
          <t>E+</t>
        </is>
      </c>
      <c r="AD459" s="84" t="n">
        <v>20</v>
      </c>
      <c r="AE459" s="84" t="n">
        <v>19</v>
      </c>
      <c r="AF459" s="84" t="n">
        <v>0.76</v>
      </c>
      <c r="AG459" s="84" t="n">
        <v>0.84</v>
      </c>
      <c r="AH459" s="84" t="n">
        <v>0</v>
      </c>
      <c r="AI459" s="84" t="n">
        <v>0</v>
      </c>
      <c r="AJ459" s="84">
        <f>SUMIFS(AH$8:AH$1039,$O$8:$O$1039,O459,$AB$8:$AB$1039,AB459,$R$8:$R$1039,R459,$AA$8:$AA$1039,"&lt;="&amp;AA459)</f>
        <v/>
      </c>
      <c r="AK459" s="84">
        <f>D48</f>
        <v/>
      </c>
      <c r="AL459" s="84">
        <f>D54</f>
        <v/>
      </c>
      <c r="AM459" s="84">
        <f>MAX(0,AJ459-AK459)</f>
        <v/>
      </c>
      <c r="AN459" s="84">
        <f>IF(AM459=0,AH459,IF(AM459&gt;=AH459,0,AH459-AM459))</f>
        <v/>
      </c>
      <c r="AO459" s="84">
        <f>IF(AM459&gt;=AH459,AI459,AI459*AM459/AH459)</f>
        <v/>
      </c>
      <c r="AP459">
        <f t="array" ref="AP459">INDEX($AU$8:$BB$25,6*(R459-1)+MATCH(AB459,$AS$8:$AS$13,0),MATCH(O459,$AU$7:$BB$7,0))</f>
        <v/>
      </c>
    </row>
    <row r="460" ht="14.25" customHeight="1">
      <c r="O460" s="43" t="inlineStr">
        <is>
          <t>Q4’26</t>
        </is>
      </c>
      <c r="P460" s="43" t="n">
        <v>2</v>
      </c>
      <c r="Q460" s="43" t="n">
        <v>11</v>
      </c>
      <c r="R460" s="43" t="n">
        <v>3</v>
      </c>
      <c r="S460" s="45" t="n">
        <v>0</v>
      </c>
      <c r="T460">
        <f>(S458+S459+S460)=Q3</f>
        <v/>
      </c>
      <c r="X460" s="84">
        <f>MAX(S457-S460,0)</f>
        <v/>
      </c>
      <c r="Y460" s="83" t="n">
        <v>0</v>
      </c>
      <c r="AA460" s="84" t="n">
        <v>2</v>
      </c>
      <c r="AB460" s="84" t="inlineStr">
        <is>
          <t>E</t>
        </is>
      </c>
      <c r="AC460" s="84" t="inlineStr">
        <is>
          <t>E+</t>
        </is>
      </c>
      <c r="AD460" s="84" t="n">
        <v>20</v>
      </c>
      <c r="AE460" s="84" t="n">
        <v>19</v>
      </c>
      <c r="AF460" s="84" t="n">
        <v>0.76</v>
      </c>
      <c r="AG460" s="84" t="n">
        <v>0.84</v>
      </c>
      <c r="AH460" s="84" t="n">
        <v>0</v>
      </c>
      <c r="AI460" s="84" t="n">
        <v>0</v>
      </c>
      <c r="AJ460" s="84">
        <f>SUMIFS(AH$8:AH$1039,$O$8:$O$1039,O460,$AB$8:$AB$1039,AB460,$R$8:$R$1039,R460,$AA$8:$AA$1039,"&lt;="&amp;AA460)</f>
        <v/>
      </c>
      <c r="AK460" s="84">
        <f>E48</f>
        <v/>
      </c>
      <c r="AL460" s="84">
        <f>E54</f>
        <v/>
      </c>
      <c r="AM460" s="84">
        <f>MAX(0,AJ460-AK460)</f>
        <v/>
      </c>
      <c r="AN460" s="84">
        <f>IF(AM460=0,AH460,IF(AM460&gt;=AH460,0,AH460-AM460))</f>
        <v/>
      </c>
      <c r="AO460" s="84">
        <f>IF(AM460&gt;=AH460,AI460,AI460*AM460/AH460)</f>
        <v/>
      </c>
      <c r="AP460">
        <f t="array" ref="AP460">INDEX($AU$8:$BB$25,6*(R460-1)+MATCH(AB460,$AS$8:$AS$13,0),MATCH(O460,$AU$7:$BB$7,0))</f>
        <v/>
      </c>
    </row>
    <row r="461" ht="14.25" customHeight="1">
      <c r="O461" s="43" t="inlineStr">
        <is>
          <t>Q4’26</t>
        </is>
      </c>
      <c r="P461" s="43" t="n">
        <v>2</v>
      </c>
      <c r="Q461" s="43" t="n">
        <v>12</v>
      </c>
      <c r="R461" s="43" t="n">
        <v>1</v>
      </c>
      <c r="S461" s="45" t="n">
        <v>5180</v>
      </c>
      <c r="T461">
        <f>(S461+S462+S463)=Q3</f>
        <v/>
      </c>
      <c r="X461" s="84">
        <f>MAX(S458-S461,0)</f>
        <v/>
      </c>
      <c r="Y461" s="83" t="n">
        <v>0</v>
      </c>
      <c r="AA461" s="84" t="n">
        <v>7</v>
      </c>
      <c r="AB461" s="84" t="inlineStr">
        <is>
          <t>F</t>
        </is>
      </c>
      <c r="AC461" s="84" t="inlineStr">
        <is>
          <t>F+</t>
        </is>
      </c>
      <c r="AD461" s="84" t="n">
        <v>21</v>
      </c>
      <c r="AE461" s="84" t="n">
        <v>18</v>
      </c>
      <c r="AF461" s="84" t="n">
        <v>0.8</v>
      </c>
      <c r="AG461" s="84" t="n">
        <v>0.9</v>
      </c>
      <c r="AH461" s="84" t="n">
        <v>0</v>
      </c>
      <c r="AI461" s="84" t="n">
        <v>0</v>
      </c>
      <c r="AJ461" s="84">
        <f>SUMIFS(AH$8:AH$1039,$O$8:$O$1039,O461,$AB$8:$AB$1039,AB461,$R$8:$R$1039,R461,$AA$8:$AA$1039,"&lt;="&amp;AA461)</f>
        <v/>
      </c>
      <c r="AK461" s="84">
        <f>C49</f>
        <v/>
      </c>
      <c r="AL461" s="84">
        <f>C55</f>
        <v/>
      </c>
      <c r="AM461" s="84">
        <f>MAX(0,AJ461-AK461)</f>
        <v/>
      </c>
      <c r="AN461" s="84">
        <f>IF(AM461=0,AH461,IF(AM461&gt;=AH461,0,AH461-AM461))</f>
        <v/>
      </c>
      <c r="AO461" s="84">
        <f>IF(AM461&gt;=AH461,AI461,AI461*AM461/AH461)</f>
        <v/>
      </c>
      <c r="AP461">
        <f t="array" ref="AP461">INDEX($AU$8:$BB$25,6*(R461-1)+MATCH(AB461,$AS$8:$AS$13,0),MATCH(O461,$AU$7:$BB$7,0))</f>
        <v/>
      </c>
    </row>
    <row r="462" ht="14.25" customHeight="1">
      <c r="O462" s="43" t="inlineStr">
        <is>
          <t>Q4’26</t>
        </is>
      </c>
      <c r="P462" s="43" t="n">
        <v>2</v>
      </c>
      <c r="Q462" s="43" t="n">
        <v>12</v>
      </c>
      <c r="R462" s="43" t="n">
        <v>2</v>
      </c>
      <c r="S462" s="45" t="n">
        <v>420</v>
      </c>
      <c r="T462">
        <f>(S461+S462+S463)=Q3</f>
        <v/>
      </c>
      <c r="X462" s="84">
        <f>MAX(S459-S462,0)</f>
        <v/>
      </c>
      <c r="Y462" s="83" t="n">
        <v>0</v>
      </c>
      <c r="AA462" s="84" t="n">
        <v>7</v>
      </c>
      <c r="AB462" s="84" t="inlineStr">
        <is>
          <t>F</t>
        </is>
      </c>
      <c r="AC462" s="84" t="inlineStr">
        <is>
          <t>F+</t>
        </is>
      </c>
      <c r="AD462" s="84" t="n">
        <v>21</v>
      </c>
      <c r="AE462" s="84" t="n">
        <v>18</v>
      </c>
      <c r="AF462" s="84" t="n">
        <v>0.8</v>
      </c>
      <c r="AG462" s="84" t="n">
        <v>0.9</v>
      </c>
      <c r="AH462" s="84" t="n">
        <v>0</v>
      </c>
      <c r="AI462" s="84" t="n">
        <v>0</v>
      </c>
      <c r="AJ462" s="84">
        <f>SUMIFS(AH$8:AH$1039,$O$8:$O$1039,O462,$AB$8:$AB$1039,AB462,$R$8:$R$1039,R462,$AA$8:$AA$1039,"&lt;="&amp;AA462)</f>
        <v/>
      </c>
      <c r="AK462" s="84">
        <f>D49</f>
        <v/>
      </c>
      <c r="AL462" s="84">
        <f>D55</f>
        <v/>
      </c>
      <c r="AM462" s="84">
        <f>MAX(0,AJ462-AK462)</f>
        <v/>
      </c>
      <c r="AN462" s="84">
        <f>IF(AM462=0,AH462,IF(AM462&gt;=AH462,0,AH462-AM462))</f>
        <v/>
      </c>
      <c r="AO462" s="84">
        <f>IF(AM462&gt;=AH462,AI462,AI462*AM462/AH462)</f>
        <v/>
      </c>
      <c r="AP462">
        <f t="array" ref="AP462">INDEX($AU$8:$BB$25,6*(R462-1)+MATCH(AB462,$AS$8:$AS$13,0),MATCH(O462,$AU$7:$BB$7,0))</f>
        <v/>
      </c>
    </row>
    <row r="463" ht="14.25" customHeight="1">
      <c r="O463" s="43" t="inlineStr">
        <is>
          <t>Q4’26</t>
        </is>
      </c>
      <c r="P463" s="43" t="n">
        <v>2</v>
      </c>
      <c r="Q463" s="43" t="n">
        <v>12</v>
      </c>
      <c r="R463" s="43" t="n">
        <v>3</v>
      </c>
      <c r="S463" s="45" t="n">
        <v>0</v>
      </c>
      <c r="T463">
        <f>(S461+S462+S463)=Q3</f>
        <v/>
      </c>
      <c r="X463" s="84">
        <f>MAX(S460-S463,0)</f>
        <v/>
      </c>
      <c r="Y463" s="83" t="n">
        <v>0</v>
      </c>
      <c r="AA463" s="84" t="n">
        <v>7</v>
      </c>
      <c r="AB463" s="84" t="inlineStr">
        <is>
          <t>F</t>
        </is>
      </c>
      <c r="AC463" s="84" t="inlineStr">
        <is>
          <t>F+</t>
        </is>
      </c>
      <c r="AD463" s="84" t="n">
        <v>21</v>
      </c>
      <c r="AE463" s="84" t="n">
        <v>18</v>
      </c>
      <c r="AF463" s="84" t="n">
        <v>0.8</v>
      </c>
      <c r="AG463" s="84" t="n">
        <v>0.9</v>
      </c>
      <c r="AH463" s="84" t="n">
        <v>0</v>
      </c>
      <c r="AI463" s="84" t="n">
        <v>0</v>
      </c>
      <c r="AJ463" s="84">
        <f>SUMIFS(AH$8:AH$1039,$O$8:$O$1039,O463,$AB$8:$AB$1039,AB463,$R$8:$R$1039,R463,$AA$8:$AA$1039,"&lt;="&amp;AA463)</f>
        <v/>
      </c>
      <c r="AK463" s="84">
        <f>E49</f>
        <v/>
      </c>
      <c r="AL463" s="84">
        <f>E55</f>
        <v/>
      </c>
      <c r="AM463" s="84">
        <f>MAX(0,AJ463-AK463)</f>
        <v/>
      </c>
      <c r="AN463" s="84">
        <f>IF(AM463=0,AH463,IF(AM463&gt;=AH463,0,AH463-AM463))</f>
        <v/>
      </c>
      <c r="AO463" s="84">
        <f>IF(AM463&gt;=AH463,AI463,AI463*AM463/AH463)</f>
        <v/>
      </c>
      <c r="AP463">
        <f t="array" ref="AP463">INDEX($AU$8:$BB$25,6*(R463-1)+MATCH(AB463,$AS$8:$AS$13,0),MATCH(O463,$AU$7:$BB$7,0))</f>
        <v/>
      </c>
    </row>
    <row r="464" ht="14.25" customHeight="1">
      <c r="O464" s="43" t="inlineStr">
        <is>
          <t>Q4’26</t>
        </is>
      </c>
      <c r="P464" s="43" t="n">
        <v>2</v>
      </c>
      <c r="Q464" s="43" t="n">
        <v>13</v>
      </c>
      <c r="R464" s="43" t="n">
        <v>1</v>
      </c>
      <c r="S464" s="45" t="n">
        <v>5180</v>
      </c>
      <c r="T464">
        <f>(S464+S465+S466)=Q3</f>
        <v/>
      </c>
      <c r="X464" s="84">
        <f>MAX(S461-S464,0)</f>
        <v/>
      </c>
      <c r="Y464" s="83" t="n">
        <v>0</v>
      </c>
      <c r="AA464" s="84" t="n">
        <v>8</v>
      </c>
      <c r="AB464" s="84" t="inlineStr">
        <is>
          <t>E</t>
        </is>
      </c>
      <c r="AC464" s="84" t="inlineStr">
        <is>
          <t>E+</t>
        </is>
      </c>
      <c r="AD464" s="84" t="n">
        <v>12</v>
      </c>
      <c r="AE464" s="84" t="n">
        <v>9</v>
      </c>
      <c r="AF464" s="84" t="n">
        <v>0.76</v>
      </c>
      <c r="AG464" s="84" t="n">
        <v>0.84</v>
      </c>
      <c r="AH464" s="84" t="n">
        <v>0</v>
      </c>
      <c r="AI464" s="84" t="n">
        <v>0</v>
      </c>
      <c r="AJ464" s="84">
        <f>SUMIFS(AH$8:AH$1039,$O$8:$O$1039,O464,$AB$8:$AB$1039,AB464,$R$8:$R$1039,R464,$AA$8:$AA$1039,"&lt;="&amp;AA464)</f>
        <v/>
      </c>
      <c r="AK464" s="84">
        <f>C48</f>
        <v/>
      </c>
      <c r="AL464" s="84">
        <f>C54</f>
        <v/>
      </c>
      <c r="AM464" s="84">
        <f>MAX(0,AJ464-AK464)</f>
        <v/>
      </c>
      <c r="AN464" s="84">
        <f>IF(AM464=0,AH464,IF(AM464&gt;=AH464,0,AH464-AM464))</f>
        <v/>
      </c>
      <c r="AO464" s="84">
        <f>IF(AM464&gt;=AH464,AI464,AI464*AM464/AH464)</f>
        <v/>
      </c>
      <c r="AP464">
        <f t="array" ref="AP464">INDEX($AU$8:$BB$25,6*(R464-1)+MATCH(AB464,$AS$8:$AS$13,0),MATCH(O464,$AU$7:$BB$7,0))</f>
        <v/>
      </c>
    </row>
    <row r="465" ht="14.25" customHeight="1">
      <c r="O465" s="43" t="inlineStr">
        <is>
          <t>Q4’26</t>
        </is>
      </c>
      <c r="P465" s="43" t="n">
        <v>2</v>
      </c>
      <c r="Q465" s="43" t="n">
        <v>13</v>
      </c>
      <c r="R465" s="43" t="n">
        <v>2</v>
      </c>
      <c r="S465" s="45" t="n">
        <v>420</v>
      </c>
      <c r="T465">
        <f>(S464+S465+S466)=Q3</f>
        <v/>
      </c>
      <c r="X465" s="84">
        <f>MAX(S462-S465,0)</f>
        <v/>
      </c>
      <c r="Y465" s="83" t="n">
        <v>0</v>
      </c>
      <c r="AA465" s="84" t="n">
        <v>8</v>
      </c>
      <c r="AB465" s="84" t="inlineStr">
        <is>
          <t>E</t>
        </is>
      </c>
      <c r="AC465" s="84" t="inlineStr">
        <is>
          <t>E+</t>
        </is>
      </c>
      <c r="AD465" s="84" t="n">
        <v>12</v>
      </c>
      <c r="AE465" s="84" t="n">
        <v>9</v>
      </c>
      <c r="AF465" s="84" t="n">
        <v>0.76</v>
      </c>
      <c r="AG465" s="84" t="n">
        <v>0.84</v>
      </c>
      <c r="AH465" s="84" t="n">
        <v>0</v>
      </c>
      <c r="AI465" s="84" t="n">
        <v>0</v>
      </c>
      <c r="AJ465" s="84">
        <f>SUMIFS(AH$8:AH$1039,$O$8:$O$1039,O465,$AB$8:$AB$1039,AB465,$R$8:$R$1039,R465,$AA$8:$AA$1039,"&lt;="&amp;AA465)</f>
        <v/>
      </c>
      <c r="AK465" s="84">
        <f>D48</f>
        <v/>
      </c>
      <c r="AL465" s="84">
        <f>D54</f>
        <v/>
      </c>
      <c r="AM465" s="84">
        <f>MAX(0,AJ465-AK465)</f>
        <v/>
      </c>
      <c r="AN465" s="84">
        <f>IF(AM465=0,AH465,IF(AM465&gt;=AH465,0,AH465-AM465))</f>
        <v/>
      </c>
      <c r="AO465" s="84">
        <f>IF(AM465&gt;=AH465,AI465,AI465*AM465/AH465)</f>
        <v/>
      </c>
      <c r="AP465">
        <f t="array" ref="AP465">INDEX($AU$8:$BB$25,6*(R465-1)+MATCH(AB465,$AS$8:$AS$13,0),MATCH(O465,$AU$7:$BB$7,0))</f>
        <v/>
      </c>
    </row>
    <row r="466" ht="14.25" customHeight="1">
      <c r="O466" s="43" t="inlineStr">
        <is>
          <t>Q4’26</t>
        </is>
      </c>
      <c r="P466" s="43" t="n">
        <v>2</v>
      </c>
      <c r="Q466" s="43" t="n">
        <v>13</v>
      </c>
      <c r="R466" s="43" t="n">
        <v>3</v>
      </c>
      <c r="S466" s="45" t="n">
        <v>0</v>
      </c>
      <c r="T466">
        <f>(S464+S465+S466)=Q3</f>
        <v/>
      </c>
      <c r="X466" s="84">
        <f>MAX(S463-S466,0)</f>
        <v/>
      </c>
      <c r="Y466" s="83" t="n">
        <v>0</v>
      </c>
      <c r="AA466" s="84" t="n">
        <v>8</v>
      </c>
      <c r="AB466" s="84" t="inlineStr">
        <is>
          <t>E</t>
        </is>
      </c>
      <c r="AC466" s="84" t="inlineStr">
        <is>
          <t>E+</t>
        </is>
      </c>
      <c r="AD466" s="84" t="n">
        <v>12</v>
      </c>
      <c r="AE466" s="84" t="n">
        <v>9</v>
      </c>
      <c r="AF466" s="84" t="n">
        <v>0.76</v>
      </c>
      <c r="AG466" s="84" t="n">
        <v>0.84</v>
      </c>
      <c r="AH466" s="84" t="n">
        <v>0</v>
      </c>
      <c r="AI466" s="84" t="n">
        <v>0</v>
      </c>
      <c r="AJ466" s="84">
        <f>SUMIFS(AH$8:AH$1039,$O$8:$O$1039,O466,$AB$8:$AB$1039,AB466,$R$8:$R$1039,R466,$AA$8:$AA$1039,"&lt;="&amp;AA466)</f>
        <v/>
      </c>
      <c r="AK466" s="84">
        <f>E48</f>
        <v/>
      </c>
      <c r="AL466" s="84">
        <f>E54</f>
        <v/>
      </c>
      <c r="AM466" s="84">
        <f>MAX(0,AJ466-AK466)</f>
        <v/>
      </c>
      <c r="AN466" s="84">
        <f>IF(AM466=0,AH466,IF(AM466&gt;=AH466,0,AH466-AM466))</f>
        <v/>
      </c>
      <c r="AO466" s="84">
        <f>IF(AM466&gt;=AH466,AI466,AI466*AM466/AH466)</f>
        <v/>
      </c>
      <c r="AP466">
        <f t="array" ref="AP466">INDEX($AU$8:$BB$25,6*(R466-1)+MATCH(AB466,$AS$8:$AS$13,0),MATCH(O466,$AU$7:$BB$7,0))</f>
        <v/>
      </c>
    </row>
    <row r="467" ht="14.25" customHeight="1">
      <c r="O467" s="43" t="inlineStr">
        <is>
          <t>Q4’26</t>
        </is>
      </c>
      <c r="P467" s="43" t="n">
        <v>2</v>
      </c>
      <c r="Q467" s="43" t="n">
        <v>14</v>
      </c>
      <c r="R467" s="43" t="n">
        <v>1</v>
      </c>
      <c r="S467" s="45" t="n">
        <v>5180</v>
      </c>
      <c r="T467">
        <f>(S467+S468+S469)=Q3</f>
        <v/>
      </c>
      <c r="X467" s="84">
        <f>MAX(S464-S467,0)</f>
        <v/>
      </c>
      <c r="Y467" s="83" t="n">
        <v>0</v>
      </c>
      <c r="AA467" s="84" t="n">
        <v>5</v>
      </c>
      <c r="AB467" s="84" t="inlineStr">
        <is>
          <t>E</t>
        </is>
      </c>
      <c r="AC467" s="84" t="inlineStr">
        <is>
          <t>E+</t>
        </is>
      </c>
      <c r="AD467" s="84" t="n">
        <v>15</v>
      </c>
      <c r="AE467" s="84" t="n">
        <v>12</v>
      </c>
      <c r="AF467" s="84" t="n">
        <v>0.76</v>
      </c>
      <c r="AG467" s="84" t="n">
        <v>0.84</v>
      </c>
      <c r="AH467" s="84" t="n">
        <v>0</v>
      </c>
      <c r="AI467" s="84" t="n">
        <v>0</v>
      </c>
      <c r="AJ467" s="84">
        <f>SUMIFS(AH$8:AH$1039,$O$8:$O$1039,O467,$AB$8:$AB$1039,AB467,$R$8:$R$1039,R467,$AA$8:$AA$1039,"&lt;="&amp;AA467)</f>
        <v/>
      </c>
      <c r="AK467" s="84">
        <f>C48</f>
        <v/>
      </c>
      <c r="AL467" s="84">
        <f>C54</f>
        <v/>
      </c>
      <c r="AM467" s="84">
        <f>MAX(0,AJ467-AK467)</f>
        <v/>
      </c>
      <c r="AN467" s="84">
        <f>IF(AM467=0,AH467,IF(AM467&gt;=AH467,0,AH467-AM467))</f>
        <v/>
      </c>
      <c r="AO467" s="84">
        <f>IF(AM467&gt;=AH467,AI467,AI467*AM467/AH467)</f>
        <v/>
      </c>
      <c r="AP467">
        <f t="array" ref="AP467">INDEX($AU$8:$BB$25,6*(R467-1)+MATCH(AB467,$AS$8:$AS$13,0),MATCH(O467,$AU$7:$BB$7,0))</f>
        <v/>
      </c>
    </row>
    <row r="468" ht="14.25" customHeight="1">
      <c r="O468" s="43" t="inlineStr">
        <is>
          <t>Q4’26</t>
        </is>
      </c>
      <c r="P468" s="43" t="n">
        <v>2</v>
      </c>
      <c r="Q468" s="43" t="n">
        <v>14</v>
      </c>
      <c r="R468" s="43" t="n">
        <v>2</v>
      </c>
      <c r="S468" s="45" t="n">
        <v>420</v>
      </c>
      <c r="T468">
        <f>(S467+S468+S469)=Q3</f>
        <v/>
      </c>
      <c r="X468" s="84">
        <f>MAX(S465-S468,0)</f>
        <v/>
      </c>
      <c r="Y468" s="83" t="n">
        <v>0</v>
      </c>
      <c r="AA468" s="84" t="n">
        <v>5</v>
      </c>
      <c r="AB468" s="84" t="inlineStr">
        <is>
          <t>E</t>
        </is>
      </c>
      <c r="AC468" s="84" t="inlineStr">
        <is>
          <t>E+</t>
        </is>
      </c>
      <c r="AD468" s="84" t="n">
        <v>15</v>
      </c>
      <c r="AE468" s="84" t="n">
        <v>12</v>
      </c>
      <c r="AF468" s="84" t="n">
        <v>0.76</v>
      </c>
      <c r="AG468" s="84" t="n">
        <v>0.84</v>
      </c>
      <c r="AH468" s="84" t="n">
        <v>0</v>
      </c>
      <c r="AI468" s="84" t="n">
        <v>0</v>
      </c>
      <c r="AJ468" s="84">
        <f>SUMIFS(AH$8:AH$1039,$O$8:$O$1039,O468,$AB$8:$AB$1039,AB468,$R$8:$R$1039,R468,$AA$8:$AA$1039,"&lt;="&amp;AA468)</f>
        <v/>
      </c>
      <c r="AK468" s="84">
        <f>D48</f>
        <v/>
      </c>
      <c r="AL468" s="84">
        <f>D54</f>
        <v/>
      </c>
      <c r="AM468" s="84">
        <f>MAX(0,AJ468-AK468)</f>
        <v/>
      </c>
      <c r="AN468" s="84">
        <f>IF(AM468=0,AH468,IF(AM468&gt;=AH468,0,AH468-AM468))</f>
        <v/>
      </c>
      <c r="AO468" s="84">
        <f>IF(AM468&gt;=AH468,AI468,AI468*AM468/AH468)</f>
        <v/>
      </c>
      <c r="AP468">
        <f t="array" ref="AP468">INDEX($AU$8:$BB$25,6*(R468-1)+MATCH(AB468,$AS$8:$AS$13,0),MATCH(O468,$AU$7:$BB$7,0))</f>
        <v/>
      </c>
    </row>
    <row r="469" ht="14.25" customHeight="1">
      <c r="O469" s="43" t="inlineStr">
        <is>
          <t>Q4’26</t>
        </is>
      </c>
      <c r="P469" s="43" t="n">
        <v>2</v>
      </c>
      <c r="Q469" s="43" t="n">
        <v>14</v>
      </c>
      <c r="R469" s="43" t="n">
        <v>3</v>
      </c>
      <c r="S469" s="45" t="n">
        <v>0</v>
      </c>
      <c r="T469">
        <f>(S467+S468+S469)=Q3</f>
        <v/>
      </c>
      <c r="X469" s="84">
        <f>MAX(S466-S469,0)</f>
        <v/>
      </c>
      <c r="Y469" s="83" t="n">
        <v>0</v>
      </c>
      <c r="AA469" s="84" t="n">
        <v>5</v>
      </c>
      <c r="AB469" s="84" t="inlineStr">
        <is>
          <t>E</t>
        </is>
      </c>
      <c r="AC469" s="84" t="inlineStr">
        <is>
          <t>E+</t>
        </is>
      </c>
      <c r="AD469" s="84" t="n">
        <v>15</v>
      </c>
      <c r="AE469" s="84" t="n">
        <v>12</v>
      </c>
      <c r="AF469" s="84" t="n">
        <v>0.76</v>
      </c>
      <c r="AG469" s="84" t="n">
        <v>0.84</v>
      </c>
      <c r="AH469" s="84" t="n">
        <v>0</v>
      </c>
      <c r="AI469" s="84" t="n">
        <v>0</v>
      </c>
      <c r="AJ469" s="84">
        <f>SUMIFS(AH$8:AH$1039,$O$8:$O$1039,O469,$AB$8:$AB$1039,AB469,$R$8:$R$1039,R469,$AA$8:$AA$1039,"&lt;="&amp;AA469)</f>
        <v/>
      </c>
      <c r="AK469" s="84">
        <f>E48</f>
        <v/>
      </c>
      <c r="AL469" s="84">
        <f>E54</f>
        <v/>
      </c>
      <c r="AM469" s="84">
        <f>MAX(0,AJ469-AK469)</f>
        <v/>
      </c>
      <c r="AN469" s="84">
        <f>IF(AM469=0,AH469,IF(AM469&gt;=AH469,0,AH469-AM469))</f>
        <v/>
      </c>
      <c r="AO469" s="84">
        <f>IF(AM469&gt;=AH469,AI469,AI469*AM469/AH469)</f>
        <v/>
      </c>
      <c r="AP469">
        <f t="array" ref="AP469">INDEX($AU$8:$BB$25,6*(R469-1)+MATCH(AB469,$AS$8:$AS$13,0),MATCH(O469,$AU$7:$BB$7,0))</f>
        <v/>
      </c>
    </row>
    <row r="470" ht="14.25" customHeight="1">
      <c r="O470" s="43" t="inlineStr">
        <is>
          <t>Q4’26</t>
        </is>
      </c>
      <c r="P470" s="43" t="n">
        <v>2</v>
      </c>
      <c r="Q470" s="43" t="n">
        <v>15</v>
      </c>
      <c r="R470" s="43" t="n">
        <v>1</v>
      </c>
      <c r="S470" s="45" t="n">
        <v>5180</v>
      </c>
      <c r="T470">
        <f>(S470+S471+S472)=Q3</f>
        <v/>
      </c>
      <c r="X470" s="84">
        <f>MAX(S467-S470,0)</f>
        <v/>
      </c>
      <c r="Y470" s="83" t="n">
        <v>0</v>
      </c>
      <c r="AA470" s="84" t="n">
        <v>7</v>
      </c>
      <c r="AB470" s="84" t="inlineStr">
        <is>
          <t>E</t>
        </is>
      </c>
      <c r="AC470" s="84" t="inlineStr">
        <is>
          <t>E+</t>
        </is>
      </c>
      <c r="AD470" s="84" t="n">
        <v>13</v>
      </c>
      <c r="AE470" s="84" t="n">
        <v>10</v>
      </c>
      <c r="AF470" s="84" t="n">
        <v>0.76</v>
      </c>
      <c r="AG470" s="84" t="n">
        <v>0.84</v>
      </c>
      <c r="AH470" s="84" t="n">
        <v>0</v>
      </c>
      <c r="AI470" s="84" t="n">
        <v>0</v>
      </c>
      <c r="AJ470" s="84">
        <f>SUMIFS(AH$8:AH$1039,$O$8:$O$1039,O470,$AB$8:$AB$1039,AB470,$R$8:$R$1039,R470,$AA$8:$AA$1039,"&lt;="&amp;AA470)</f>
        <v/>
      </c>
      <c r="AK470" s="84">
        <f>C48</f>
        <v/>
      </c>
      <c r="AL470" s="84">
        <f>C54</f>
        <v/>
      </c>
      <c r="AM470" s="84">
        <f>MAX(0,AJ470-AK470)</f>
        <v/>
      </c>
      <c r="AN470" s="84">
        <f>IF(AM470=0,AH470,IF(AM470&gt;=AH470,0,AH470-AM470))</f>
        <v/>
      </c>
      <c r="AO470" s="84">
        <f>IF(AM470&gt;=AH470,AI470,AI470*AM470/AH470)</f>
        <v/>
      </c>
      <c r="AP470">
        <f t="array" ref="AP470">INDEX($AU$8:$BB$25,6*(R470-1)+MATCH(AB470,$AS$8:$AS$13,0),MATCH(O470,$AU$7:$BB$7,0))</f>
        <v/>
      </c>
    </row>
    <row r="471" ht="14.25" customHeight="1">
      <c r="O471" s="43" t="inlineStr">
        <is>
          <t>Q4’26</t>
        </is>
      </c>
      <c r="P471" s="43" t="n">
        <v>2</v>
      </c>
      <c r="Q471" s="43" t="n">
        <v>15</v>
      </c>
      <c r="R471" s="43" t="n">
        <v>2</v>
      </c>
      <c r="S471" s="45" t="n">
        <v>420</v>
      </c>
      <c r="T471">
        <f>(S470+S471+S472)=Q3</f>
        <v/>
      </c>
      <c r="X471" s="84">
        <f>MAX(S468-S471,0)</f>
        <v/>
      </c>
      <c r="Y471" s="83" t="n">
        <v>0</v>
      </c>
      <c r="AA471" s="84" t="n">
        <v>7</v>
      </c>
      <c r="AB471" s="84" t="inlineStr">
        <is>
          <t>E</t>
        </is>
      </c>
      <c r="AC471" s="84" t="inlineStr">
        <is>
          <t>E+</t>
        </is>
      </c>
      <c r="AD471" s="84" t="n">
        <v>13</v>
      </c>
      <c r="AE471" s="84" t="n">
        <v>10</v>
      </c>
      <c r="AF471" s="84" t="n">
        <v>0.76</v>
      </c>
      <c r="AG471" s="84" t="n">
        <v>0.84</v>
      </c>
      <c r="AH471" s="84" t="n">
        <v>0</v>
      </c>
      <c r="AI471" s="84" t="n">
        <v>0</v>
      </c>
      <c r="AJ471" s="84">
        <f>SUMIFS(AH$8:AH$1039,$O$8:$O$1039,O471,$AB$8:$AB$1039,AB471,$R$8:$R$1039,R471,$AA$8:$AA$1039,"&lt;="&amp;AA471)</f>
        <v/>
      </c>
      <c r="AK471" s="84">
        <f>D48</f>
        <v/>
      </c>
      <c r="AL471" s="84">
        <f>D54</f>
        <v/>
      </c>
      <c r="AM471" s="84">
        <f>MAX(0,AJ471-AK471)</f>
        <v/>
      </c>
      <c r="AN471" s="84">
        <f>IF(AM471=0,AH471,IF(AM471&gt;=AH471,0,AH471-AM471))</f>
        <v/>
      </c>
      <c r="AO471" s="84">
        <f>IF(AM471&gt;=AH471,AI471,AI471*AM471/AH471)</f>
        <v/>
      </c>
      <c r="AP471">
        <f t="array" ref="AP471">INDEX($AU$8:$BB$25,6*(R471-1)+MATCH(AB471,$AS$8:$AS$13,0),MATCH(O471,$AU$7:$BB$7,0))</f>
        <v/>
      </c>
    </row>
    <row r="472" ht="14.25" customHeight="1">
      <c r="O472" s="43" t="inlineStr">
        <is>
          <t>Q4’26</t>
        </is>
      </c>
      <c r="P472" s="43" t="n">
        <v>2</v>
      </c>
      <c r="Q472" s="43" t="n">
        <v>15</v>
      </c>
      <c r="R472" s="43" t="n">
        <v>3</v>
      </c>
      <c r="S472" s="45" t="n">
        <v>0</v>
      </c>
      <c r="T472">
        <f>(S470+S471+S472)=Q3</f>
        <v/>
      </c>
      <c r="X472" s="84">
        <f>MAX(S469-S472,0)</f>
        <v/>
      </c>
      <c r="Y472" s="83" t="n">
        <v>0</v>
      </c>
      <c r="AA472" s="84" t="n">
        <v>7</v>
      </c>
      <c r="AB472" s="84" t="inlineStr">
        <is>
          <t>E</t>
        </is>
      </c>
      <c r="AC472" s="84" t="inlineStr">
        <is>
          <t>E+</t>
        </is>
      </c>
      <c r="AD472" s="84" t="n">
        <v>13</v>
      </c>
      <c r="AE472" s="84" t="n">
        <v>10</v>
      </c>
      <c r="AF472" s="84" t="n">
        <v>0.76</v>
      </c>
      <c r="AG472" s="84" t="n">
        <v>0.84</v>
      </c>
      <c r="AH472" s="84" t="n">
        <v>0</v>
      </c>
      <c r="AI472" s="84" t="n">
        <v>0</v>
      </c>
      <c r="AJ472" s="84">
        <f>SUMIFS(AH$8:AH$1039,$O$8:$O$1039,O472,$AB$8:$AB$1039,AB472,$R$8:$R$1039,R472,$AA$8:$AA$1039,"&lt;="&amp;AA472)</f>
        <v/>
      </c>
      <c r="AK472" s="84">
        <f>E48</f>
        <v/>
      </c>
      <c r="AL472" s="84">
        <f>E54</f>
        <v/>
      </c>
      <c r="AM472" s="84">
        <f>MAX(0,AJ472-AK472)</f>
        <v/>
      </c>
      <c r="AN472" s="84">
        <f>IF(AM472=0,AH472,IF(AM472&gt;=AH472,0,AH472-AM472))</f>
        <v/>
      </c>
      <c r="AO472" s="84">
        <f>IF(AM472&gt;=AH472,AI472,AI472*AM472/AH472)</f>
        <v/>
      </c>
      <c r="AP472">
        <f t="array" ref="AP472">INDEX($AU$8:$BB$25,6*(R472-1)+MATCH(AB472,$AS$8:$AS$13,0),MATCH(O472,$AU$7:$BB$7,0))</f>
        <v/>
      </c>
    </row>
    <row r="473" ht="14.25" customHeight="1">
      <c r="O473" s="43" t="inlineStr">
        <is>
          <t>Q4’26</t>
        </is>
      </c>
      <c r="P473" s="43" t="n">
        <v>3</v>
      </c>
      <c r="Q473" s="43" t="n">
        <v>1</v>
      </c>
      <c r="R473" s="43" t="n">
        <v>1</v>
      </c>
      <c r="S473" s="45" t="n">
        <v>2141.703529411764</v>
      </c>
      <c r="T473">
        <f>(S473+S474+S475)=Q4</f>
        <v/>
      </c>
      <c r="X473" s="84" t="n">
        <v>0</v>
      </c>
      <c r="Y473" s="83" t="n">
        <v>0</v>
      </c>
      <c r="AA473" s="84" t="n">
        <v>1</v>
      </c>
      <c r="AB473" s="84" t="inlineStr">
        <is>
          <t>C</t>
        </is>
      </c>
      <c r="AC473" s="84" t="inlineStr">
        <is>
          <t>C+</t>
        </is>
      </c>
      <c r="AD473" s="84" t="n">
        <v>21</v>
      </c>
      <c r="AE473" s="84" t="n">
        <v>20</v>
      </c>
      <c r="AF473" s="84" t="n">
        <v>0.8</v>
      </c>
      <c r="AG473" s="84" t="n">
        <v>0.86</v>
      </c>
      <c r="AH473" s="84" t="n">
        <v>0</v>
      </c>
      <c r="AI473" s="84" t="n">
        <v>0</v>
      </c>
      <c r="AJ473" s="84">
        <f>SUMIFS(AH$8:AH$1039,$O$8:$O$1039,O473,$AB$8:$AB$1039,AB473,$R$8:$R$1039,R473,$AA$8:$AA$1039,"&lt;="&amp;AA473)</f>
        <v/>
      </c>
      <c r="AK473" s="84">
        <f>C46</f>
        <v/>
      </c>
      <c r="AL473" s="84">
        <f>C52</f>
        <v/>
      </c>
      <c r="AM473" s="84">
        <f>MAX(0,AJ473-AK473)</f>
        <v/>
      </c>
      <c r="AN473" s="84">
        <f>IF(AM473=0,AH473,IF(AM473&gt;=AH473,0,AH473-AM473))</f>
        <v/>
      </c>
      <c r="AO473" s="84">
        <f>IF(AM473&gt;=AH473,AI473,AI473*AM473/AH473)</f>
        <v/>
      </c>
      <c r="AP473">
        <f t="array" ref="AP473">INDEX($AU$8:$BB$25,6*(R473-1)+MATCH(AB473,$AS$8:$AS$13,0),MATCH(O473,$AU$7:$BB$7,0))</f>
        <v/>
      </c>
    </row>
    <row r="474" ht="14.25" customHeight="1">
      <c r="O474" s="43" t="inlineStr">
        <is>
          <t>Q4’26</t>
        </is>
      </c>
      <c r="P474" s="43" t="n">
        <v>3</v>
      </c>
      <c r="Q474" s="43" t="n">
        <v>1</v>
      </c>
      <c r="R474" s="43" t="n">
        <v>2</v>
      </c>
      <c r="S474" s="45" t="n">
        <v>2889.19114688129</v>
      </c>
      <c r="T474">
        <f>(S473+S474+S475)=Q4</f>
        <v/>
      </c>
      <c r="X474" s="84" t="n">
        <v>0</v>
      </c>
      <c r="Y474" s="83" t="n">
        <v>0</v>
      </c>
      <c r="AA474" s="84" t="n">
        <v>1</v>
      </c>
      <c r="AB474" s="84" t="inlineStr">
        <is>
          <t>C</t>
        </is>
      </c>
      <c r="AC474" s="84" t="inlineStr">
        <is>
          <t>C+</t>
        </is>
      </c>
      <c r="AD474" s="84" t="n">
        <v>21</v>
      </c>
      <c r="AE474" s="84" t="n">
        <v>20</v>
      </c>
      <c r="AF474" s="84" t="n">
        <v>0.8</v>
      </c>
      <c r="AG474" s="84" t="n">
        <v>0.86</v>
      </c>
      <c r="AH474" s="84" t="n">
        <v>0</v>
      </c>
      <c r="AI474" s="84" t="n">
        <v>0</v>
      </c>
      <c r="AJ474" s="84">
        <f>SUMIFS(AH$8:AH$1039,$O$8:$O$1039,O474,$AB$8:$AB$1039,AB474,$R$8:$R$1039,R474,$AA$8:$AA$1039,"&lt;="&amp;AA474)</f>
        <v/>
      </c>
      <c r="AK474" s="84">
        <f>D46</f>
        <v/>
      </c>
      <c r="AL474" s="84">
        <f>D52</f>
        <v/>
      </c>
      <c r="AM474" s="84">
        <f>MAX(0,AJ474-AK474)</f>
        <v/>
      </c>
      <c r="AN474" s="84">
        <f>IF(AM474=0,AH474,IF(AM474&gt;=AH474,0,AH474-AM474))</f>
        <v/>
      </c>
      <c r="AO474" s="84">
        <f>IF(AM474&gt;=AH474,AI474,AI474*AM474/AH474)</f>
        <v/>
      </c>
      <c r="AP474">
        <f t="array" ref="AP474">INDEX($AU$8:$BB$25,6*(R474-1)+MATCH(AB474,$AS$8:$AS$13,0),MATCH(O474,$AU$7:$BB$7,0))</f>
        <v/>
      </c>
    </row>
    <row r="475" ht="14.25" customHeight="1">
      <c r="O475" s="43" t="inlineStr">
        <is>
          <t>Q4’26</t>
        </is>
      </c>
      <c r="P475" s="43" t="n">
        <v>3</v>
      </c>
      <c r="Q475" s="43" t="n">
        <v>1</v>
      </c>
      <c r="R475" s="43" t="n">
        <v>3</v>
      </c>
      <c r="S475" s="45" t="n">
        <v>2969.105323706946</v>
      </c>
      <c r="T475">
        <f>(S473+S474+S475)=Q4</f>
        <v/>
      </c>
      <c r="X475" s="84" t="n">
        <v>0</v>
      </c>
      <c r="Y475" s="83" t="n">
        <v>0</v>
      </c>
      <c r="AA475" s="84" t="n">
        <v>1</v>
      </c>
      <c r="AB475" s="84" t="inlineStr">
        <is>
          <t>C</t>
        </is>
      </c>
      <c r="AC475" s="84" t="inlineStr">
        <is>
          <t>C+</t>
        </is>
      </c>
      <c r="AD475" s="84" t="n">
        <v>21</v>
      </c>
      <c r="AE475" s="84" t="n">
        <v>20</v>
      </c>
      <c r="AF475" s="84" t="n">
        <v>0.8</v>
      </c>
      <c r="AG475" s="84" t="n">
        <v>0.86</v>
      </c>
      <c r="AH475" s="84" t="n">
        <v>0</v>
      </c>
      <c r="AI475" s="84" t="n">
        <v>0</v>
      </c>
      <c r="AJ475" s="84">
        <f>SUMIFS(AH$8:AH$1039,$O$8:$O$1039,O475,$AB$8:$AB$1039,AB475,$R$8:$R$1039,R475,$AA$8:$AA$1039,"&lt;="&amp;AA475)</f>
        <v/>
      </c>
      <c r="AK475" s="84">
        <f>E46</f>
        <v/>
      </c>
      <c r="AL475" s="84">
        <f>E52</f>
        <v/>
      </c>
      <c r="AM475" s="84">
        <f>MAX(0,AJ475-AK475)</f>
        <v/>
      </c>
      <c r="AN475" s="84">
        <f>IF(AM475=0,AH475,IF(AM475&gt;=AH475,0,AH475-AM475))</f>
        <v/>
      </c>
      <c r="AO475" s="84">
        <f>IF(AM475&gt;=AH475,AI475,AI475*AM475/AH475)</f>
        <v/>
      </c>
      <c r="AP475">
        <f t="array" ref="AP475">INDEX($AU$8:$BB$25,6*(R475-1)+MATCH(AB475,$AS$8:$AS$13,0),MATCH(O475,$AU$7:$BB$7,0))</f>
        <v/>
      </c>
    </row>
    <row r="476" ht="14.25" customHeight="1">
      <c r="O476" s="43" t="inlineStr">
        <is>
          <t>Q4’26</t>
        </is>
      </c>
      <c r="P476" s="43" t="n">
        <v>3</v>
      </c>
      <c r="Q476" s="43" t="n">
        <v>2</v>
      </c>
      <c r="R476" s="43" t="n">
        <v>1</v>
      </c>
      <c r="S476" s="45" t="n">
        <v>2141.703529411764</v>
      </c>
      <c r="T476">
        <f>(S476+S477+S478)=Q4</f>
        <v/>
      </c>
      <c r="X476" s="84">
        <f>MAX(S473-S476,0)</f>
        <v/>
      </c>
      <c r="Y476" s="83" t="n">
        <v>0</v>
      </c>
      <c r="AA476" s="84" t="n">
        <v>8</v>
      </c>
      <c r="AB476" s="84" t="inlineStr">
        <is>
          <t>D</t>
        </is>
      </c>
      <c r="AC476" s="84" t="inlineStr">
        <is>
          <t>D+</t>
        </is>
      </c>
      <c r="AD476" s="84" t="n">
        <v>9</v>
      </c>
      <c r="AE476" s="84" t="n">
        <v>7</v>
      </c>
      <c r="AF476" s="84" t="n">
        <v>0.8</v>
      </c>
      <c r="AG476" s="84" t="n">
        <v>0.88</v>
      </c>
      <c r="AH476" s="84" t="n">
        <v>0</v>
      </c>
      <c r="AI476" s="84" t="n">
        <v>0</v>
      </c>
      <c r="AJ476" s="84">
        <f>SUMIFS(AH$8:AH$1039,$O$8:$O$1039,O476,$AB$8:$AB$1039,AB476,$R$8:$R$1039,R476,$AA$8:$AA$1039,"&lt;="&amp;AA476)</f>
        <v/>
      </c>
      <c r="AK476" s="84">
        <f>C47</f>
        <v/>
      </c>
      <c r="AL476" s="84">
        <f>C53</f>
        <v/>
      </c>
      <c r="AM476" s="84">
        <f>MAX(0,AJ476-AK476)</f>
        <v/>
      </c>
      <c r="AN476" s="84">
        <f>IF(AM476=0,AH476,IF(AM476&gt;=AH476,0,AH476-AM476))</f>
        <v/>
      </c>
      <c r="AO476" s="84">
        <f>IF(AM476&gt;=AH476,AI476,AI476*AM476/AH476)</f>
        <v/>
      </c>
      <c r="AP476">
        <f t="array" ref="AP476">INDEX($AU$8:$BB$25,6*(R476-1)+MATCH(AB476,$AS$8:$AS$13,0),MATCH(O476,$AU$7:$BB$7,0))</f>
        <v/>
      </c>
    </row>
    <row r="477" ht="14.25" customHeight="1">
      <c r="O477" s="43" t="inlineStr">
        <is>
          <t>Q4’26</t>
        </is>
      </c>
      <c r="P477" s="43" t="n">
        <v>3</v>
      </c>
      <c r="Q477" s="43" t="n">
        <v>2</v>
      </c>
      <c r="R477" s="43" t="n">
        <v>2</v>
      </c>
      <c r="S477" s="45" t="n">
        <v>2889.19114688129</v>
      </c>
      <c r="T477">
        <f>(S476+S477+S478)=Q4</f>
        <v/>
      </c>
      <c r="X477" s="84">
        <f>MAX(S474-S477,0)</f>
        <v/>
      </c>
      <c r="Y477" s="83" t="n">
        <v>0</v>
      </c>
      <c r="AA477" s="84" t="n">
        <v>8</v>
      </c>
      <c r="AB477" s="84" t="inlineStr">
        <is>
          <t>D</t>
        </is>
      </c>
      <c r="AC477" s="84" t="inlineStr">
        <is>
          <t>D+</t>
        </is>
      </c>
      <c r="AD477" s="84" t="n">
        <v>9</v>
      </c>
      <c r="AE477" s="84" t="n">
        <v>7</v>
      </c>
      <c r="AF477" s="84" t="n">
        <v>0.8</v>
      </c>
      <c r="AG477" s="84" t="n">
        <v>0.88</v>
      </c>
      <c r="AH477" s="84" t="n">
        <v>0</v>
      </c>
      <c r="AI477" s="84" t="n">
        <v>0</v>
      </c>
      <c r="AJ477" s="84">
        <f>SUMIFS(AH$8:AH$1039,$O$8:$O$1039,O477,$AB$8:$AB$1039,AB477,$R$8:$R$1039,R477,$AA$8:$AA$1039,"&lt;="&amp;AA477)</f>
        <v/>
      </c>
      <c r="AK477" s="84">
        <f>D47</f>
        <v/>
      </c>
      <c r="AL477" s="84">
        <f>D53</f>
        <v/>
      </c>
      <c r="AM477" s="84">
        <f>MAX(0,AJ477-AK477)</f>
        <v/>
      </c>
      <c r="AN477" s="84">
        <f>IF(AM477=0,AH477,IF(AM477&gt;=AH477,0,AH477-AM477))</f>
        <v/>
      </c>
      <c r="AO477" s="84">
        <f>IF(AM477&gt;=AH477,AI477,AI477*AM477/AH477)</f>
        <v/>
      </c>
      <c r="AP477">
        <f t="array" ref="AP477">INDEX($AU$8:$BB$25,6*(R477-1)+MATCH(AB477,$AS$8:$AS$13,0),MATCH(O477,$AU$7:$BB$7,0))</f>
        <v/>
      </c>
    </row>
    <row r="478" ht="14.25" customHeight="1">
      <c r="O478" s="43" t="inlineStr">
        <is>
          <t>Q4’26</t>
        </is>
      </c>
      <c r="P478" s="43" t="n">
        <v>3</v>
      </c>
      <c r="Q478" s="43" t="n">
        <v>2</v>
      </c>
      <c r="R478" s="43" t="n">
        <v>3</v>
      </c>
      <c r="S478" s="45" t="n">
        <v>2969.105323706946</v>
      </c>
      <c r="T478">
        <f>(S476+S477+S478)=Q4</f>
        <v/>
      </c>
      <c r="X478" s="84">
        <f>MAX(S475-S478,0)</f>
        <v/>
      </c>
      <c r="Y478" s="83" t="n">
        <v>0</v>
      </c>
      <c r="AA478" s="84" t="n">
        <v>8</v>
      </c>
      <c r="AB478" s="84" t="inlineStr">
        <is>
          <t>D</t>
        </is>
      </c>
      <c r="AC478" s="84" t="inlineStr">
        <is>
          <t>D+</t>
        </is>
      </c>
      <c r="AD478" s="84" t="n">
        <v>9</v>
      </c>
      <c r="AE478" s="84" t="n">
        <v>7</v>
      </c>
      <c r="AF478" s="84" t="n">
        <v>0.8</v>
      </c>
      <c r="AG478" s="84" t="n">
        <v>0.88</v>
      </c>
      <c r="AH478" s="84" t="n">
        <v>0</v>
      </c>
      <c r="AI478" s="84" t="n">
        <v>0</v>
      </c>
      <c r="AJ478" s="84">
        <f>SUMIFS(AH$8:AH$1039,$O$8:$O$1039,O478,$AB$8:$AB$1039,AB478,$R$8:$R$1039,R478,$AA$8:$AA$1039,"&lt;="&amp;AA478)</f>
        <v/>
      </c>
      <c r="AK478" s="84">
        <f>E47</f>
        <v/>
      </c>
      <c r="AL478" s="84">
        <f>E53</f>
        <v/>
      </c>
      <c r="AM478" s="84">
        <f>MAX(0,AJ478-AK478)</f>
        <v/>
      </c>
      <c r="AN478" s="84">
        <f>IF(AM478=0,AH478,IF(AM478&gt;=AH478,0,AH478-AM478))</f>
        <v/>
      </c>
      <c r="AO478" s="84">
        <f>IF(AM478&gt;=AH478,AI478,AI478*AM478/AH478)</f>
        <v/>
      </c>
      <c r="AP478">
        <f t="array" ref="AP478">INDEX($AU$8:$BB$25,6*(R478-1)+MATCH(AB478,$AS$8:$AS$13,0),MATCH(O478,$AU$7:$BB$7,0))</f>
        <v/>
      </c>
    </row>
    <row r="479" ht="14.25" customHeight="1">
      <c r="O479" s="43" t="inlineStr">
        <is>
          <t>Q4’26</t>
        </is>
      </c>
      <c r="P479" s="43" t="n">
        <v>3</v>
      </c>
      <c r="Q479" s="43" t="n">
        <v>3</v>
      </c>
      <c r="R479" s="43" t="n">
        <v>1</v>
      </c>
      <c r="S479" s="45" t="n">
        <v>2141.703529411764</v>
      </c>
      <c r="T479">
        <f>(S479+S480+S481)=Q4</f>
        <v/>
      </c>
      <c r="X479" s="84">
        <f>MAX(S476-S479,0)</f>
        <v/>
      </c>
      <c r="Y479" s="83" t="n">
        <v>0</v>
      </c>
      <c r="AA479" s="84" t="n">
        <v>1</v>
      </c>
      <c r="AB479" s="84" t="inlineStr">
        <is>
          <t>E</t>
        </is>
      </c>
      <c r="AC479" s="84" t="inlineStr">
        <is>
          <t>E+</t>
        </is>
      </c>
      <c r="AD479" s="84" t="n">
        <v>24</v>
      </c>
      <c r="AE479" s="84" t="n">
        <v>23</v>
      </c>
      <c r="AF479" s="84" t="n">
        <v>0.76</v>
      </c>
      <c r="AG479" s="84" t="n">
        <v>0.84</v>
      </c>
      <c r="AH479" s="84" t="n">
        <v>0</v>
      </c>
      <c r="AI479" s="84" t="n">
        <v>0</v>
      </c>
      <c r="AJ479" s="84">
        <f>SUMIFS(AH$8:AH$1039,$O$8:$O$1039,O479,$AB$8:$AB$1039,AB479,$R$8:$R$1039,R479,$AA$8:$AA$1039,"&lt;="&amp;AA479)</f>
        <v/>
      </c>
      <c r="AK479" s="84">
        <f>C48</f>
        <v/>
      </c>
      <c r="AL479" s="84">
        <f>C54</f>
        <v/>
      </c>
      <c r="AM479" s="84">
        <f>MAX(0,AJ479-AK479)</f>
        <v/>
      </c>
      <c r="AN479" s="84">
        <f>IF(AM479=0,AH479,IF(AM479&gt;=AH479,0,AH479-AM479))</f>
        <v/>
      </c>
      <c r="AO479" s="84">
        <f>IF(AM479&gt;=AH479,AI479,AI479*AM479/AH479)</f>
        <v/>
      </c>
      <c r="AP479">
        <f t="array" ref="AP479">INDEX($AU$8:$BB$25,6*(R479-1)+MATCH(AB479,$AS$8:$AS$13,0),MATCH(O479,$AU$7:$BB$7,0))</f>
        <v/>
      </c>
    </row>
    <row r="480" ht="14.25" customHeight="1">
      <c r="O480" s="43" t="inlineStr">
        <is>
          <t>Q4’26</t>
        </is>
      </c>
      <c r="P480" s="43" t="n">
        <v>3</v>
      </c>
      <c r="Q480" s="43" t="n">
        <v>3</v>
      </c>
      <c r="R480" s="43" t="n">
        <v>2</v>
      </c>
      <c r="S480" s="45" t="n">
        <v>2889.19114688129</v>
      </c>
      <c r="T480">
        <f>(S479+S480+S481)=Q4</f>
        <v/>
      </c>
      <c r="X480" s="84">
        <f>MAX(S477-S480,0)</f>
        <v/>
      </c>
      <c r="Y480" s="83" t="n">
        <v>0</v>
      </c>
      <c r="AA480" s="84" t="n">
        <v>1</v>
      </c>
      <c r="AB480" s="84" t="inlineStr">
        <is>
          <t>E</t>
        </is>
      </c>
      <c r="AC480" s="84" t="inlineStr">
        <is>
          <t>E+</t>
        </is>
      </c>
      <c r="AD480" s="84" t="n">
        <v>24</v>
      </c>
      <c r="AE480" s="84" t="n">
        <v>23</v>
      </c>
      <c r="AF480" s="84" t="n">
        <v>0.76</v>
      </c>
      <c r="AG480" s="84" t="n">
        <v>0.84</v>
      </c>
      <c r="AH480" s="84" t="n">
        <v>0</v>
      </c>
      <c r="AI480" s="84" t="n">
        <v>0</v>
      </c>
      <c r="AJ480" s="84">
        <f>SUMIFS(AH$8:AH$1039,$O$8:$O$1039,O480,$AB$8:$AB$1039,AB480,$R$8:$R$1039,R480,$AA$8:$AA$1039,"&lt;="&amp;AA480)</f>
        <v/>
      </c>
      <c r="AK480" s="84">
        <f>D48</f>
        <v/>
      </c>
      <c r="AL480" s="84">
        <f>D54</f>
        <v/>
      </c>
      <c r="AM480" s="84">
        <f>MAX(0,AJ480-AK480)</f>
        <v/>
      </c>
      <c r="AN480" s="84">
        <f>IF(AM480=0,AH480,IF(AM480&gt;=AH480,0,AH480-AM480))</f>
        <v/>
      </c>
      <c r="AO480" s="84">
        <f>IF(AM480&gt;=AH480,AI480,AI480*AM480/AH480)</f>
        <v/>
      </c>
      <c r="AP480">
        <f t="array" ref="AP480">INDEX($AU$8:$BB$25,6*(R480-1)+MATCH(AB480,$AS$8:$AS$13,0),MATCH(O480,$AU$7:$BB$7,0))</f>
        <v/>
      </c>
    </row>
    <row r="481" ht="14.25" customHeight="1">
      <c r="O481" s="43" t="inlineStr">
        <is>
          <t>Q4’26</t>
        </is>
      </c>
      <c r="P481" s="43" t="n">
        <v>3</v>
      </c>
      <c r="Q481" s="43" t="n">
        <v>3</v>
      </c>
      <c r="R481" s="43" t="n">
        <v>3</v>
      </c>
      <c r="S481" s="45" t="n">
        <v>2969.105323706946</v>
      </c>
      <c r="T481">
        <f>(S479+S480+S481)=Q4</f>
        <v/>
      </c>
      <c r="X481" s="84">
        <f>MAX(S478-S481,0)</f>
        <v/>
      </c>
      <c r="Y481" s="83" t="n">
        <v>0</v>
      </c>
      <c r="AA481" s="84" t="n">
        <v>1</v>
      </c>
      <c r="AB481" s="84" t="inlineStr">
        <is>
          <t>E</t>
        </is>
      </c>
      <c r="AC481" s="84" t="inlineStr">
        <is>
          <t>E+</t>
        </is>
      </c>
      <c r="AD481" s="84" t="n">
        <v>24</v>
      </c>
      <c r="AE481" s="84" t="n">
        <v>23</v>
      </c>
      <c r="AF481" s="84" t="n">
        <v>0.76</v>
      </c>
      <c r="AG481" s="84" t="n">
        <v>0.84</v>
      </c>
      <c r="AH481" s="84" t="n">
        <v>0</v>
      </c>
      <c r="AI481" s="84" t="n">
        <v>0</v>
      </c>
      <c r="AJ481" s="84">
        <f>SUMIFS(AH$8:AH$1039,$O$8:$O$1039,O481,$AB$8:$AB$1039,AB481,$R$8:$R$1039,R481,$AA$8:$AA$1039,"&lt;="&amp;AA481)</f>
        <v/>
      </c>
      <c r="AK481" s="84">
        <f>E48</f>
        <v/>
      </c>
      <c r="AL481" s="84">
        <f>E54</f>
        <v/>
      </c>
      <c r="AM481" s="84">
        <f>MAX(0,AJ481-AK481)</f>
        <v/>
      </c>
      <c r="AN481" s="84">
        <f>IF(AM481=0,AH481,IF(AM481&gt;=AH481,0,AH481-AM481))</f>
        <v/>
      </c>
      <c r="AO481" s="84">
        <f>IF(AM481&gt;=AH481,AI481,AI481*AM481/AH481)</f>
        <v/>
      </c>
      <c r="AP481">
        <f t="array" ref="AP481">INDEX($AU$8:$BB$25,6*(R481-1)+MATCH(AB481,$AS$8:$AS$13,0),MATCH(O481,$AU$7:$BB$7,0))</f>
        <v/>
      </c>
    </row>
    <row r="482" ht="14.25" customHeight="1">
      <c r="O482" s="43" t="inlineStr">
        <is>
          <t>Q4’26</t>
        </is>
      </c>
      <c r="P482" s="43" t="n">
        <v>3</v>
      </c>
      <c r="Q482" s="43" t="n">
        <v>4</v>
      </c>
      <c r="R482" s="43" t="n">
        <v>1</v>
      </c>
      <c r="S482" s="45" t="n">
        <v>2141.703529411764</v>
      </c>
      <c r="T482">
        <f>(S482+S483+S484)=Q4</f>
        <v/>
      </c>
      <c r="X482" s="84">
        <f>MAX(S479-S482,0)</f>
        <v/>
      </c>
      <c r="Y482" s="83" t="n">
        <v>0</v>
      </c>
      <c r="AA482" s="84" t="n">
        <v>9</v>
      </c>
      <c r="AB482" s="84" t="inlineStr">
        <is>
          <t>E</t>
        </is>
      </c>
      <c r="AC482" s="84" t="inlineStr">
        <is>
          <t>E+</t>
        </is>
      </c>
      <c r="AD482" s="84" t="n">
        <v>15</v>
      </c>
      <c r="AE482" s="84" t="n">
        <v>11</v>
      </c>
      <c r="AF482" s="84" t="n">
        <v>0.76</v>
      </c>
      <c r="AG482" s="84" t="n">
        <v>0.84</v>
      </c>
      <c r="AH482" s="84" t="n">
        <v>0</v>
      </c>
      <c r="AI482" s="84" t="n">
        <v>0</v>
      </c>
      <c r="AJ482" s="84">
        <f>SUMIFS(AH$8:AH$1039,$O$8:$O$1039,O482,$AB$8:$AB$1039,AB482,$R$8:$R$1039,R482,$AA$8:$AA$1039,"&lt;="&amp;AA482)</f>
        <v/>
      </c>
      <c r="AK482" s="84">
        <f>C48</f>
        <v/>
      </c>
      <c r="AL482" s="84">
        <f>C54</f>
        <v/>
      </c>
      <c r="AM482" s="84">
        <f>MAX(0,AJ482-AK482)</f>
        <v/>
      </c>
      <c r="AN482" s="84">
        <f>IF(AM482=0,AH482,IF(AM482&gt;=AH482,0,AH482-AM482))</f>
        <v/>
      </c>
      <c r="AO482" s="84">
        <f>IF(AM482&gt;=AH482,AI482,AI482*AM482/AH482)</f>
        <v/>
      </c>
      <c r="AP482">
        <f t="array" ref="AP482">INDEX($AU$8:$BB$25,6*(R482-1)+MATCH(AB482,$AS$8:$AS$13,0),MATCH(O482,$AU$7:$BB$7,0))</f>
        <v/>
      </c>
    </row>
    <row r="483" ht="14.25" customHeight="1">
      <c r="O483" s="43" t="inlineStr">
        <is>
          <t>Q4’26</t>
        </is>
      </c>
      <c r="P483" s="43" t="n">
        <v>3</v>
      </c>
      <c r="Q483" s="43" t="n">
        <v>4</v>
      </c>
      <c r="R483" s="43" t="n">
        <v>2</v>
      </c>
      <c r="S483" s="45" t="n">
        <v>2889.19114688129</v>
      </c>
      <c r="T483">
        <f>(S482+S483+S484)=Q4</f>
        <v/>
      </c>
      <c r="X483" s="84">
        <f>MAX(S480-S483,0)</f>
        <v/>
      </c>
      <c r="Y483" s="83" t="n">
        <v>0</v>
      </c>
      <c r="AA483" s="84" t="n">
        <v>9</v>
      </c>
      <c r="AB483" s="84" t="inlineStr">
        <is>
          <t>E</t>
        </is>
      </c>
      <c r="AC483" s="84" t="inlineStr">
        <is>
          <t>E+</t>
        </is>
      </c>
      <c r="AD483" s="84" t="n">
        <v>15</v>
      </c>
      <c r="AE483" s="84" t="n">
        <v>11</v>
      </c>
      <c r="AF483" s="84" t="n">
        <v>0.76</v>
      </c>
      <c r="AG483" s="84" t="n">
        <v>0.84</v>
      </c>
      <c r="AH483" s="84" t="n">
        <v>0</v>
      </c>
      <c r="AI483" s="84" t="n">
        <v>0</v>
      </c>
      <c r="AJ483" s="84">
        <f>SUMIFS(AH$8:AH$1039,$O$8:$O$1039,O483,$AB$8:$AB$1039,AB483,$R$8:$R$1039,R483,$AA$8:$AA$1039,"&lt;="&amp;AA483)</f>
        <v/>
      </c>
      <c r="AK483" s="84">
        <f>D48</f>
        <v/>
      </c>
      <c r="AL483" s="84">
        <f>D54</f>
        <v/>
      </c>
      <c r="AM483" s="84">
        <f>MAX(0,AJ483-AK483)</f>
        <v/>
      </c>
      <c r="AN483" s="84">
        <f>IF(AM483=0,AH483,IF(AM483&gt;=AH483,0,AH483-AM483))</f>
        <v/>
      </c>
      <c r="AO483" s="84">
        <f>IF(AM483&gt;=AH483,AI483,AI483*AM483/AH483)</f>
        <v/>
      </c>
      <c r="AP483">
        <f t="array" ref="AP483">INDEX($AU$8:$BB$25,6*(R483-1)+MATCH(AB483,$AS$8:$AS$13,0),MATCH(O483,$AU$7:$BB$7,0))</f>
        <v/>
      </c>
    </row>
    <row r="484" ht="14.25" customHeight="1">
      <c r="O484" s="43" t="inlineStr">
        <is>
          <t>Q4’26</t>
        </is>
      </c>
      <c r="P484" s="43" t="n">
        <v>3</v>
      </c>
      <c r="Q484" s="43" t="n">
        <v>4</v>
      </c>
      <c r="R484" s="43" t="n">
        <v>3</v>
      </c>
      <c r="S484" s="45" t="n">
        <v>2969.105323706946</v>
      </c>
      <c r="T484">
        <f>(S482+S483+S484)=Q4</f>
        <v/>
      </c>
      <c r="X484" s="84">
        <f>MAX(S481-S484,0)</f>
        <v/>
      </c>
      <c r="Y484" s="83" t="n">
        <v>0</v>
      </c>
      <c r="AA484" s="84" t="n">
        <v>9</v>
      </c>
      <c r="AB484" s="84" t="inlineStr">
        <is>
          <t>E</t>
        </is>
      </c>
      <c r="AC484" s="84" t="inlineStr">
        <is>
          <t>E+</t>
        </is>
      </c>
      <c r="AD484" s="84" t="n">
        <v>15</v>
      </c>
      <c r="AE484" s="84" t="n">
        <v>11</v>
      </c>
      <c r="AF484" s="84" t="n">
        <v>0.76</v>
      </c>
      <c r="AG484" s="84" t="n">
        <v>0.84</v>
      </c>
      <c r="AH484" s="84" t="n">
        <v>0</v>
      </c>
      <c r="AI484" s="84" t="n">
        <v>0</v>
      </c>
      <c r="AJ484" s="84">
        <f>SUMIFS(AH$8:AH$1039,$O$8:$O$1039,O484,$AB$8:$AB$1039,AB484,$R$8:$R$1039,R484,$AA$8:$AA$1039,"&lt;="&amp;AA484)</f>
        <v/>
      </c>
      <c r="AK484" s="84">
        <f>E48</f>
        <v/>
      </c>
      <c r="AL484" s="84">
        <f>E54</f>
        <v/>
      </c>
      <c r="AM484" s="84">
        <f>MAX(0,AJ484-AK484)</f>
        <v/>
      </c>
      <c r="AN484" s="84">
        <f>IF(AM484=0,AH484,IF(AM484&gt;=AH484,0,AH484-AM484))</f>
        <v/>
      </c>
      <c r="AO484" s="84">
        <f>IF(AM484&gt;=AH484,AI484,AI484*AM484/AH484)</f>
        <v/>
      </c>
      <c r="AP484">
        <f t="array" ref="AP484">INDEX($AU$8:$BB$25,6*(R484-1)+MATCH(AB484,$AS$8:$AS$13,0),MATCH(O484,$AU$7:$BB$7,0))</f>
        <v/>
      </c>
    </row>
    <row r="485" ht="14.25" customHeight="1">
      <c r="O485" s="43" t="inlineStr">
        <is>
          <t>Q4’26</t>
        </is>
      </c>
      <c r="P485" s="43" t="n">
        <v>3</v>
      </c>
      <c r="Q485" s="43" t="n">
        <v>5</v>
      </c>
      <c r="R485" s="43" t="n">
        <v>1</v>
      </c>
      <c r="S485" s="45" t="n">
        <v>2141.703529411764</v>
      </c>
      <c r="T485">
        <f>(S485+S486+S487)=Q4</f>
        <v/>
      </c>
      <c r="X485" s="84">
        <f>MAX(S482-S485,0)</f>
        <v/>
      </c>
      <c r="Y485" s="83" t="n">
        <v>0</v>
      </c>
      <c r="AA485" s="84" t="n">
        <v>6</v>
      </c>
      <c r="AB485" s="84" t="inlineStr">
        <is>
          <t>F</t>
        </is>
      </c>
      <c r="AC485" s="84" t="inlineStr">
        <is>
          <t>F+</t>
        </is>
      </c>
      <c r="AD485" s="84" t="n">
        <v>16</v>
      </c>
      <c r="AE485" s="84" t="n">
        <v>14</v>
      </c>
      <c r="AF485" s="84" t="n">
        <v>0.8</v>
      </c>
      <c r="AG485" s="84" t="n">
        <v>0.9</v>
      </c>
      <c r="AH485" s="84" t="n">
        <v>0</v>
      </c>
      <c r="AI485" s="84" t="n">
        <v>0</v>
      </c>
      <c r="AJ485" s="84">
        <f>SUMIFS(AH$8:AH$1039,$O$8:$O$1039,O485,$AB$8:$AB$1039,AB485,$R$8:$R$1039,R485,$AA$8:$AA$1039,"&lt;="&amp;AA485)</f>
        <v/>
      </c>
      <c r="AK485" s="84">
        <f>C49</f>
        <v/>
      </c>
      <c r="AL485" s="84">
        <f>C55</f>
        <v/>
      </c>
      <c r="AM485" s="84">
        <f>MAX(0,AJ485-AK485)</f>
        <v/>
      </c>
      <c r="AN485" s="84">
        <f>IF(AM485=0,AH485,IF(AM485&gt;=AH485,0,AH485-AM485))</f>
        <v/>
      </c>
      <c r="AO485" s="84">
        <f>IF(AM485&gt;=AH485,AI485,AI485*AM485/AH485)</f>
        <v/>
      </c>
      <c r="AP485">
        <f t="array" ref="AP485">INDEX($AU$8:$BB$25,6*(R485-1)+MATCH(AB485,$AS$8:$AS$13,0),MATCH(O485,$AU$7:$BB$7,0))</f>
        <v/>
      </c>
    </row>
    <row r="486" ht="14.25" customHeight="1">
      <c r="O486" s="43" t="inlineStr">
        <is>
          <t>Q4’26</t>
        </is>
      </c>
      <c r="P486" s="43" t="n">
        <v>3</v>
      </c>
      <c r="Q486" s="43" t="n">
        <v>5</v>
      </c>
      <c r="R486" s="43" t="n">
        <v>2</v>
      </c>
      <c r="S486" s="45" t="n">
        <v>2889.19114688129</v>
      </c>
      <c r="T486">
        <f>(S485+S486+S487)=Q4</f>
        <v/>
      </c>
      <c r="X486" s="84">
        <f>MAX(S483-S486,0)</f>
        <v/>
      </c>
      <c r="Y486" s="83" t="n">
        <v>0</v>
      </c>
      <c r="AA486" s="84" t="n">
        <v>6</v>
      </c>
      <c r="AB486" s="84" t="inlineStr">
        <is>
          <t>F</t>
        </is>
      </c>
      <c r="AC486" s="84" t="inlineStr">
        <is>
          <t>F+</t>
        </is>
      </c>
      <c r="AD486" s="84" t="n">
        <v>16</v>
      </c>
      <c r="AE486" s="84" t="n">
        <v>14</v>
      </c>
      <c r="AF486" s="84" t="n">
        <v>0.8</v>
      </c>
      <c r="AG486" s="84" t="n">
        <v>0.9</v>
      </c>
      <c r="AH486" s="84" t="n">
        <v>0</v>
      </c>
      <c r="AI486" s="84" t="n">
        <v>0</v>
      </c>
      <c r="AJ486" s="84">
        <f>SUMIFS(AH$8:AH$1039,$O$8:$O$1039,O486,$AB$8:$AB$1039,AB486,$R$8:$R$1039,R486,$AA$8:$AA$1039,"&lt;="&amp;AA486)</f>
        <v/>
      </c>
      <c r="AK486" s="84">
        <f>D49</f>
        <v/>
      </c>
      <c r="AL486" s="84">
        <f>D55</f>
        <v/>
      </c>
      <c r="AM486" s="84">
        <f>MAX(0,AJ486-AK486)</f>
        <v/>
      </c>
      <c r="AN486" s="84">
        <f>IF(AM486=0,AH486,IF(AM486&gt;=AH486,0,AH486-AM486))</f>
        <v/>
      </c>
      <c r="AO486" s="84">
        <f>IF(AM486&gt;=AH486,AI486,AI486*AM486/AH486)</f>
        <v/>
      </c>
      <c r="AP486">
        <f t="array" ref="AP486">INDEX($AU$8:$BB$25,6*(R486-1)+MATCH(AB486,$AS$8:$AS$13,0),MATCH(O486,$AU$7:$BB$7,0))</f>
        <v/>
      </c>
    </row>
    <row r="487" ht="14.25" customHeight="1">
      <c r="O487" s="43" t="inlineStr">
        <is>
          <t>Q4’26</t>
        </is>
      </c>
      <c r="P487" s="43" t="n">
        <v>3</v>
      </c>
      <c r="Q487" s="43" t="n">
        <v>5</v>
      </c>
      <c r="R487" s="43" t="n">
        <v>3</v>
      </c>
      <c r="S487" s="45" t="n">
        <v>2969.105323706946</v>
      </c>
      <c r="T487">
        <f>(S485+S486+S487)=Q4</f>
        <v/>
      </c>
      <c r="X487" s="84">
        <f>MAX(S484-S487,0)</f>
        <v/>
      </c>
      <c r="Y487" s="83" t="n">
        <v>0</v>
      </c>
      <c r="AA487" s="84" t="n">
        <v>6</v>
      </c>
      <c r="AB487" s="84" t="inlineStr">
        <is>
          <t>F</t>
        </is>
      </c>
      <c r="AC487" s="84" t="inlineStr">
        <is>
          <t>F+</t>
        </is>
      </c>
      <c r="AD487" s="84" t="n">
        <v>16</v>
      </c>
      <c r="AE487" s="84" t="n">
        <v>14</v>
      </c>
      <c r="AF487" s="84" t="n">
        <v>0.8</v>
      </c>
      <c r="AG487" s="84" t="n">
        <v>0.9</v>
      </c>
      <c r="AH487" s="84" t="n">
        <v>0</v>
      </c>
      <c r="AI487" s="84" t="n">
        <v>0</v>
      </c>
      <c r="AJ487" s="84">
        <f>SUMIFS(AH$8:AH$1039,$O$8:$O$1039,O487,$AB$8:$AB$1039,AB487,$R$8:$R$1039,R487,$AA$8:$AA$1039,"&lt;="&amp;AA487)</f>
        <v/>
      </c>
      <c r="AK487" s="84">
        <f>E49</f>
        <v/>
      </c>
      <c r="AL487" s="84">
        <f>E55</f>
        <v/>
      </c>
      <c r="AM487" s="84">
        <f>MAX(0,AJ487-AK487)</f>
        <v/>
      </c>
      <c r="AN487" s="84">
        <f>IF(AM487=0,AH487,IF(AM487&gt;=AH487,0,AH487-AM487))</f>
        <v/>
      </c>
      <c r="AO487" s="84">
        <f>IF(AM487&gt;=AH487,AI487,AI487*AM487/AH487)</f>
        <v/>
      </c>
      <c r="AP487">
        <f t="array" ref="AP487">INDEX($AU$8:$BB$25,6*(R487-1)+MATCH(AB487,$AS$8:$AS$13,0),MATCH(O487,$AU$7:$BB$7,0))</f>
        <v/>
      </c>
    </row>
    <row r="488" ht="14.25" customHeight="1">
      <c r="O488" s="43" t="inlineStr">
        <is>
          <t>Q4’26</t>
        </is>
      </c>
      <c r="P488" s="43" t="n">
        <v>3</v>
      </c>
      <c r="Q488" s="43" t="n">
        <v>6</v>
      </c>
      <c r="R488" s="43" t="n">
        <v>1</v>
      </c>
      <c r="S488" s="45" t="n">
        <v>2141.703529411764</v>
      </c>
      <c r="T488">
        <f>(S488+S489+S490)=Q4</f>
        <v/>
      </c>
      <c r="X488" s="84">
        <f>MAX(S485-S488,0)</f>
        <v/>
      </c>
      <c r="Y488" s="83" t="n">
        <v>0</v>
      </c>
      <c r="AA488" s="84" t="n">
        <v>1</v>
      </c>
      <c r="AB488" s="84" t="inlineStr">
        <is>
          <t>D</t>
        </is>
      </c>
      <c r="AC488" s="84" t="inlineStr">
        <is>
          <t>D+</t>
        </is>
      </c>
      <c r="AD488" s="84" t="n">
        <v>12</v>
      </c>
      <c r="AE488" s="84" t="n">
        <v>11</v>
      </c>
      <c r="AF488" s="84" t="n">
        <v>0.8</v>
      </c>
      <c r="AG488" s="84" t="n">
        <v>0.88</v>
      </c>
      <c r="AH488" s="84" t="n">
        <v>0</v>
      </c>
      <c r="AI488" s="84" t="n">
        <v>0</v>
      </c>
      <c r="AJ488" s="84">
        <f>SUMIFS(AH$8:AH$1039,$O$8:$O$1039,O488,$AB$8:$AB$1039,AB488,$R$8:$R$1039,R488,$AA$8:$AA$1039,"&lt;="&amp;AA488)</f>
        <v/>
      </c>
      <c r="AK488" s="84">
        <f>C47</f>
        <v/>
      </c>
      <c r="AL488" s="84">
        <f>C53</f>
        <v/>
      </c>
      <c r="AM488" s="84">
        <f>MAX(0,AJ488-AK488)</f>
        <v/>
      </c>
      <c r="AN488" s="84">
        <f>IF(AM488=0,AH488,IF(AM488&gt;=AH488,0,AH488-AM488))</f>
        <v/>
      </c>
      <c r="AO488" s="84">
        <f>IF(AM488&gt;=AH488,AI488,AI488*AM488/AH488)</f>
        <v/>
      </c>
      <c r="AP488">
        <f t="array" ref="AP488">INDEX($AU$8:$BB$25,6*(R488-1)+MATCH(AB488,$AS$8:$AS$13,0),MATCH(O488,$AU$7:$BB$7,0))</f>
        <v/>
      </c>
    </row>
    <row r="489" ht="14.25" customHeight="1">
      <c r="O489" s="43" t="inlineStr">
        <is>
          <t>Q4’26</t>
        </is>
      </c>
      <c r="P489" s="43" t="n">
        <v>3</v>
      </c>
      <c r="Q489" s="43" t="n">
        <v>6</v>
      </c>
      <c r="R489" s="43" t="n">
        <v>2</v>
      </c>
      <c r="S489" s="45" t="n">
        <v>2889.19114688129</v>
      </c>
      <c r="T489">
        <f>(S488+S489+S490)=Q4</f>
        <v/>
      </c>
      <c r="X489" s="84">
        <f>MAX(S486-S489,0)</f>
        <v/>
      </c>
      <c r="Y489" s="83" t="n">
        <v>0</v>
      </c>
      <c r="AA489" s="84" t="n">
        <v>1</v>
      </c>
      <c r="AB489" s="84" t="inlineStr">
        <is>
          <t>D</t>
        </is>
      </c>
      <c r="AC489" s="84" t="inlineStr">
        <is>
          <t>D+</t>
        </is>
      </c>
      <c r="AD489" s="84" t="n">
        <v>12</v>
      </c>
      <c r="AE489" s="84" t="n">
        <v>11</v>
      </c>
      <c r="AF489" s="84" t="n">
        <v>0.8</v>
      </c>
      <c r="AG489" s="84" t="n">
        <v>0.88</v>
      </c>
      <c r="AH489" s="84" t="n">
        <v>0</v>
      </c>
      <c r="AI489" s="84" t="n">
        <v>0</v>
      </c>
      <c r="AJ489" s="84">
        <f>SUMIFS(AH$8:AH$1039,$O$8:$O$1039,O489,$AB$8:$AB$1039,AB489,$R$8:$R$1039,R489,$AA$8:$AA$1039,"&lt;="&amp;AA489)</f>
        <v/>
      </c>
      <c r="AK489" s="84">
        <f>D47</f>
        <v/>
      </c>
      <c r="AL489" s="84">
        <f>D53</f>
        <v/>
      </c>
      <c r="AM489" s="84">
        <f>MAX(0,AJ489-AK489)</f>
        <v/>
      </c>
      <c r="AN489" s="84">
        <f>IF(AM489=0,AH489,IF(AM489&gt;=AH489,0,AH489-AM489))</f>
        <v/>
      </c>
      <c r="AO489" s="84">
        <f>IF(AM489&gt;=AH489,AI489,AI489*AM489/AH489)</f>
        <v/>
      </c>
      <c r="AP489">
        <f t="array" ref="AP489">INDEX($AU$8:$BB$25,6*(R489-1)+MATCH(AB489,$AS$8:$AS$13,0),MATCH(O489,$AU$7:$BB$7,0))</f>
        <v/>
      </c>
    </row>
    <row r="490" ht="14.25" customHeight="1">
      <c r="O490" s="43" t="inlineStr">
        <is>
          <t>Q4’26</t>
        </is>
      </c>
      <c r="P490" s="43" t="n">
        <v>3</v>
      </c>
      <c r="Q490" s="43" t="n">
        <v>6</v>
      </c>
      <c r="R490" s="43" t="n">
        <v>3</v>
      </c>
      <c r="S490" s="45" t="n">
        <v>2969.105323706946</v>
      </c>
      <c r="T490">
        <f>(S488+S489+S490)=Q4</f>
        <v/>
      </c>
      <c r="X490" s="84">
        <f>MAX(S487-S490,0)</f>
        <v/>
      </c>
      <c r="Y490" s="83" t="n">
        <v>0</v>
      </c>
      <c r="AA490" s="84" t="n">
        <v>1</v>
      </c>
      <c r="AB490" s="84" t="inlineStr">
        <is>
          <t>D</t>
        </is>
      </c>
      <c r="AC490" s="84" t="inlineStr">
        <is>
          <t>D+</t>
        </is>
      </c>
      <c r="AD490" s="84" t="n">
        <v>12</v>
      </c>
      <c r="AE490" s="84" t="n">
        <v>11</v>
      </c>
      <c r="AF490" s="84" t="n">
        <v>0.8</v>
      </c>
      <c r="AG490" s="84" t="n">
        <v>0.88</v>
      </c>
      <c r="AH490" s="84" t="n">
        <v>0</v>
      </c>
      <c r="AI490" s="84" t="n">
        <v>0</v>
      </c>
      <c r="AJ490" s="84">
        <f>SUMIFS(AH$8:AH$1039,$O$8:$O$1039,O490,$AB$8:$AB$1039,AB490,$R$8:$R$1039,R490,$AA$8:$AA$1039,"&lt;="&amp;AA490)</f>
        <v/>
      </c>
      <c r="AK490" s="84">
        <f>E47</f>
        <v/>
      </c>
      <c r="AL490" s="84">
        <f>E53</f>
        <v/>
      </c>
      <c r="AM490" s="84">
        <f>MAX(0,AJ490-AK490)</f>
        <v/>
      </c>
      <c r="AN490" s="84">
        <f>IF(AM490=0,AH490,IF(AM490&gt;=AH490,0,AH490-AM490))</f>
        <v/>
      </c>
      <c r="AO490" s="84">
        <f>IF(AM490&gt;=AH490,AI490,AI490*AM490/AH490)</f>
        <v/>
      </c>
      <c r="AP490">
        <f t="array" ref="AP490">INDEX($AU$8:$BB$25,6*(R490-1)+MATCH(AB490,$AS$8:$AS$13,0),MATCH(O490,$AU$7:$BB$7,0))</f>
        <v/>
      </c>
    </row>
    <row r="491" ht="14.25" customHeight="1">
      <c r="O491" s="43" t="inlineStr">
        <is>
          <t>Q4’26</t>
        </is>
      </c>
      <c r="P491" s="43" t="n">
        <v>3</v>
      </c>
      <c r="Q491" s="43" t="n">
        <v>7</v>
      </c>
      <c r="R491" s="43" t="n">
        <v>1</v>
      </c>
      <c r="S491" s="45" t="n">
        <v>2141.703529411764</v>
      </c>
      <c r="T491">
        <f>(S491+S492+S493)=Q4</f>
        <v/>
      </c>
      <c r="X491" s="84">
        <f>MAX(S488-S491,0)</f>
        <v/>
      </c>
      <c r="Y491" s="83" t="n">
        <v>0</v>
      </c>
      <c r="AA491" s="84" t="n">
        <v>3</v>
      </c>
      <c r="AB491" s="84" t="inlineStr">
        <is>
          <t>C</t>
        </is>
      </c>
      <c r="AC491" s="84" t="inlineStr">
        <is>
          <t>C+</t>
        </is>
      </c>
      <c r="AD491" s="84" t="n">
        <v>24</v>
      </c>
      <c r="AE491" s="84" t="n">
        <v>21</v>
      </c>
      <c r="AF491" s="84" t="n">
        <v>0.8</v>
      </c>
      <c r="AG491" s="84" t="n">
        <v>0.86</v>
      </c>
      <c r="AH491" s="84" t="n">
        <v>0</v>
      </c>
      <c r="AI491" s="84" t="n">
        <v>0</v>
      </c>
      <c r="AJ491" s="84">
        <f>SUMIFS(AH$8:AH$1039,$O$8:$O$1039,O491,$AB$8:$AB$1039,AB491,$R$8:$R$1039,R491,$AA$8:$AA$1039,"&lt;="&amp;AA491)</f>
        <v/>
      </c>
      <c r="AK491" s="84">
        <f>C46</f>
        <v/>
      </c>
      <c r="AL491" s="84">
        <f>C52</f>
        <v/>
      </c>
      <c r="AM491" s="84">
        <f>MAX(0,AJ491-AK491)</f>
        <v/>
      </c>
      <c r="AN491" s="84">
        <f>IF(AM491=0,AH491,IF(AM491&gt;=AH491,0,AH491-AM491))</f>
        <v/>
      </c>
      <c r="AO491" s="84">
        <f>IF(AM491&gt;=AH491,AI491,AI491*AM491/AH491)</f>
        <v/>
      </c>
      <c r="AP491">
        <f t="array" ref="AP491">INDEX($AU$8:$BB$25,6*(R491-1)+MATCH(AB491,$AS$8:$AS$13,0),MATCH(O491,$AU$7:$BB$7,0))</f>
        <v/>
      </c>
    </row>
    <row r="492" ht="14.25" customHeight="1">
      <c r="O492" s="43" t="inlineStr">
        <is>
          <t>Q4’26</t>
        </is>
      </c>
      <c r="P492" s="43" t="n">
        <v>3</v>
      </c>
      <c r="Q492" s="43" t="n">
        <v>7</v>
      </c>
      <c r="R492" s="43" t="n">
        <v>2</v>
      </c>
      <c r="S492" s="45" t="n">
        <v>2889.19114688129</v>
      </c>
      <c r="T492">
        <f>(S491+S492+S493)=Q4</f>
        <v/>
      </c>
      <c r="X492" s="84">
        <f>MAX(S489-S492,0)</f>
        <v/>
      </c>
      <c r="Y492" s="83" t="n">
        <v>0</v>
      </c>
      <c r="AA492" s="84" t="n">
        <v>3</v>
      </c>
      <c r="AB492" s="84" t="inlineStr">
        <is>
          <t>C</t>
        </is>
      </c>
      <c r="AC492" s="84" t="inlineStr">
        <is>
          <t>C+</t>
        </is>
      </c>
      <c r="AD492" s="84" t="n">
        <v>24</v>
      </c>
      <c r="AE492" s="84" t="n">
        <v>21</v>
      </c>
      <c r="AF492" s="84" t="n">
        <v>0.8</v>
      </c>
      <c r="AG492" s="84" t="n">
        <v>0.86</v>
      </c>
      <c r="AH492" s="84" t="n">
        <v>0</v>
      </c>
      <c r="AI492" s="84" t="n">
        <v>0</v>
      </c>
      <c r="AJ492" s="84">
        <f>SUMIFS(AH$8:AH$1039,$O$8:$O$1039,O492,$AB$8:$AB$1039,AB492,$R$8:$R$1039,R492,$AA$8:$AA$1039,"&lt;="&amp;AA492)</f>
        <v/>
      </c>
      <c r="AK492" s="84">
        <f>D46</f>
        <v/>
      </c>
      <c r="AL492" s="84">
        <f>D52</f>
        <v/>
      </c>
      <c r="AM492" s="84">
        <f>MAX(0,AJ492-AK492)</f>
        <v/>
      </c>
      <c r="AN492" s="84">
        <f>IF(AM492=0,AH492,IF(AM492&gt;=AH492,0,AH492-AM492))</f>
        <v/>
      </c>
      <c r="AO492" s="84">
        <f>IF(AM492&gt;=AH492,AI492,AI492*AM492/AH492)</f>
        <v/>
      </c>
      <c r="AP492">
        <f t="array" ref="AP492">INDEX($AU$8:$BB$25,6*(R492-1)+MATCH(AB492,$AS$8:$AS$13,0),MATCH(O492,$AU$7:$BB$7,0))</f>
        <v/>
      </c>
    </row>
    <row r="493" ht="14.25" customHeight="1">
      <c r="O493" s="43" t="inlineStr">
        <is>
          <t>Q4’26</t>
        </is>
      </c>
      <c r="P493" s="43" t="n">
        <v>3</v>
      </c>
      <c r="Q493" s="43" t="n">
        <v>7</v>
      </c>
      <c r="R493" s="43" t="n">
        <v>3</v>
      </c>
      <c r="S493" s="45" t="n">
        <v>2969.105323706946</v>
      </c>
      <c r="T493">
        <f>(S491+S492+S493)=Q4</f>
        <v/>
      </c>
      <c r="X493" s="84">
        <f>MAX(S490-S493,0)</f>
        <v/>
      </c>
      <c r="Y493" s="83" t="n">
        <v>0</v>
      </c>
      <c r="AA493" s="84" t="n">
        <v>3</v>
      </c>
      <c r="AB493" s="84" t="inlineStr">
        <is>
          <t>C</t>
        </is>
      </c>
      <c r="AC493" s="84" t="inlineStr">
        <is>
          <t>C+</t>
        </is>
      </c>
      <c r="AD493" s="84" t="n">
        <v>24</v>
      </c>
      <c r="AE493" s="84" t="n">
        <v>21</v>
      </c>
      <c r="AF493" s="84" t="n">
        <v>0.8</v>
      </c>
      <c r="AG493" s="84" t="n">
        <v>0.86</v>
      </c>
      <c r="AH493" s="84" t="n">
        <v>0</v>
      </c>
      <c r="AI493" s="84" t="n">
        <v>0</v>
      </c>
      <c r="AJ493" s="84">
        <f>SUMIFS(AH$8:AH$1039,$O$8:$O$1039,O493,$AB$8:$AB$1039,AB493,$R$8:$R$1039,R493,$AA$8:$AA$1039,"&lt;="&amp;AA493)</f>
        <v/>
      </c>
      <c r="AK493" s="84">
        <f>E46</f>
        <v/>
      </c>
      <c r="AL493" s="84">
        <f>E52</f>
        <v/>
      </c>
      <c r="AM493" s="84">
        <f>MAX(0,AJ493-AK493)</f>
        <v/>
      </c>
      <c r="AN493" s="84">
        <f>IF(AM493=0,AH493,IF(AM493&gt;=AH493,0,AH493-AM493))</f>
        <v/>
      </c>
      <c r="AO493" s="84">
        <f>IF(AM493&gt;=AH493,AI493,AI493*AM493/AH493)</f>
        <v/>
      </c>
      <c r="AP493">
        <f t="array" ref="AP493">INDEX($AU$8:$BB$25,6*(R493-1)+MATCH(AB493,$AS$8:$AS$13,0),MATCH(O493,$AU$7:$BB$7,0))</f>
        <v/>
      </c>
    </row>
    <row r="494" ht="14.25" customHeight="1">
      <c r="O494" s="43" t="inlineStr">
        <is>
          <t>Q4’26</t>
        </is>
      </c>
      <c r="P494" s="43" t="n">
        <v>3</v>
      </c>
      <c r="Q494" s="43" t="n">
        <v>8</v>
      </c>
      <c r="R494" s="43" t="n">
        <v>1</v>
      </c>
      <c r="S494" s="45" t="n">
        <v>2141.703529411764</v>
      </c>
      <c r="T494">
        <f>(S494+S495+S496)=Q4</f>
        <v/>
      </c>
      <c r="X494" s="84">
        <f>MAX(S491-S494,0)</f>
        <v/>
      </c>
      <c r="Y494" s="83" t="n">
        <v>0</v>
      </c>
      <c r="AA494" s="84" t="n">
        <v>5</v>
      </c>
      <c r="AB494" s="84" t="inlineStr">
        <is>
          <t>C</t>
        </is>
      </c>
      <c r="AC494" s="84" t="inlineStr">
        <is>
          <t>C+</t>
        </is>
      </c>
      <c r="AD494" s="84" t="n">
        <v>19</v>
      </c>
      <c r="AE494" s="84" t="n">
        <v>13</v>
      </c>
      <c r="AF494" s="84" t="n">
        <v>0.8</v>
      </c>
      <c r="AG494" s="84" t="n">
        <v>0.86</v>
      </c>
      <c r="AH494" s="84" t="n">
        <v>0</v>
      </c>
      <c r="AI494" s="84" t="n">
        <v>0</v>
      </c>
      <c r="AJ494" s="84">
        <f>SUMIFS(AH$8:AH$1039,$O$8:$O$1039,O494,$AB$8:$AB$1039,AB494,$R$8:$R$1039,R494,$AA$8:$AA$1039,"&lt;="&amp;AA494)</f>
        <v/>
      </c>
      <c r="AK494" s="84">
        <f>C46</f>
        <v/>
      </c>
      <c r="AL494" s="84">
        <f>C52</f>
        <v/>
      </c>
      <c r="AM494" s="84">
        <f>MAX(0,AJ494-AK494)</f>
        <v/>
      </c>
      <c r="AN494" s="84">
        <f>IF(AM494=0,AH494,IF(AM494&gt;=AH494,0,AH494-AM494))</f>
        <v/>
      </c>
      <c r="AO494" s="84">
        <f>IF(AM494&gt;=AH494,AI494,AI494*AM494/AH494)</f>
        <v/>
      </c>
      <c r="AP494">
        <f t="array" ref="AP494">INDEX($AU$8:$BB$25,6*(R494-1)+MATCH(AB494,$AS$8:$AS$13,0),MATCH(O494,$AU$7:$BB$7,0))</f>
        <v/>
      </c>
    </row>
    <row r="495" ht="14.25" customHeight="1">
      <c r="O495" s="43" t="inlineStr">
        <is>
          <t>Q4’26</t>
        </is>
      </c>
      <c r="P495" s="43" t="n">
        <v>3</v>
      </c>
      <c r="Q495" s="43" t="n">
        <v>8</v>
      </c>
      <c r="R495" s="43" t="n">
        <v>2</v>
      </c>
      <c r="S495" s="45" t="n">
        <v>2889.19114688129</v>
      </c>
      <c r="T495">
        <f>(S494+S495+S496)=Q4</f>
        <v/>
      </c>
      <c r="X495" s="84">
        <f>MAX(S492-S495,0)</f>
        <v/>
      </c>
      <c r="Y495" s="83" t="n">
        <v>0</v>
      </c>
      <c r="AA495" s="84" t="n">
        <v>5</v>
      </c>
      <c r="AB495" s="84" t="inlineStr">
        <is>
          <t>C</t>
        </is>
      </c>
      <c r="AC495" s="84" t="inlineStr">
        <is>
          <t>C+</t>
        </is>
      </c>
      <c r="AD495" s="84" t="n">
        <v>19</v>
      </c>
      <c r="AE495" s="84" t="n">
        <v>13</v>
      </c>
      <c r="AF495" s="84" t="n">
        <v>0.8</v>
      </c>
      <c r="AG495" s="84" t="n">
        <v>0.86</v>
      </c>
      <c r="AH495" s="84" t="n">
        <v>0</v>
      </c>
      <c r="AI495" s="84" t="n">
        <v>0</v>
      </c>
      <c r="AJ495" s="84">
        <f>SUMIFS(AH$8:AH$1039,$O$8:$O$1039,O495,$AB$8:$AB$1039,AB495,$R$8:$R$1039,R495,$AA$8:$AA$1039,"&lt;="&amp;AA495)</f>
        <v/>
      </c>
      <c r="AK495" s="84">
        <f>D46</f>
        <v/>
      </c>
      <c r="AL495" s="84">
        <f>D52</f>
        <v/>
      </c>
      <c r="AM495" s="84">
        <f>MAX(0,AJ495-AK495)</f>
        <v/>
      </c>
      <c r="AN495" s="84">
        <f>IF(AM495=0,AH495,IF(AM495&gt;=AH495,0,AH495-AM495))</f>
        <v/>
      </c>
      <c r="AO495" s="84">
        <f>IF(AM495&gt;=AH495,AI495,AI495*AM495/AH495)</f>
        <v/>
      </c>
      <c r="AP495">
        <f t="array" ref="AP495">INDEX($AU$8:$BB$25,6*(R495-1)+MATCH(AB495,$AS$8:$AS$13,0),MATCH(O495,$AU$7:$BB$7,0))</f>
        <v/>
      </c>
    </row>
    <row r="496" ht="14.25" customHeight="1">
      <c r="O496" s="43" t="inlineStr">
        <is>
          <t>Q4’26</t>
        </is>
      </c>
      <c r="P496" s="43" t="n">
        <v>3</v>
      </c>
      <c r="Q496" s="43" t="n">
        <v>8</v>
      </c>
      <c r="R496" s="43" t="n">
        <v>3</v>
      </c>
      <c r="S496" s="45" t="n">
        <v>2969.105323706946</v>
      </c>
      <c r="T496">
        <f>(S494+S495+S496)=Q4</f>
        <v/>
      </c>
      <c r="X496" s="84">
        <f>MAX(S493-S496,0)</f>
        <v/>
      </c>
      <c r="Y496" s="83" t="n">
        <v>0</v>
      </c>
      <c r="AA496" s="84" t="n">
        <v>5</v>
      </c>
      <c r="AB496" s="84" t="inlineStr">
        <is>
          <t>C</t>
        </is>
      </c>
      <c r="AC496" s="84" t="inlineStr">
        <is>
          <t>C+</t>
        </is>
      </c>
      <c r="AD496" s="84" t="n">
        <v>19</v>
      </c>
      <c r="AE496" s="84" t="n">
        <v>13</v>
      </c>
      <c r="AF496" s="84" t="n">
        <v>0.8</v>
      </c>
      <c r="AG496" s="84" t="n">
        <v>0.86</v>
      </c>
      <c r="AH496" s="84" t="n">
        <v>0</v>
      </c>
      <c r="AI496" s="84" t="n">
        <v>0</v>
      </c>
      <c r="AJ496" s="84">
        <f>SUMIFS(AH$8:AH$1039,$O$8:$O$1039,O496,$AB$8:$AB$1039,AB496,$R$8:$R$1039,R496,$AA$8:$AA$1039,"&lt;="&amp;AA496)</f>
        <v/>
      </c>
      <c r="AK496" s="84">
        <f>E46</f>
        <v/>
      </c>
      <c r="AL496" s="84">
        <f>E52</f>
        <v/>
      </c>
      <c r="AM496" s="84">
        <f>MAX(0,AJ496-AK496)</f>
        <v/>
      </c>
      <c r="AN496" s="84">
        <f>IF(AM496=0,AH496,IF(AM496&gt;=AH496,0,AH496-AM496))</f>
        <v/>
      </c>
      <c r="AO496" s="84">
        <f>IF(AM496&gt;=AH496,AI496,AI496*AM496/AH496)</f>
        <v/>
      </c>
      <c r="AP496">
        <f t="array" ref="AP496">INDEX($AU$8:$BB$25,6*(R496-1)+MATCH(AB496,$AS$8:$AS$13,0),MATCH(O496,$AU$7:$BB$7,0))</f>
        <v/>
      </c>
    </row>
    <row r="497" ht="14.25" customHeight="1">
      <c r="O497" s="43" t="inlineStr">
        <is>
          <t>Q4’26</t>
        </is>
      </c>
      <c r="P497" s="43" t="n">
        <v>3</v>
      </c>
      <c r="Q497" s="43" t="n">
        <v>9</v>
      </c>
      <c r="R497" s="43" t="n">
        <v>1</v>
      </c>
      <c r="S497" s="45" t="n">
        <v>2141.703529411764</v>
      </c>
      <c r="T497">
        <f>(S497+S498+S499)=Q4</f>
        <v/>
      </c>
      <c r="X497" s="84">
        <f>MAX(S494-S497,0)</f>
        <v/>
      </c>
      <c r="Y497" s="83" t="n">
        <v>0</v>
      </c>
      <c r="AA497" s="84" t="n">
        <v>3</v>
      </c>
      <c r="AB497" s="84" t="inlineStr">
        <is>
          <t>D</t>
        </is>
      </c>
      <c r="AC497" s="84" t="inlineStr">
        <is>
          <t>D+</t>
        </is>
      </c>
      <c r="AD497" s="84" t="n">
        <v>15</v>
      </c>
      <c r="AE497" s="84" t="n">
        <v>13</v>
      </c>
      <c r="AF497" s="84" t="n">
        <v>0.8</v>
      </c>
      <c r="AG497" s="84" t="n">
        <v>0.88</v>
      </c>
      <c r="AH497" s="84" t="n">
        <v>0</v>
      </c>
      <c r="AI497" s="84" t="n">
        <v>0</v>
      </c>
      <c r="AJ497" s="84">
        <f>SUMIFS(AH$8:AH$1039,$O$8:$O$1039,O497,$AB$8:$AB$1039,AB497,$R$8:$R$1039,R497,$AA$8:$AA$1039,"&lt;="&amp;AA497)</f>
        <v/>
      </c>
      <c r="AK497" s="84">
        <f>C47</f>
        <v/>
      </c>
      <c r="AL497" s="84">
        <f>C53</f>
        <v/>
      </c>
      <c r="AM497" s="84">
        <f>MAX(0,AJ497-AK497)</f>
        <v/>
      </c>
      <c r="AN497" s="84">
        <f>IF(AM497=0,AH497,IF(AM497&gt;=AH497,0,AH497-AM497))</f>
        <v/>
      </c>
      <c r="AO497" s="84">
        <f>IF(AM497&gt;=AH497,AI497,AI497*AM497/AH497)</f>
        <v/>
      </c>
      <c r="AP497">
        <f t="array" ref="AP497">INDEX($AU$8:$BB$25,6*(R497-1)+MATCH(AB497,$AS$8:$AS$13,0),MATCH(O497,$AU$7:$BB$7,0))</f>
        <v/>
      </c>
    </row>
    <row r="498" ht="14.25" customHeight="1">
      <c r="O498" s="43" t="inlineStr">
        <is>
          <t>Q4’26</t>
        </is>
      </c>
      <c r="P498" s="43" t="n">
        <v>3</v>
      </c>
      <c r="Q498" s="43" t="n">
        <v>9</v>
      </c>
      <c r="R498" s="43" t="n">
        <v>2</v>
      </c>
      <c r="S498" s="45" t="n">
        <v>2889.19114688129</v>
      </c>
      <c r="T498">
        <f>(S497+S498+S499)=Q4</f>
        <v/>
      </c>
      <c r="X498" s="84">
        <f>MAX(S495-S498,0)</f>
        <v/>
      </c>
      <c r="Y498" s="83" t="n">
        <v>0</v>
      </c>
      <c r="AA498" s="84" t="n">
        <v>3</v>
      </c>
      <c r="AB498" s="84" t="inlineStr">
        <is>
          <t>D</t>
        </is>
      </c>
      <c r="AC498" s="84" t="inlineStr">
        <is>
          <t>D+</t>
        </is>
      </c>
      <c r="AD498" s="84" t="n">
        <v>15</v>
      </c>
      <c r="AE498" s="84" t="n">
        <v>13</v>
      </c>
      <c r="AF498" s="84" t="n">
        <v>0.8</v>
      </c>
      <c r="AG498" s="84" t="n">
        <v>0.88</v>
      </c>
      <c r="AH498" s="84" t="n">
        <v>0</v>
      </c>
      <c r="AI498" s="84" t="n">
        <v>0</v>
      </c>
      <c r="AJ498" s="84">
        <f>SUMIFS(AH$8:AH$1039,$O$8:$O$1039,O498,$AB$8:$AB$1039,AB498,$R$8:$R$1039,R498,$AA$8:$AA$1039,"&lt;="&amp;AA498)</f>
        <v/>
      </c>
      <c r="AK498" s="84">
        <f>D47</f>
        <v/>
      </c>
      <c r="AL498" s="84">
        <f>D53</f>
        <v/>
      </c>
      <c r="AM498" s="84">
        <f>MAX(0,AJ498-AK498)</f>
        <v/>
      </c>
      <c r="AN498" s="84">
        <f>IF(AM498=0,AH498,IF(AM498&gt;=AH498,0,AH498-AM498))</f>
        <v/>
      </c>
      <c r="AO498" s="84">
        <f>IF(AM498&gt;=AH498,AI498,AI498*AM498/AH498)</f>
        <v/>
      </c>
      <c r="AP498">
        <f t="array" ref="AP498">INDEX($AU$8:$BB$25,6*(R498-1)+MATCH(AB498,$AS$8:$AS$13,0),MATCH(O498,$AU$7:$BB$7,0))</f>
        <v/>
      </c>
    </row>
    <row r="499" ht="14.25" customHeight="1">
      <c r="O499" s="43" t="inlineStr">
        <is>
          <t>Q4’26</t>
        </is>
      </c>
      <c r="P499" s="43" t="n">
        <v>3</v>
      </c>
      <c r="Q499" s="43" t="n">
        <v>9</v>
      </c>
      <c r="R499" s="43" t="n">
        <v>3</v>
      </c>
      <c r="S499" s="45" t="n">
        <v>2969.105323706946</v>
      </c>
      <c r="T499">
        <f>(S497+S498+S499)=Q4</f>
        <v/>
      </c>
      <c r="X499" s="84">
        <f>MAX(S496-S499,0)</f>
        <v/>
      </c>
      <c r="Y499" s="83" t="n">
        <v>0</v>
      </c>
      <c r="AA499" s="84" t="n">
        <v>3</v>
      </c>
      <c r="AB499" s="84" t="inlineStr">
        <is>
          <t>D</t>
        </is>
      </c>
      <c r="AC499" s="84" t="inlineStr">
        <is>
          <t>D+</t>
        </is>
      </c>
      <c r="AD499" s="84" t="n">
        <v>15</v>
      </c>
      <c r="AE499" s="84" t="n">
        <v>13</v>
      </c>
      <c r="AF499" s="84" t="n">
        <v>0.8</v>
      </c>
      <c r="AG499" s="84" t="n">
        <v>0.88</v>
      </c>
      <c r="AH499" s="84" t="n">
        <v>0</v>
      </c>
      <c r="AI499" s="84" t="n">
        <v>0</v>
      </c>
      <c r="AJ499" s="84">
        <f>SUMIFS(AH$8:AH$1039,$O$8:$O$1039,O499,$AB$8:$AB$1039,AB499,$R$8:$R$1039,R499,$AA$8:$AA$1039,"&lt;="&amp;AA499)</f>
        <v/>
      </c>
      <c r="AK499" s="84">
        <f>E47</f>
        <v/>
      </c>
      <c r="AL499" s="84">
        <f>E53</f>
        <v/>
      </c>
      <c r="AM499" s="84">
        <f>MAX(0,AJ499-AK499)</f>
        <v/>
      </c>
      <c r="AN499" s="84">
        <f>IF(AM499=0,AH499,IF(AM499&gt;=AH499,0,AH499-AM499))</f>
        <v/>
      </c>
      <c r="AO499" s="84">
        <f>IF(AM499&gt;=AH499,AI499,AI499*AM499/AH499)</f>
        <v/>
      </c>
      <c r="AP499">
        <f t="array" ref="AP499">INDEX($AU$8:$BB$25,6*(R499-1)+MATCH(AB499,$AS$8:$AS$13,0),MATCH(O499,$AU$7:$BB$7,0))</f>
        <v/>
      </c>
    </row>
    <row r="500" ht="14.25" customHeight="1">
      <c r="O500" s="43" t="inlineStr">
        <is>
          <t>Q4’26</t>
        </is>
      </c>
      <c r="P500" s="43" t="n">
        <v>3</v>
      </c>
      <c r="Q500" s="43" t="n">
        <v>10</v>
      </c>
      <c r="R500" s="43" t="n">
        <v>1</v>
      </c>
      <c r="S500" s="45" t="n">
        <v>2141.703529411764</v>
      </c>
      <c r="T500">
        <f>(S500+S501+S502)=Q4</f>
        <v/>
      </c>
      <c r="X500" s="84">
        <f>MAX(S497-S500,0)</f>
        <v/>
      </c>
      <c r="Y500" s="83" t="n">
        <v>0</v>
      </c>
      <c r="AA500" s="84" t="n">
        <v>5</v>
      </c>
      <c r="AB500" s="84" t="inlineStr">
        <is>
          <t>D</t>
        </is>
      </c>
      <c r="AC500" s="84" t="inlineStr">
        <is>
          <t>D+</t>
        </is>
      </c>
      <c r="AD500" s="84" t="n">
        <v>24</v>
      </c>
      <c r="AE500" s="84" t="n">
        <v>20</v>
      </c>
      <c r="AF500" s="84" t="n">
        <v>0.8</v>
      </c>
      <c r="AG500" s="84" t="n">
        <v>0.88</v>
      </c>
      <c r="AH500" s="84" t="n">
        <v>0</v>
      </c>
      <c r="AI500" s="84" t="n">
        <v>0</v>
      </c>
      <c r="AJ500" s="84">
        <f>SUMIFS(AH$8:AH$1039,$O$8:$O$1039,O500,$AB$8:$AB$1039,AB500,$R$8:$R$1039,R500,$AA$8:$AA$1039,"&lt;="&amp;AA500)</f>
        <v/>
      </c>
      <c r="AK500" s="84">
        <f>C47</f>
        <v/>
      </c>
      <c r="AL500" s="84">
        <f>C53</f>
        <v/>
      </c>
      <c r="AM500" s="84">
        <f>MAX(0,AJ500-AK500)</f>
        <v/>
      </c>
      <c r="AN500" s="84">
        <f>IF(AM500=0,AH500,IF(AM500&gt;=AH500,0,AH500-AM500))</f>
        <v/>
      </c>
      <c r="AO500" s="84">
        <f>IF(AM500&gt;=AH500,AI500,AI500*AM500/AH500)</f>
        <v/>
      </c>
      <c r="AP500">
        <f t="array" ref="AP500">INDEX($AU$8:$BB$25,6*(R500-1)+MATCH(AB500,$AS$8:$AS$13,0),MATCH(O500,$AU$7:$BB$7,0))</f>
        <v/>
      </c>
    </row>
    <row r="501" ht="14.25" customHeight="1">
      <c r="O501" s="43" t="inlineStr">
        <is>
          <t>Q4’26</t>
        </is>
      </c>
      <c r="P501" s="43" t="n">
        <v>3</v>
      </c>
      <c r="Q501" s="43" t="n">
        <v>10</v>
      </c>
      <c r="R501" s="43" t="n">
        <v>2</v>
      </c>
      <c r="S501" s="45" t="n">
        <v>2889.19114688129</v>
      </c>
      <c r="T501">
        <f>(S500+S501+S502)=Q4</f>
        <v/>
      </c>
      <c r="X501" s="84">
        <f>MAX(S498-S501,0)</f>
        <v/>
      </c>
      <c r="Y501" s="83" t="n">
        <v>0</v>
      </c>
      <c r="AA501" s="84" t="n">
        <v>5</v>
      </c>
      <c r="AB501" s="84" t="inlineStr">
        <is>
          <t>D</t>
        </is>
      </c>
      <c r="AC501" s="84" t="inlineStr">
        <is>
          <t>D+</t>
        </is>
      </c>
      <c r="AD501" s="84" t="n">
        <v>24</v>
      </c>
      <c r="AE501" s="84" t="n">
        <v>20</v>
      </c>
      <c r="AF501" s="84" t="n">
        <v>0.8</v>
      </c>
      <c r="AG501" s="84" t="n">
        <v>0.88</v>
      </c>
      <c r="AH501" s="84" t="n">
        <v>0</v>
      </c>
      <c r="AI501" s="84" t="n">
        <v>0</v>
      </c>
      <c r="AJ501" s="84">
        <f>SUMIFS(AH$8:AH$1039,$O$8:$O$1039,O501,$AB$8:$AB$1039,AB501,$R$8:$R$1039,R501,$AA$8:$AA$1039,"&lt;="&amp;AA501)</f>
        <v/>
      </c>
      <c r="AK501" s="84">
        <f>D47</f>
        <v/>
      </c>
      <c r="AL501" s="84">
        <f>D53</f>
        <v/>
      </c>
      <c r="AM501" s="84">
        <f>MAX(0,AJ501-AK501)</f>
        <v/>
      </c>
      <c r="AN501" s="84">
        <f>IF(AM501=0,AH501,IF(AM501&gt;=AH501,0,AH501-AM501))</f>
        <v/>
      </c>
      <c r="AO501" s="84">
        <f>IF(AM501&gt;=AH501,AI501,AI501*AM501/AH501)</f>
        <v/>
      </c>
      <c r="AP501">
        <f t="array" ref="AP501">INDEX($AU$8:$BB$25,6*(R501-1)+MATCH(AB501,$AS$8:$AS$13,0),MATCH(O501,$AU$7:$BB$7,0))</f>
        <v/>
      </c>
    </row>
    <row r="502" ht="14.25" customHeight="1">
      <c r="O502" s="43" t="inlineStr">
        <is>
          <t>Q4’26</t>
        </is>
      </c>
      <c r="P502" s="43" t="n">
        <v>3</v>
      </c>
      <c r="Q502" s="43" t="n">
        <v>10</v>
      </c>
      <c r="R502" s="43" t="n">
        <v>3</v>
      </c>
      <c r="S502" s="45" t="n">
        <v>2969.105323706946</v>
      </c>
      <c r="T502">
        <f>(S500+S501+S502)=Q4</f>
        <v/>
      </c>
      <c r="X502" s="84">
        <f>MAX(S499-S502,0)</f>
        <v/>
      </c>
      <c r="Y502" s="83" t="n">
        <v>0</v>
      </c>
      <c r="AA502" s="84" t="n">
        <v>5</v>
      </c>
      <c r="AB502" s="84" t="inlineStr">
        <is>
          <t>D</t>
        </is>
      </c>
      <c r="AC502" s="84" t="inlineStr">
        <is>
          <t>D+</t>
        </is>
      </c>
      <c r="AD502" s="84" t="n">
        <v>24</v>
      </c>
      <c r="AE502" s="84" t="n">
        <v>20</v>
      </c>
      <c r="AF502" s="84" t="n">
        <v>0.8</v>
      </c>
      <c r="AG502" s="84" t="n">
        <v>0.88</v>
      </c>
      <c r="AH502" s="84" t="n">
        <v>0</v>
      </c>
      <c r="AI502" s="84" t="n">
        <v>0</v>
      </c>
      <c r="AJ502" s="84">
        <f>SUMIFS(AH$8:AH$1039,$O$8:$O$1039,O502,$AB$8:$AB$1039,AB502,$R$8:$R$1039,R502,$AA$8:$AA$1039,"&lt;="&amp;AA502)</f>
        <v/>
      </c>
      <c r="AK502" s="84">
        <f>E47</f>
        <v/>
      </c>
      <c r="AL502" s="84">
        <f>E53</f>
        <v/>
      </c>
      <c r="AM502" s="84">
        <f>MAX(0,AJ502-AK502)</f>
        <v/>
      </c>
      <c r="AN502" s="84">
        <f>IF(AM502=0,AH502,IF(AM502&gt;=AH502,0,AH502-AM502))</f>
        <v/>
      </c>
      <c r="AO502" s="84">
        <f>IF(AM502&gt;=AH502,AI502,AI502*AM502/AH502)</f>
        <v/>
      </c>
      <c r="AP502">
        <f t="array" ref="AP502">INDEX($AU$8:$BB$25,6*(R502-1)+MATCH(AB502,$AS$8:$AS$13,0),MATCH(O502,$AU$7:$BB$7,0))</f>
        <v/>
      </c>
    </row>
    <row r="503" ht="14.25" customHeight="1">
      <c r="O503" s="43" t="inlineStr">
        <is>
          <t>Q4’26</t>
        </is>
      </c>
      <c r="P503" s="43" t="n">
        <v>3</v>
      </c>
      <c r="Q503" s="43" t="n">
        <v>11</v>
      </c>
      <c r="R503" s="43" t="n">
        <v>1</v>
      </c>
      <c r="S503" s="45" t="n">
        <v>2141.703529411764</v>
      </c>
      <c r="T503">
        <f>(S503+S504+S505)=Q4</f>
        <v/>
      </c>
      <c r="X503" s="84">
        <f>MAX(S500-S503,0)</f>
        <v/>
      </c>
      <c r="Y503" s="83" t="n">
        <v>0</v>
      </c>
      <c r="AA503" s="84" t="n">
        <v>3</v>
      </c>
      <c r="AB503" s="84" t="inlineStr">
        <is>
          <t>E</t>
        </is>
      </c>
      <c r="AC503" s="84" t="inlineStr">
        <is>
          <t>E+</t>
        </is>
      </c>
      <c r="AD503" s="84" t="n">
        <v>17</v>
      </c>
      <c r="AE503" s="84" t="n">
        <v>15</v>
      </c>
      <c r="AF503" s="84" t="n">
        <v>0.76</v>
      </c>
      <c r="AG503" s="84" t="n">
        <v>0.84</v>
      </c>
      <c r="AH503" s="84" t="n">
        <v>0</v>
      </c>
      <c r="AI503" s="84" t="n">
        <v>0</v>
      </c>
      <c r="AJ503" s="84">
        <f>SUMIFS(AH$8:AH$1039,$O$8:$O$1039,O503,$AB$8:$AB$1039,AB503,$R$8:$R$1039,R503,$AA$8:$AA$1039,"&lt;="&amp;AA503)</f>
        <v/>
      </c>
      <c r="AK503" s="84">
        <f>C48</f>
        <v/>
      </c>
      <c r="AL503" s="84">
        <f>C54</f>
        <v/>
      </c>
      <c r="AM503" s="84">
        <f>MAX(0,AJ503-AK503)</f>
        <v/>
      </c>
      <c r="AN503" s="84">
        <f>IF(AM503=0,AH503,IF(AM503&gt;=AH503,0,AH503-AM503))</f>
        <v/>
      </c>
      <c r="AO503" s="84">
        <f>IF(AM503&gt;=AH503,AI503,AI503*AM503/AH503)</f>
        <v/>
      </c>
      <c r="AP503">
        <f t="array" ref="AP503">INDEX($AU$8:$BB$25,6*(R503-1)+MATCH(AB503,$AS$8:$AS$13,0),MATCH(O503,$AU$7:$BB$7,0))</f>
        <v/>
      </c>
    </row>
    <row r="504" ht="14.25" customHeight="1">
      <c r="O504" s="43" t="inlineStr">
        <is>
          <t>Q4’26</t>
        </is>
      </c>
      <c r="P504" s="43" t="n">
        <v>3</v>
      </c>
      <c r="Q504" s="43" t="n">
        <v>11</v>
      </c>
      <c r="R504" s="43" t="n">
        <v>2</v>
      </c>
      <c r="S504" s="45" t="n">
        <v>2889.19114688129</v>
      </c>
      <c r="T504">
        <f>(S503+S504+S505)=Q4</f>
        <v/>
      </c>
      <c r="X504" s="84">
        <f>MAX(S501-S504,0)</f>
        <v/>
      </c>
      <c r="Y504" s="83" t="n">
        <v>0</v>
      </c>
      <c r="AA504" s="84" t="n">
        <v>3</v>
      </c>
      <c r="AB504" s="84" t="inlineStr">
        <is>
          <t>E</t>
        </is>
      </c>
      <c r="AC504" s="84" t="inlineStr">
        <is>
          <t>E+</t>
        </is>
      </c>
      <c r="AD504" s="84" t="n">
        <v>17</v>
      </c>
      <c r="AE504" s="84" t="n">
        <v>15</v>
      </c>
      <c r="AF504" s="84" t="n">
        <v>0.76</v>
      </c>
      <c r="AG504" s="84" t="n">
        <v>0.84</v>
      </c>
      <c r="AH504" s="84" t="n">
        <v>0</v>
      </c>
      <c r="AI504" s="84" t="n">
        <v>0</v>
      </c>
      <c r="AJ504" s="84">
        <f>SUMIFS(AH$8:AH$1039,$O$8:$O$1039,O504,$AB$8:$AB$1039,AB504,$R$8:$R$1039,R504,$AA$8:$AA$1039,"&lt;="&amp;AA504)</f>
        <v/>
      </c>
      <c r="AK504" s="84">
        <f>D48</f>
        <v/>
      </c>
      <c r="AL504" s="84">
        <f>D54</f>
        <v/>
      </c>
      <c r="AM504" s="84">
        <f>MAX(0,AJ504-AK504)</f>
        <v/>
      </c>
      <c r="AN504" s="84">
        <f>IF(AM504=0,AH504,IF(AM504&gt;=AH504,0,AH504-AM504))</f>
        <v/>
      </c>
      <c r="AO504" s="84">
        <f>IF(AM504&gt;=AH504,AI504,AI504*AM504/AH504)</f>
        <v/>
      </c>
      <c r="AP504">
        <f t="array" ref="AP504">INDEX($AU$8:$BB$25,6*(R504-1)+MATCH(AB504,$AS$8:$AS$13,0),MATCH(O504,$AU$7:$BB$7,0))</f>
        <v/>
      </c>
    </row>
    <row r="505" ht="14.25" customHeight="1">
      <c r="O505" s="43" t="inlineStr">
        <is>
          <t>Q4’26</t>
        </is>
      </c>
      <c r="P505" s="43" t="n">
        <v>3</v>
      </c>
      <c r="Q505" s="43" t="n">
        <v>11</v>
      </c>
      <c r="R505" s="43" t="n">
        <v>3</v>
      </c>
      <c r="S505" s="45" t="n">
        <v>2969.105323706946</v>
      </c>
      <c r="T505">
        <f>(S503+S504+S505)=Q4</f>
        <v/>
      </c>
      <c r="X505" s="84">
        <f>MAX(S502-S505,0)</f>
        <v/>
      </c>
      <c r="Y505" s="83" t="n">
        <v>0</v>
      </c>
      <c r="AA505" s="84" t="n">
        <v>3</v>
      </c>
      <c r="AB505" s="84" t="inlineStr">
        <is>
          <t>E</t>
        </is>
      </c>
      <c r="AC505" s="84" t="inlineStr">
        <is>
          <t>E+</t>
        </is>
      </c>
      <c r="AD505" s="84" t="n">
        <v>17</v>
      </c>
      <c r="AE505" s="84" t="n">
        <v>15</v>
      </c>
      <c r="AF505" s="84" t="n">
        <v>0.76</v>
      </c>
      <c r="AG505" s="84" t="n">
        <v>0.84</v>
      </c>
      <c r="AH505" s="84" t="n">
        <v>0</v>
      </c>
      <c r="AI505" s="84" t="n">
        <v>0</v>
      </c>
      <c r="AJ505" s="84">
        <f>SUMIFS(AH$8:AH$1039,$O$8:$O$1039,O505,$AB$8:$AB$1039,AB505,$R$8:$R$1039,R505,$AA$8:$AA$1039,"&lt;="&amp;AA505)</f>
        <v/>
      </c>
      <c r="AK505" s="84">
        <f>E48</f>
        <v/>
      </c>
      <c r="AL505" s="84">
        <f>E54</f>
        <v/>
      </c>
      <c r="AM505" s="84">
        <f>MAX(0,AJ505-AK505)</f>
        <v/>
      </c>
      <c r="AN505" s="84">
        <f>IF(AM505=0,AH505,IF(AM505&gt;=AH505,0,AH505-AM505))</f>
        <v/>
      </c>
      <c r="AO505" s="84">
        <f>IF(AM505&gt;=AH505,AI505,AI505*AM505/AH505)</f>
        <v/>
      </c>
      <c r="AP505">
        <f t="array" ref="AP505">INDEX($AU$8:$BB$25,6*(R505-1)+MATCH(AB505,$AS$8:$AS$13,0),MATCH(O505,$AU$7:$BB$7,0))</f>
        <v/>
      </c>
    </row>
    <row r="506" ht="14.25" customHeight="1">
      <c r="O506" s="43" t="inlineStr">
        <is>
          <t>Q4’26</t>
        </is>
      </c>
      <c r="P506" s="43" t="n">
        <v>3</v>
      </c>
      <c r="Q506" s="43" t="n">
        <v>12</v>
      </c>
      <c r="R506" s="43" t="n">
        <v>1</v>
      </c>
      <c r="S506" s="45" t="n">
        <v>2141.703529411764</v>
      </c>
      <c r="T506">
        <f>(S506+S507+S508)=Q4</f>
        <v/>
      </c>
      <c r="X506" s="84">
        <f>MAX(S503-S506,0)</f>
        <v/>
      </c>
      <c r="Y506" s="83" t="n">
        <v>0</v>
      </c>
      <c r="AA506" s="84" t="n">
        <v>10</v>
      </c>
      <c r="AB506" s="84" t="inlineStr">
        <is>
          <t>E</t>
        </is>
      </c>
      <c r="AC506" s="84" t="inlineStr">
        <is>
          <t>E+</t>
        </is>
      </c>
      <c r="AD506" s="84" t="n">
        <v>18</v>
      </c>
      <c r="AE506" s="84" t="n">
        <v>13</v>
      </c>
      <c r="AF506" s="84" t="n">
        <v>0.76</v>
      </c>
      <c r="AG506" s="84" t="n">
        <v>0.84</v>
      </c>
      <c r="AH506" s="84" t="n">
        <v>0</v>
      </c>
      <c r="AI506" s="84" t="n">
        <v>0</v>
      </c>
      <c r="AJ506" s="84">
        <f>SUMIFS(AH$8:AH$1039,$O$8:$O$1039,O506,$AB$8:$AB$1039,AB506,$R$8:$R$1039,R506,$AA$8:$AA$1039,"&lt;="&amp;AA506)</f>
        <v/>
      </c>
      <c r="AK506" s="84">
        <f>C48</f>
        <v/>
      </c>
      <c r="AL506" s="84">
        <f>C54</f>
        <v/>
      </c>
      <c r="AM506" s="84">
        <f>MAX(0,AJ506-AK506)</f>
        <v/>
      </c>
      <c r="AN506" s="84">
        <f>IF(AM506=0,AH506,IF(AM506&gt;=AH506,0,AH506-AM506))</f>
        <v/>
      </c>
      <c r="AO506" s="84">
        <f>IF(AM506&gt;=AH506,AI506,AI506*AM506/AH506)</f>
        <v/>
      </c>
      <c r="AP506">
        <f t="array" ref="AP506">INDEX($AU$8:$BB$25,6*(R506-1)+MATCH(AB506,$AS$8:$AS$13,0),MATCH(O506,$AU$7:$BB$7,0))</f>
        <v/>
      </c>
    </row>
    <row r="507" ht="14.25" customHeight="1">
      <c r="O507" s="43" t="inlineStr">
        <is>
          <t>Q4’26</t>
        </is>
      </c>
      <c r="P507" s="43" t="n">
        <v>3</v>
      </c>
      <c r="Q507" s="43" t="n">
        <v>12</v>
      </c>
      <c r="R507" s="43" t="n">
        <v>2</v>
      </c>
      <c r="S507" s="45" t="n">
        <v>2889.191146881288</v>
      </c>
      <c r="T507">
        <f>(S506+S507+S508)=Q4</f>
        <v/>
      </c>
      <c r="X507" s="84">
        <f>MAX(S504-S507,0)</f>
        <v/>
      </c>
      <c r="Y507" s="83" t="n">
        <v>0</v>
      </c>
      <c r="AA507" s="84" t="n">
        <v>10</v>
      </c>
      <c r="AB507" s="84" t="inlineStr">
        <is>
          <t>E</t>
        </is>
      </c>
      <c r="AC507" s="84" t="inlineStr">
        <is>
          <t>E+</t>
        </is>
      </c>
      <c r="AD507" s="84" t="n">
        <v>18</v>
      </c>
      <c r="AE507" s="84" t="n">
        <v>13</v>
      </c>
      <c r="AF507" s="84" t="n">
        <v>0.76</v>
      </c>
      <c r="AG507" s="84" t="n">
        <v>0.84</v>
      </c>
      <c r="AH507" s="84" t="n">
        <v>0</v>
      </c>
      <c r="AI507" s="84" t="n">
        <v>0</v>
      </c>
      <c r="AJ507" s="84">
        <f>SUMIFS(AH$8:AH$1039,$O$8:$O$1039,O507,$AB$8:$AB$1039,AB507,$R$8:$R$1039,R507,$AA$8:$AA$1039,"&lt;="&amp;AA507)</f>
        <v/>
      </c>
      <c r="AK507" s="84">
        <f>D48</f>
        <v/>
      </c>
      <c r="AL507" s="84">
        <f>D54</f>
        <v/>
      </c>
      <c r="AM507" s="84">
        <f>MAX(0,AJ507-AK507)</f>
        <v/>
      </c>
      <c r="AN507" s="84">
        <f>IF(AM507=0,AH507,IF(AM507&gt;=AH507,0,AH507-AM507))</f>
        <v/>
      </c>
      <c r="AO507" s="84">
        <f>IF(AM507&gt;=AH507,AI507,AI507*AM507/AH507)</f>
        <v/>
      </c>
      <c r="AP507">
        <f t="array" ref="AP507">INDEX($AU$8:$BB$25,6*(R507-1)+MATCH(AB507,$AS$8:$AS$13,0),MATCH(O507,$AU$7:$BB$7,0))</f>
        <v/>
      </c>
    </row>
    <row r="508" ht="14.25" customHeight="1">
      <c r="O508" s="43" t="inlineStr">
        <is>
          <t>Q4’26</t>
        </is>
      </c>
      <c r="P508" s="43" t="n">
        <v>3</v>
      </c>
      <c r="Q508" s="43" t="n">
        <v>12</v>
      </c>
      <c r="R508" s="43" t="n">
        <v>3</v>
      </c>
      <c r="S508" s="45" t="n">
        <v>2969.105323706948</v>
      </c>
      <c r="T508">
        <f>(S506+S507+S508)=Q4</f>
        <v/>
      </c>
      <c r="X508" s="84">
        <f>MAX(S505-S508,0)</f>
        <v/>
      </c>
      <c r="Y508" s="83" t="n">
        <v>0</v>
      </c>
      <c r="AA508" s="84" t="n">
        <v>10</v>
      </c>
      <c r="AB508" s="84" t="inlineStr">
        <is>
          <t>E</t>
        </is>
      </c>
      <c r="AC508" s="84" t="inlineStr">
        <is>
          <t>E+</t>
        </is>
      </c>
      <c r="AD508" s="84" t="n">
        <v>18</v>
      </c>
      <c r="AE508" s="84" t="n">
        <v>13</v>
      </c>
      <c r="AF508" s="84" t="n">
        <v>0.76</v>
      </c>
      <c r="AG508" s="84" t="n">
        <v>0.84</v>
      </c>
      <c r="AH508" s="84" t="n">
        <v>0</v>
      </c>
      <c r="AI508" s="84" t="n">
        <v>0</v>
      </c>
      <c r="AJ508" s="84">
        <f>SUMIFS(AH$8:AH$1039,$O$8:$O$1039,O508,$AB$8:$AB$1039,AB508,$R$8:$R$1039,R508,$AA$8:$AA$1039,"&lt;="&amp;AA508)</f>
        <v/>
      </c>
      <c r="AK508" s="84">
        <f>E48</f>
        <v/>
      </c>
      <c r="AL508" s="84">
        <f>E54</f>
        <v/>
      </c>
      <c r="AM508" s="84">
        <f>MAX(0,AJ508-AK508)</f>
        <v/>
      </c>
      <c r="AN508" s="84">
        <f>IF(AM508=0,AH508,IF(AM508&gt;=AH508,0,AH508-AM508))</f>
        <v/>
      </c>
      <c r="AO508" s="84">
        <f>IF(AM508&gt;=AH508,AI508,AI508*AM508/AH508)</f>
        <v/>
      </c>
      <c r="AP508">
        <f t="array" ref="AP508">INDEX($AU$8:$BB$25,6*(R508-1)+MATCH(AB508,$AS$8:$AS$13,0),MATCH(O508,$AU$7:$BB$7,0))</f>
        <v/>
      </c>
    </row>
    <row r="509" ht="14.25" customHeight="1">
      <c r="O509" s="43" t="inlineStr">
        <is>
          <t>Q4’26</t>
        </is>
      </c>
      <c r="P509" s="43" t="n">
        <v>3</v>
      </c>
      <c r="Q509" s="43" t="n">
        <v>13</v>
      </c>
      <c r="R509" s="43" t="n">
        <v>1</v>
      </c>
      <c r="S509" s="45" t="n">
        <v>2141.703529411764</v>
      </c>
      <c r="T509">
        <f>(S509+S510+S511)=Q4</f>
        <v/>
      </c>
      <c r="X509" s="84">
        <f>MAX(S506-S509,0)</f>
        <v/>
      </c>
      <c r="Y509" s="83" t="n">
        <v>0</v>
      </c>
      <c r="AA509" s="84" t="n">
        <v>2</v>
      </c>
      <c r="AB509" s="84" t="inlineStr">
        <is>
          <t>F</t>
        </is>
      </c>
      <c r="AC509" s="84" t="inlineStr">
        <is>
          <t>F+</t>
        </is>
      </c>
      <c r="AD509" s="84" t="n">
        <v>20</v>
      </c>
      <c r="AE509" s="84" t="n">
        <v>18</v>
      </c>
      <c r="AF509" s="84" t="n">
        <v>0.8</v>
      </c>
      <c r="AG509" s="84" t="n">
        <v>0.9</v>
      </c>
      <c r="AH509" s="84" t="n">
        <v>0</v>
      </c>
      <c r="AI509" s="84" t="n">
        <v>0</v>
      </c>
      <c r="AJ509" s="84">
        <f>SUMIFS(AH$8:AH$1039,$O$8:$O$1039,O509,$AB$8:$AB$1039,AB509,$R$8:$R$1039,R509,$AA$8:$AA$1039,"&lt;="&amp;AA509)</f>
        <v/>
      </c>
      <c r="AK509" s="84">
        <f>C49</f>
        <v/>
      </c>
      <c r="AL509" s="84">
        <f>C55</f>
        <v/>
      </c>
      <c r="AM509" s="84">
        <f>MAX(0,AJ509-AK509)</f>
        <v/>
      </c>
      <c r="AN509" s="84">
        <f>IF(AM509=0,AH509,IF(AM509&gt;=AH509,0,AH509-AM509))</f>
        <v/>
      </c>
      <c r="AO509" s="84">
        <f>IF(AM509&gt;=AH509,AI509,AI509*AM509/AH509)</f>
        <v/>
      </c>
      <c r="AP509">
        <f t="array" ref="AP509">INDEX($AU$8:$BB$25,6*(R509-1)+MATCH(AB509,$AS$8:$AS$13,0),MATCH(O509,$AU$7:$BB$7,0))</f>
        <v/>
      </c>
    </row>
    <row r="510" ht="14.25" customHeight="1">
      <c r="O510" s="43" t="inlineStr">
        <is>
          <t>Q4’26</t>
        </is>
      </c>
      <c r="P510" s="43" t="n">
        <v>3</v>
      </c>
      <c r="Q510" s="43" t="n">
        <v>13</v>
      </c>
      <c r="R510" s="43" t="n">
        <v>2</v>
      </c>
      <c r="S510" s="45" t="n">
        <v>2889.19114688129</v>
      </c>
      <c r="T510">
        <f>(S509+S510+S511)=Q4</f>
        <v/>
      </c>
      <c r="X510" s="84">
        <f>MAX(S507-S510,0)</f>
        <v/>
      </c>
      <c r="Y510" s="83" t="n">
        <v>0</v>
      </c>
      <c r="AA510" s="84" t="n">
        <v>2</v>
      </c>
      <c r="AB510" s="84" t="inlineStr">
        <is>
          <t>F</t>
        </is>
      </c>
      <c r="AC510" s="84" t="inlineStr">
        <is>
          <t>F+</t>
        </is>
      </c>
      <c r="AD510" s="84" t="n">
        <v>20</v>
      </c>
      <c r="AE510" s="84" t="n">
        <v>18</v>
      </c>
      <c r="AF510" s="84" t="n">
        <v>0.8</v>
      </c>
      <c r="AG510" s="84" t="n">
        <v>0.9</v>
      </c>
      <c r="AH510" s="84" t="n">
        <v>0</v>
      </c>
      <c r="AI510" s="84" t="n">
        <v>0</v>
      </c>
      <c r="AJ510" s="84">
        <f>SUMIFS(AH$8:AH$1039,$O$8:$O$1039,O510,$AB$8:$AB$1039,AB510,$R$8:$R$1039,R510,$AA$8:$AA$1039,"&lt;="&amp;AA510)</f>
        <v/>
      </c>
      <c r="AK510" s="84">
        <f>D49</f>
        <v/>
      </c>
      <c r="AL510" s="84">
        <f>D55</f>
        <v/>
      </c>
      <c r="AM510" s="84">
        <f>MAX(0,AJ510-AK510)</f>
        <v/>
      </c>
      <c r="AN510" s="84">
        <f>IF(AM510=0,AH510,IF(AM510&gt;=AH510,0,AH510-AM510))</f>
        <v/>
      </c>
      <c r="AO510" s="84">
        <f>IF(AM510&gt;=AH510,AI510,AI510*AM510/AH510)</f>
        <v/>
      </c>
      <c r="AP510">
        <f t="array" ref="AP510">INDEX($AU$8:$BB$25,6*(R510-1)+MATCH(AB510,$AS$8:$AS$13,0),MATCH(O510,$AU$7:$BB$7,0))</f>
        <v/>
      </c>
    </row>
    <row r="511" ht="14.25" customHeight="1">
      <c r="O511" s="43" t="inlineStr">
        <is>
          <t>Q4’26</t>
        </is>
      </c>
      <c r="P511" s="43" t="n">
        <v>3</v>
      </c>
      <c r="Q511" s="43" t="n">
        <v>13</v>
      </c>
      <c r="R511" s="43" t="n">
        <v>3</v>
      </c>
      <c r="S511" s="45" t="n">
        <v>2969.105323706946</v>
      </c>
      <c r="T511">
        <f>(S509+S510+S511)=Q4</f>
        <v/>
      </c>
      <c r="X511" s="84">
        <f>MAX(S508-S511,0)</f>
        <v/>
      </c>
      <c r="Y511" s="83" t="n">
        <v>0</v>
      </c>
      <c r="AA511" s="84" t="n">
        <v>2</v>
      </c>
      <c r="AB511" s="84" t="inlineStr">
        <is>
          <t>F</t>
        </is>
      </c>
      <c r="AC511" s="84" t="inlineStr">
        <is>
          <t>F+</t>
        </is>
      </c>
      <c r="AD511" s="84" t="n">
        <v>20</v>
      </c>
      <c r="AE511" s="84" t="n">
        <v>18</v>
      </c>
      <c r="AF511" s="84" t="n">
        <v>0.8</v>
      </c>
      <c r="AG511" s="84" t="n">
        <v>0.9</v>
      </c>
      <c r="AH511" s="84" t="n">
        <v>0</v>
      </c>
      <c r="AI511" s="84" t="n">
        <v>0</v>
      </c>
      <c r="AJ511" s="84">
        <f>SUMIFS(AH$8:AH$1039,$O$8:$O$1039,O511,$AB$8:$AB$1039,AB511,$R$8:$R$1039,R511,$AA$8:$AA$1039,"&lt;="&amp;AA511)</f>
        <v/>
      </c>
      <c r="AK511" s="84">
        <f>E49</f>
        <v/>
      </c>
      <c r="AL511" s="84">
        <f>E55</f>
        <v/>
      </c>
      <c r="AM511" s="84">
        <f>MAX(0,AJ511-AK511)</f>
        <v/>
      </c>
      <c r="AN511" s="84">
        <f>IF(AM511=0,AH511,IF(AM511&gt;=AH511,0,AH511-AM511))</f>
        <v/>
      </c>
      <c r="AO511" s="84">
        <f>IF(AM511&gt;=AH511,AI511,AI511*AM511/AH511)</f>
        <v/>
      </c>
      <c r="AP511">
        <f t="array" ref="AP511">INDEX($AU$8:$BB$25,6*(R511-1)+MATCH(AB511,$AS$8:$AS$13,0),MATCH(O511,$AU$7:$BB$7,0))</f>
        <v/>
      </c>
    </row>
    <row r="512" ht="14.25" customHeight="1">
      <c r="O512" s="43" t="inlineStr">
        <is>
          <t>Q4’26</t>
        </is>
      </c>
      <c r="P512" s="43" t="n">
        <v>3</v>
      </c>
      <c r="Q512" s="43" t="n">
        <v>14</v>
      </c>
      <c r="R512" s="43" t="n">
        <v>1</v>
      </c>
      <c r="S512" s="45" t="n">
        <v>2141.703529411764</v>
      </c>
      <c r="T512">
        <f>(S512+S513+S514)=Q4</f>
        <v/>
      </c>
      <c r="X512" s="84">
        <f>MAX(S509-S512,0)</f>
        <v/>
      </c>
      <c r="Y512" s="83" t="n">
        <v>0</v>
      </c>
      <c r="AA512" s="84" t="n">
        <v>2</v>
      </c>
      <c r="AB512" s="84" t="inlineStr">
        <is>
          <t>C</t>
        </is>
      </c>
      <c r="AC512" s="84" t="inlineStr">
        <is>
          <t>C+</t>
        </is>
      </c>
      <c r="AD512" s="84" t="n">
        <v>12</v>
      </c>
      <c r="AE512" s="84" t="n">
        <v>11</v>
      </c>
      <c r="AF512" s="84" t="n">
        <v>0.8</v>
      </c>
      <c r="AG512" s="84" t="n">
        <v>0.86</v>
      </c>
      <c r="AH512" s="84" t="n">
        <v>0</v>
      </c>
      <c r="AI512" s="84" t="n">
        <v>0</v>
      </c>
      <c r="AJ512" s="84">
        <f>SUMIFS(AH$8:AH$1039,$O$8:$O$1039,O512,$AB$8:$AB$1039,AB512,$R$8:$R$1039,R512,$AA$8:$AA$1039,"&lt;="&amp;AA512)</f>
        <v/>
      </c>
      <c r="AK512" s="84">
        <f>C46</f>
        <v/>
      </c>
      <c r="AL512" s="84">
        <f>C52</f>
        <v/>
      </c>
      <c r="AM512" s="84">
        <f>MAX(0,AJ512-AK512)</f>
        <v/>
      </c>
      <c r="AN512" s="84">
        <f>IF(AM512=0,AH512,IF(AM512&gt;=AH512,0,AH512-AM512))</f>
        <v/>
      </c>
      <c r="AO512" s="84">
        <f>IF(AM512&gt;=AH512,AI512,AI512*AM512/AH512)</f>
        <v/>
      </c>
      <c r="AP512">
        <f t="array" ref="AP512">INDEX($AU$8:$BB$25,6*(R512-1)+MATCH(AB512,$AS$8:$AS$13,0),MATCH(O512,$AU$7:$BB$7,0))</f>
        <v/>
      </c>
    </row>
    <row r="513" ht="14.25" customHeight="1">
      <c r="O513" s="43" t="inlineStr">
        <is>
          <t>Q4’26</t>
        </is>
      </c>
      <c r="P513" s="43" t="n">
        <v>3</v>
      </c>
      <c r="Q513" s="43" t="n">
        <v>14</v>
      </c>
      <c r="R513" s="43" t="n">
        <v>2</v>
      </c>
      <c r="S513" s="45" t="n">
        <v>2889.19114688129</v>
      </c>
      <c r="T513">
        <f>(S512+S513+S514)=Q4</f>
        <v/>
      </c>
      <c r="X513" s="84">
        <f>MAX(S510-S513,0)</f>
        <v/>
      </c>
      <c r="Y513" s="83" t="n">
        <v>0</v>
      </c>
      <c r="AA513" s="84" t="n">
        <v>2</v>
      </c>
      <c r="AB513" s="84" t="inlineStr">
        <is>
          <t>C</t>
        </is>
      </c>
      <c r="AC513" s="84" t="inlineStr">
        <is>
          <t>C+</t>
        </is>
      </c>
      <c r="AD513" s="84" t="n">
        <v>12</v>
      </c>
      <c r="AE513" s="84" t="n">
        <v>11</v>
      </c>
      <c r="AF513" s="84" t="n">
        <v>0.8</v>
      </c>
      <c r="AG513" s="84" t="n">
        <v>0.86</v>
      </c>
      <c r="AH513" s="84" t="n">
        <v>0</v>
      </c>
      <c r="AI513" s="84" t="n">
        <v>0</v>
      </c>
      <c r="AJ513" s="84">
        <f>SUMIFS(AH$8:AH$1039,$O$8:$O$1039,O513,$AB$8:$AB$1039,AB513,$R$8:$R$1039,R513,$AA$8:$AA$1039,"&lt;="&amp;AA513)</f>
        <v/>
      </c>
      <c r="AK513" s="84">
        <f>D46</f>
        <v/>
      </c>
      <c r="AL513" s="84">
        <f>D52</f>
        <v/>
      </c>
      <c r="AM513" s="84">
        <f>MAX(0,AJ513-AK513)</f>
        <v/>
      </c>
      <c r="AN513" s="84">
        <f>IF(AM513=0,AH513,IF(AM513&gt;=AH513,0,AH513-AM513))</f>
        <v/>
      </c>
      <c r="AO513" s="84">
        <f>IF(AM513&gt;=AH513,AI513,AI513*AM513/AH513)</f>
        <v/>
      </c>
      <c r="AP513">
        <f t="array" ref="AP513">INDEX($AU$8:$BB$25,6*(R513-1)+MATCH(AB513,$AS$8:$AS$13,0),MATCH(O513,$AU$7:$BB$7,0))</f>
        <v/>
      </c>
    </row>
    <row r="514" ht="14.25" customHeight="1">
      <c r="O514" s="43" t="inlineStr">
        <is>
          <t>Q4’26</t>
        </is>
      </c>
      <c r="P514" s="43" t="n">
        <v>3</v>
      </c>
      <c r="Q514" s="43" t="n">
        <v>14</v>
      </c>
      <c r="R514" s="43" t="n">
        <v>3</v>
      </c>
      <c r="S514" s="45" t="n">
        <v>2969.105323706946</v>
      </c>
      <c r="T514">
        <f>(S512+S513+S514)=Q4</f>
        <v/>
      </c>
      <c r="X514" s="84">
        <f>MAX(S511-S514,0)</f>
        <v/>
      </c>
      <c r="Y514" s="83" t="n">
        <v>0</v>
      </c>
      <c r="AA514" s="84" t="n">
        <v>2</v>
      </c>
      <c r="AB514" s="84" t="inlineStr">
        <is>
          <t>C</t>
        </is>
      </c>
      <c r="AC514" s="84" t="inlineStr">
        <is>
          <t>C+</t>
        </is>
      </c>
      <c r="AD514" s="84" t="n">
        <v>12</v>
      </c>
      <c r="AE514" s="84" t="n">
        <v>11</v>
      </c>
      <c r="AF514" s="84" t="n">
        <v>0.8</v>
      </c>
      <c r="AG514" s="84" t="n">
        <v>0.86</v>
      </c>
      <c r="AH514" s="84" t="n">
        <v>0</v>
      </c>
      <c r="AI514" s="84" t="n">
        <v>0</v>
      </c>
      <c r="AJ514" s="84">
        <f>SUMIFS(AH$8:AH$1039,$O$8:$O$1039,O514,$AB$8:$AB$1039,AB514,$R$8:$R$1039,R514,$AA$8:$AA$1039,"&lt;="&amp;AA514)</f>
        <v/>
      </c>
      <c r="AK514" s="84">
        <f>E46</f>
        <v/>
      </c>
      <c r="AL514" s="84">
        <f>E52</f>
        <v/>
      </c>
      <c r="AM514" s="84">
        <f>MAX(0,AJ514-AK514)</f>
        <v/>
      </c>
      <c r="AN514" s="84">
        <f>IF(AM514=0,AH514,IF(AM514&gt;=AH514,0,AH514-AM514))</f>
        <v/>
      </c>
      <c r="AO514" s="84">
        <f>IF(AM514&gt;=AH514,AI514,AI514*AM514/AH514)</f>
        <v/>
      </c>
      <c r="AP514">
        <f t="array" ref="AP514">INDEX($AU$8:$BB$25,6*(R514-1)+MATCH(AB514,$AS$8:$AS$13,0),MATCH(O514,$AU$7:$BB$7,0))</f>
        <v/>
      </c>
    </row>
    <row r="515" ht="14.25" customHeight="1">
      <c r="O515" s="43" t="inlineStr">
        <is>
          <t>Q4’26</t>
        </is>
      </c>
      <c r="P515" s="43" t="n">
        <v>3</v>
      </c>
      <c r="Q515" s="43" t="n">
        <v>15</v>
      </c>
      <c r="R515" s="43" t="n">
        <v>1</v>
      </c>
      <c r="S515" s="45" t="n">
        <v>2141.703529411764</v>
      </c>
      <c r="T515">
        <f>(S515+S516+S517)=Q4</f>
        <v/>
      </c>
      <c r="X515" s="84">
        <f>MAX(S512-S515,0)</f>
        <v/>
      </c>
      <c r="Y515" s="83" t="n">
        <v>0</v>
      </c>
      <c r="AA515" s="84" t="n">
        <v>2</v>
      </c>
      <c r="AB515" s="84" t="inlineStr">
        <is>
          <t>D</t>
        </is>
      </c>
      <c r="AC515" s="84" t="inlineStr">
        <is>
          <t>D+</t>
        </is>
      </c>
      <c r="AD515" s="84" t="n">
        <v>11</v>
      </c>
      <c r="AE515" s="84" t="n">
        <v>10</v>
      </c>
      <c r="AF515" s="84" t="n">
        <v>0.8</v>
      </c>
      <c r="AG515" s="84" t="n">
        <v>0.88</v>
      </c>
      <c r="AH515" s="84" t="n">
        <v>0</v>
      </c>
      <c r="AI515" s="84" t="n">
        <v>0</v>
      </c>
      <c r="AJ515" s="84">
        <f>SUMIFS(AH$8:AH$1039,$O$8:$O$1039,O515,$AB$8:$AB$1039,AB515,$R$8:$R$1039,R515,$AA$8:$AA$1039,"&lt;="&amp;AA515)</f>
        <v/>
      </c>
      <c r="AK515" s="84">
        <f>C47</f>
        <v/>
      </c>
      <c r="AL515" s="84">
        <f>C53</f>
        <v/>
      </c>
      <c r="AM515" s="84">
        <f>MAX(0,AJ515-AK515)</f>
        <v/>
      </c>
      <c r="AN515" s="84">
        <f>IF(AM515=0,AH515,IF(AM515&gt;=AH515,0,AH515-AM515))</f>
        <v/>
      </c>
      <c r="AO515" s="84">
        <f>IF(AM515&gt;=AH515,AI515,AI515*AM515/AH515)</f>
        <v/>
      </c>
      <c r="AP515">
        <f t="array" ref="AP515">INDEX($AU$8:$BB$25,6*(R515-1)+MATCH(AB515,$AS$8:$AS$13,0),MATCH(O515,$AU$7:$BB$7,0))</f>
        <v/>
      </c>
    </row>
    <row r="516" ht="14.25" customHeight="1">
      <c r="O516" s="43" t="inlineStr">
        <is>
          <t>Q4’26</t>
        </is>
      </c>
      <c r="P516" s="43" t="n">
        <v>3</v>
      </c>
      <c r="Q516" s="43" t="n">
        <v>15</v>
      </c>
      <c r="R516" s="43" t="n">
        <v>2</v>
      </c>
      <c r="S516" s="45" t="n">
        <v>2889.19114688129</v>
      </c>
      <c r="T516">
        <f>(S515+S516+S517)=Q4</f>
        <v/>
      </c>
      <c r="X516" s="84">
        <f>MAX(S513-S516,0)</f>
        <v/>
      </c>
      <c r="Y516" s="83" t="n">
        <v>0</v>
      </c>
      <c r="AA516" s="84" t="n">
        <v>2</v>
      </c>
      <c r="AB516" s="84" t="inlineStr">
        <is>
          <t>D</t>
        </is>
      </c>
      <c r="AC516" s="84" t="inlineStr">
        <is>
          <t>D+</t>
        </is>
      </c>
      <c r="AD516" s="84" t="n">
        <v>11</v>
      </c>
      <c r="AE516" s="84" t="n">
        <v>10</v>
      </c>
      <c r="AF516" s="84" t="n">
        <v>0.8</v>
      </c>
      <c r="AG516" s="84" t="n">
        <v>0.88</v>
      </c>
      <c r="AH516" s="84" t="n">
        <v>0</v>
      </c>
      <c r="AI516" s="84" t="n">
        <v>0</v>
      </c>
      <c r="AJ516" s="84">
        <f>SUMIFS(AH$8:AH$1039,$O$8:$O$1039,O516,$AB$8:$AB$1039,AB516,$R$8:$R$1039,R516,$AA$8:$AA$1039,"&lt;="&amp;AA516)</f>
        <v/>
      </c>
      <c r="AK516" s="84">
        <f>D47</f>
        <v/>
      </c>
      <c r="AL516" s="84">
        <f>D53</f>
        <v/>
      </c>
      <c r="AM516" s="84">
        <f>MAX(0,AJ516-AK516)</f>
        <v/>
      </c>
      <c r="AN516" s="84">
        <f>IF(AM516=0,AH516,IF(AM516&gt;=AH516,0,AH516-AM516))</f>
        <v/>
      </c>
      <c r="AO516" s="84">
        <f>IF(AM516&gt;=AH516,AI516,AI516*AM516/AH516)</f>
        <v/>
      </c>
      <c r="AP516">
        <f t="array" ref="AP516">INDEX($AU$8:$BB$25,6*(R516-1)+MATCH(AB516,$AS$8:$AS$13,0),MATCH(O516,$AU$7:$BB$7,0))</f>
        <v/>
      </c>
    </row>
    <row r="517" ht="14.25" customHeight="1">
      <c r="O517" s="43" t="inlineStr">
        <is>
          <t>Q4’26</t>
        </is>
      </c>
      <c r="P517" s="43" t="n">
        <v>3</v>
      </c>
      <c r="Q517" s="43" t="n">
        <v>15</v>
      </c>
      <c r="R517" s="43" t="n">
        <v>3</v>
      </c>
      <c r="S517" s="45" t="n">
        <v>2969.105323706946</v>
      </c>
      <c r="T517">
        <f>(S515+S516+S517)=Q4</f>
        <v/>
      </c>
      <c r="X517" s="84">
        <f>MAX(S514-S517,0)</f>
        <v/>
      </c>
      <c r="Y517" s="83" t="n">
        <v>0</v>
      </c>
      <c r="AA517" s="84" t="n">
        <v>2</v>
      </c>
      <c r="AB517" s="84" t="inlineStr">
        <is>
          <t>D</t>
        </is>
      </c>
      <c r="AC517" s="84" t="inlineStr">
        <is>
          <t>D+</t>
        </is>
      </c>
      <c r="AD517" s="84" t="n">
        <v>11</v>
      </c>
      <c r="AE517" s="84" t="n">
        <v>10</v>
      </c>
      <c r="AF517" s="84" t="n">
        <v>0.8</v>
      </c>
      <c r="AG517" s="84" t="n">
        <v>0.88</v>
      </c>
      <c r="AH517" s="84" t="n">
        <v>0</v>
      </c>
      <c r="AI517" s="84" t="n">
        <v>0</v>
      </c>
      <c r="AJ517" s="84">
        <f>SUMIFS(AH$8:AH$1039,$O$8:$O$1039,O517,$AB$8:$AB$1039,AB517,$R$8:$R$1039,R517,$AA$8:$AA$1039,"&lt;="&amp;AA517)</f>
        <v/>
      </c>
      <c r="AK517" s="84">
        <f>E47</f>
        <v/>
      </c>
      <c r="AL517" s="84">
        <f>E53</f>
        <v/>
      </c>
      <c r="AM517" s="84">
        <f>MAX(0,AJ517-AK517)</f>
        <v/>
      </c>
      <c r="AN517" s="84">
        <f>IF(AM517=0,AH517,IF(AM517&gt;=AH517,0,AH517-AM517))</f>
        <v/>
      </c>
      <c r="AO517" s="84">
        <f>IF(AM517&gt;=AH517,AI517,AI517*AM517/AH517)</f>
        <v/>
      </c>
      <c r="AP517">
        <f t="array" ref="AP517">INDEX($AU$8:$BB$25,6*(R517-1)+MATCH(AB517,$AS$8:$AS$13,0),MATCH(O517,$AU$7:$BB$7,0))</f>
        <v/>
      </c>
    </row>
    <row r="518" ht="14.25" customHeight="1">
      <c r="O518" s="43" t="inlineStr">
        <is>
          <t>Q4’26</t>
        </is>
      </c>
      <c r="P518" s="43" t="n">
        <v>3</v>
      </c>
      <c r="Q518" s="43" t="n">
        <v>16</v>
      </c>
      <c r="R518" s="43" t="n">
        <v>1</v>
      </c>
      <c r="S518" s="45" t="n">
        <v>2141.703529411764</v>
      </c>
      <c r="T518">
        <f>(S518+S519+S520)=Q4</f>
        <v/>
      </c>
      <c r="X518" s="84">
        <f>MAX(S515-S518,0)</f>
        <v/>
      </c>
      <c r="Y518" s="83" t="n">
        <v>0</v>
      </c>
      <c r="AA518" s="84" t="n">
        <v>4</v>
      </c>
      <c r="AB518" s="84" t="inlineStr">
        <is>
          <t>C</t>
        </is>
      </c>
      <c r="AC518" s="84" t="inlineStr">
        <is>
          <t>C+</t>
        </is>
      </c>
      <c r="AD518" s="84" t="n">
        <v>25</v>
      </c>
      <c r="AE518" s="84" t="n">
        <v>20</v>
      </c>
      <c r="AF518" s="84" t="n">
        <v>0.8</v>
      </c>
      <c r="AG518" s="84" t="n">
        <v>0.86</v>
      </c>
      <c r="AH518" s="84" t="n">
        <v>0</v>
      </c>
      <c r="AI518" s="84" t="n">
        <v>0</v>
      </c>
      <c r="AJ518" s="84">
        <f>SUMIFS(AH$8:AH$1039,$O$8:$O$1039,O518,$AB$8:$AB$1039,AB518,$R$8:$R$1039,R518,$AA$8:$AA$1039,"&lt;="&amp;AA518)</f>
        <v/>
      </c>
      <c r="AK518" s="84">
        <f>C46</f>
        <v/>
      </c>
      <c r="AL518" s="84">
        <f>C52</f>
        <v/>
      </c>
      <c r="AM518" s="84">
        <f>MAX(0,AJ518-AK518)</f>
        <v/>
      </c>
      <c r="AN518" s="84">
        <f>IF(AM518=0,AH518,IF(AM518&gt;=AH518,0,AH518-AM518))</f>
        <v/>
      </c>
      <c r="AO518" s="84">
        <f>IF(AM518&gt;=AH518,AI518,AI518*AM518/AH518)</f>
        <v/>
      </c>
      <c r="AP518">
        <f t="array" ref="AP518">INDEX($AU$8:$BB$25,6*(R518-1)+MATCH(AB518,$AS$8:$AS$13,0),MATCH(O518,$AU$7:$BB$7,0))</f>
        <v/>
      </c>
    </row>
    <row r="519" ht="14.25" customHeight="1">
      <c r="O519" s="43" t="inlineStr">
        <is>
          <t>Q4’26</t>
        </is>
      </c>
      <c r="P519" s="43" t="n">
        <v>3</v>
      </c>
      <c r="Q519" s="43" t="n">
        <v>16</v>
      </c>
      <c r="R519" s="43" t="n">
        <v>2</v>
      </c>
      <c r="S519" s="45" t="n">
        <v>2889.19114688129</v>
      </c>
      <c r="T519">
        <f>(S518+S519+S520)=Q4</f>
        <v/>
      </c>
      <c r="X519" s="84">
        <f>MAX(S516-S519,0)</f>
        <v/>
      </c>
      <c r="Y519" s="83" t="n">
        <v>0</v>
      </c>
      <c r="AA519" s="84" t="n">
        <v>4</v>
      </c>
      <c r="AB519" s="84" t="inlineStr">
        <is>
          <t>C</t>
        </is>
      </c>
      <c r="AC519" s="84" t="inlineStr">
        <is>
          <t>C+</t>
        </is>
      </c>
      <c r="AD519" s="84" t="n">
        <v>25</v>
      </c>
      <c r="AE519" s="84" t="n">
        <v>20</v>
      </c>
      <c r="AF519" s="84" t="n">
        <v>0.8</v>
      </c>
      <c r="AG519" s="84" t="n">
        <v>0.86</v>
      </c>
      <c r="AH519" s="84" t="n">
        <v>0</v>
      </c>
      <c r="AI519" s="84" t="n">
        <v>0</v>
      </c>
      <c r="AJ519" s="84">
        <f>SUMIFS(AH$8:AH$1039,$O$8:$O$1039,O519,$AB$8:$AB$1039,AB519,$R$8:$R$1039,R519,$AA$8:$AA$1039,"&lt;="&amp;AA519)</f>
        <v/>
      </c>
      <c r="AK519" s="84">
        <f>D46</f>
        <v/>
      </c>
      <c r="AL519" s="84">
        <f>D52</f>
        <v/>
      </c>
      <c r="AM519" s="84">
        <f>MAX(0,AJ519-AK519)</f>
        <v/>
      </c>
      <c r="AN519" s="84">
        <f>IF(AM519=0,AH519,IF(AM519&gt;=AH519,0,AH519-AM519))</f>
        <v/>
      </c>
      <c r="AO519" s="84">
        <f>IF(AM519&gt;=AH519,AI519,AI519*AM519/AH519)</f>
        <v/>
      </c>
      <c r="AP519">
        <f t="array" ref="AP519">INDEX($AU$8:$BB$25,6*(R519-1)+MATCH(AB519,$AS$8:$AS$13,0),MATCH(O519,$AU$7:$BB$7,0))</f>
        <v/>
      </c>
    </row>
    <row r="520" ht="14.25" customHeight="1">
      <c r="O520" s="43" t="inlineStr">
        <is>
          <t>Q4’26</t>
        </is>
      </c>
      <c r="P520" s="43" t="n">
        <v>3</v>
      </c>
      <c r="Q520" s="43" t="n">
        <v>16</v>
      </c>
      <c r="R520" s="43" t="n">
        <v>3</v>
      </c>
      <c r="S520" s="45" t="n">
        <v>2969.105323706946</v>
      </c>
      <c r="T520">
        <f>(S518+S519+S520)=Q4</f>
        <v/>
      </c>
      <c r="X520" s="84">
        <f>MAX(S517-S520,0)</f>
        <v/>
      </c>
      <c r="Y520" s="83" t="n">
        <v>0</v>
      </c>
      <c r="AA520" s="84" t="n">
        <v>4</v>
      </c>
      <c r="AB520" s="84" t="inlineStr">
        <is>
          <t>C</t>
        </is>
      </c>
      <c r="AC520" s="84" t="inlineStr">
        <is>
          <t>C+</t>
        </is>
      </c>
      <c r="AD520" s="84" t="n">
        <v>25</v>
      </c>
      <c r="AE520" s="84" t="n">
        <v>20</v>
      </c>
      <c r="AF520" s="84" t="n">
        <v>0.8</v>
      </c>
      <c r="AG520" s="84" t="n">
        <v>0.86</v>
      </c>
      <c r="AH520" s="84" t="n">
        <v>0</v>
      </c>
      <c r="AI520" s="84" t="n">
        <v>0</v>
      </c>
      <c r="AJ520" s="84">
        <f>SUMIFS(AH$8:AH$1039,$O$8:$O$1039,O520,$AB$8:$AB$1039,AB520,$R$8:$R$1039,R520,$AA$8:$AA$1039,"&lt;="&amp;AA520)</f>
        <v/>
      </c>
      <c r="AK520" s="84">
        <f>E46</f>
        <v/>
      </c>
      <c r="AL520" s="84">
        <f>E52</f>
        <v/>
      </c>
      <c r="AM520" s="84">
        <f>MAX(0,AJ520-AK520)</f>
        <v/>
      </c>
      <c r="AN520" s="84">
        <f>IF(AM520=0,AH520,IF(AM520&gt;=AH520,0,AH520-AM520))</f>
        <v/>
      </c>
      <c r="AO520" s="84">
        <f>IF(AM520&gt;=AH520,AI520,AI520*AM520/AH520)</f>
        <v/>
      </c>
      <c r="AP520">
        <f t="array" ref="AP520">INDEX($AU$8:$BB$25,6*(R520-1)+MATCH(AB520,$AS$8:$AS$13,0),MATCH(O520,$AU$7:$BB$7,0))</f>
        <v/>
      </c>
    </row>
    <row r="521" ht="14.25" customHeight="1">
      <c r="O521" s="43" t="inlineStr">
        <is>
          <t>Q4’26</t>
        </is>
      </c>
      <c r="P521" s="43" t="n">
        <v>3</v>
      </c>
      <c r="Q521" s="43" t="n">
        <v>17</v>
      </c>
      <c r="R521" s="43" t="n">
        <v>1</v>
      </c>
      <c r="S521" s="45" t="n">
        <v>2141.703529411764</v>
      </c>
      <c r="T521">
        <f>(S521+S522+S523)=Q4</f>
        <v/>
      </c>
      <c r="X521" s="84">
        <f>MAX(S518-S521,0)</f>
        <v/>
      </c>
      <c r="Y521" s="83" t="n">
        <v>0</v>
      </c>
      <c r="AA521" s="84" t="n">
        <v>1</v>
      </c>
      <c r="AB521" s="84" t="inlineStr">
        <is>
          <t>F</t>
        </is>
      </c>
      <c r="AC521" s="84" t="inlineStr">
        <is>
          <t>F+</t>
        </is>
      </c>
      <c r="AD521" s="84" t="n">
        <v>14</v>
      </c>
      <c r="AE521" s="84" t="n">
        <v>13</v>
      </c>
      <c r="AF521" s="84" t="n">
        <v>0.8</v>
      </c>
      <c r="AG521" s="84" t="n">
        <v>0.9</v>
      </c>
      <c r="AH521" s="84" t="n">
        <v>0</v>
      </c>
      <c r="AI521" s="84" t="n">
        <v>0</v>
      </c>
      <c r="AJ521" s="84">
        <f>SUMIFS(AH$8:AH$1039,$O$8:$O$1039,O521,$AB$8:$AB$1039,AB521,$R$8:$R$1039,R521,$AA$8:$AA$1039,"&lt;="&amp;AA521)</f>
        <v/>
      </c>
      <c r="AK521" s="84">
        <f>C49</f>
        <v/>
      </c>
      <c r="AL521" s="84">
        <f>C55</f>
        <v/>
      </c>
      <c r="AM521" s="84">
        <f>MAX(0,AJ521-AK521)</f>
        <v/>
      </c>
      <c r="AN521" s="84">
        <f>IF(AM521=0,AH521,IF(AM521&gt;=AH521,0,AH521-AM521))</f>
        <v/>
      </c>
      <c r="AO521" s="84">
        <f>IF(AM521&gt;=AH521,AI521,AI521*AM521/AH521)</f>
        <v/>
      </c>
      <c r="AP521">
        <f t="array" ref="AP521">INDEX($AU$8:$BB$25,6*(R521-1)+MATCH(AB521,$AS$8:$AS$13,0),MATCH(O521,$AU$7:$BB$7,0))</f>
        <v/>
      </c>
    </row>
    <row r="522" ht="14.25" customHeight="1">
      <c r="O522" s="43" t="inlineStr">
        <is>
          <t>Q4’26</t>
        </is>
      </c>
      <c r="P522" s="43" t="n">
        <v>3</v>
      </c>
      <c r="Q522" s="43" t="n">
        <v>17</v>
      </c>
      <c r="R522" s="43" t="n">
        <v>2</v>
      </c>
      <c r="S522" s="45" t="n">
        <v>2889.19114688129</v>
      </c>
      <c r="T522">
        <f>(S521+S522+S523)=Q4</f>
        <v/>
      </c>
      <c r="X522" s="84">
        <f>MAX(S519-S522,0)</f>
        <v/>
      </c>
      <c r="Y522" s="83" t="n">
        <v>0</v>
      </c>
      <c r="AA522" s="84" t="n">
        <v>1</v>
      </c>
      <c r="AB522" s="84" t="inlineStr">
        <is>
          <t>F</t>
        </is>
      </c>
      <c r="AC522" s="84" t="inlineStr">
        <is>
          <t>F+</t>
        </is>
      </c>
      <c r="AD522" s="84" t="n">
        <v>14</v>
      </c>
      <c r="AE522" s="84" t="n">
        <v>13</v>
      </c>
      <c r="AF522" s="84" t="n">
        <v>0.8</v>
      </c>
      <c r="AG522" s="84" t="n">
        <v>0.9</v>
      </c>
      <c r="AH522" s="84" t="n">
        <v>0</v>
      </c>
      <c r="AI522" s="84" t="n">
        <v>0</v>
      </c>
      <c r="AJ522" s="84">
        <f>SUMIFS(AH$8:AH$1039,$O$8:$O$1039,O522,$AB$8:$AB$1039,AB522,$R$8:$R$1039,R522,$AA$8:$AA$1039,"&lt;="&amp;AA522)</f>
        <v/>
      </c>
      <c r="AK522" s="84">
        <f>D49</f>
        <v/>
      </c>
      <c r="AL522" s="84">
        <f>D55</f>
        <v/>
      </c>
      <c r="AM522" s="84">
        <f>MAX(0,AJ522-AK522)</f>
        <v/>
      </c>
      <c r="AN522" s="84">
        <f>IF(AM522=0,AH522,IF(AM522&gt;=AH522,0,AH522-AM522))</f>
        <v/>
      </c>
      <c r="AO522" s="84">
        <f>IF(AM522&gt;=AH522,AI522,AI522*AM522/AH522)</f>
        <v/>
      </c>
      <c r="AP522">
        <f t="array" ref="AP522">INDEX($AU$8:$BB$25,6*(R522-1)+MATCH(AB522,$AS$8:$AS$13,0),MATCH(O522,$AU$7:$BB$7,0))</f>
        <v/>
      </c>
    </row>
    <row r="523" ht="14.25" customHeight="1">
      <c r="O523" s="43" t="inlineStr">
        <is>
          <t>Q4’26</t>
        </is>
      </c>
      <c r="P523" s="43" t="n">
        <v>3</v>
      </c>
      <c r="Q523" s="43" t="n">
        <v>17</v>
      </c>
      <c r="R523" s="43" t="n">
        <v>3</v>
      </c>
      <c r="S523" s="45" t="n">
        <v>2969.105323706946</v>
      </c>
      <c r="T523">
        <f>(S521+S522+S523)=Q4</f>
        <v/>
      </c>
      <c r="X523" s="84">
        <f>MAX(S520-S523,0)</f>
        <v/>
      </c>
      <c r="Y523" s="83" t="n">
        <v>0</v>
      </c>
      <c r="AA523" s="84" t="n">
        <v>1</v>
      </c>
      <c r="AB523" s="84" t="inlineStr">
        <is>
          <t>F</t>
        </is>
      </c>
      <c r="AC523" s="84" t="inlineStr">
        <is>
          <t>F+</t>
        </is>
      </c>
      <c r="AD523" s="84" t="n">
        <v>14</v>
      </c>
      <c r="AE523" s="84" t="n">
        <v>13</v>
      </c>
      <c r="AF523" s="84" t="n">
        <v>0.8</v>
      </c>
      <c r="AG523" s="84" t="n">
        <v>0.9</v>
      </c>
      <c r="AH523" s="84" t="n">
        <v>0</v>
      </c>
      <c r="AI523" s="84" t="n">
        <v>0</v>
      </c>
      <c r="AJ523" s="84">
        <f>SUMIFS(AH$8:AH$1039,$O$8:$O$1039,O523,$AB$8:$AB$1039,AB523,$R$8:$R$1039,R523,$AA$8:$AA$1039,"&lt;="&amp;AA523)</f>
        <v/>
      </c>
      <c r="AK523" s="84">
        <f>E49</f>
        <v/>
      </c>
      <c r="AL523" s="84">
        <f>E55</f>
        <v/>
      </c>
      <c r="AM523" s="84">
        <f>MAX(0,AJ523-AK523)</f>
        <v/>
      </c>
      <c r="AN523" s="84">
        <f>IF(AM523=0,AH523,IF(AM523&gt;=AH523,0,AH523-AM523))</f>
        <v/>
      </c>
      <c r="AO523" s="84">
        <f>IF(AM523&gt;=AH523,AI523,AI523*AM523/AH523)</f>
        <v/>
      </c>
      <c r="AP523">
        <f t="array" ref="AP523">INDEX($AU$8:$BB$25,6*(R523-1)+MATCH(AB523,$AS$8:$AS$13,0),MATCH(O523,$AU$7:$BB$7,0))</f>
        <v/>
      </c>
    </row>
    <row r="524" ht="14.25" customHeight="1">
      <c r="O524" s="43" t="inlineStr">
        <is>
          <t>Q1’27</t>
        </is>
      </c>
      <c r="P524" s="43" t="n">
        <v>1</v>
      </c>
      <c r="Q524" s="43" t="n">
        <v>1</v>
      </c>
      <c r="R524" s="43" t="n">
        <v>1</v>
      </c>
      <c r="S524" s="45" t="n">
        <v>2620.800000000001</v>
      </c>
      <c r="T524">
        <f>(S524+S525+S526)=R2</f>
        <v/>
      </c>
      <c r="X524" s="84" t="n">
        <v>0</v>
      </c>
      <c r="Y524" s="83" t="n">
        <v>0</v>
      </c>
      <c r="AA524" s="84" t="n">
        <v>4</v>
      </c>
      <c r="AB524" s="84" t="inlineStr">
        <is>
          <t>D</t>
        </is>
      </c>
      <c r="AC524" s="84" t="inlineStr">
        <is>
          <t>D+</t>
        </is>
      </c>
      <c r="AD524" s="84" t="n">
        <v>14</v>
      </c>
      <c r="AE524" s="84" t="n">
        <v>12</v>
      </c>
      <c r="AF524" s="84" t="n">
        <v>0.8</v>
      </c>
      <c r="AG524" s="84" t="n">
        <v>0.88</v>
      </c>
      <c r="AH524" s="84" t="n">
        <v>0</v>
      </c>
      <c r="AI524" s="84" t="n">
        <v>0</v>
      </c>
      <c r="AJ524" s="84">
        <f>SUMIFS(AH$8:AH$1039,$O$8:$O$1039,O524,$AB$8:$AB$1039,AB524,$R$8:$R$1039,R524,$AA$8:$AA$1039,"&lt;="&amp;AA524)</f>
        <v/>
      </c>
      <c r="AK524" s="84">
        <f>C59</f>
        <v/>
      </c>
      <c r="AL524" s="84">
        <f>C65</f>
        <v/>
      </c>
      <c r="AM524" s="84">
        <f>MAX(0,AJ524-AK524)</f>
        <v/>
      </c>
      <c r="AN524" s="84">
        <f>IF(AM524=0,AH524,IF(AM524&gt;=AH524,0,AH524-AM524))</f>
        <v/>
      </c>
      <c r="AO524" s="84">
        <f>IF(AM524&gt;=AH524,AI524,AI524*AM524/AH524)</f>
        <v/>
      </c>
      <c r="AP524">
        <f t="array" ref="AP524">INDEX($AU$8:$BB$25,6*(R524-1)+MATCH(AB524,$AS$8:$AS$13,0),MATCH(O524,$AU$7:$BB$7,0))</f>
        <v/>
      </c>
    </row>
    <row r="525" ht="14.25" customHeight="1">
      <c r="O525" s="43" t="inlineStr">
        <is>
          <t>Q1’27</t>
        </is>
      </c>
      <c r="P525" s="43" t="n">
        <v>1</v>
      </c>
      <c r="Q525" s="43" t="n">
        <v>1</v>
      </c>
      <c r="R525" s="43" t="n">
        <v>2</v>
      </c>
      <c r="S525" s="45" t="n">
        <v>3074.208735916036</v>
      </c>
      <c r="T525">
        <f>(S524+S525+S526)=R2</f>
        <v/>
      </c>
      <c r="X525" s="84" t="n">
        <v>0</v>
      </c>
      <c r="Y525" s="83" t="n">
        <v>0</v>
      </c>
      <c r="AA525" s="84" t="n">
        <v>4</v>
      </c>
      <c r="AB525" s="84" t="inlineStr">
        <is>
          <t>D</t>
        </is>
      </c>
      <c r="AC525" s="84" t="inlineStr">
        <is>
          <t>D+</t>
        </is>
      </c>
      <c r="AD525" s="84" t="n">
        <v>14</v>
      </c>
      <c r="AE525" s="84" t="n">
        <v>12</v>
      </c>
      <c r="AF525" s="84" t="n">
        <v>0.8</v>
      </c>
      <c r="AG525" s="84" t="n">
        <v>0.88</v>
      </c>
      <c r="AH525" s="84" t="n">
        <v>0</v>
      </c>
      <c r="AI525" s="84" t="n">
        <v>0</v>
      </c>
      <c r="AJ525" s="84">
        <f>SUMIFS(AH$8:AH$1039,$O$8:$O$1039,O525,$AB$8:$AB$1039,AB525,$R$8:$R$1039,R525,$AA$8:$AA$1039,"&lt;="&amp;AA525)</f>
        <v/>
      </c>
      <c r="AK525" s="84">
        <f>D59</f>
        <v/>
      </c>
      <c r="AL525" s="84">
        <f>D65</f>
        <v/>
      </c>
      <c r="AM525" s="84">
        <f>MAX(0,AJ525-AK525)</f>
        <v/>
      </c>
      <c r="AN525" s="84">
        <f>IF(AM525=0,AH525,IF(AM525&gt;=AH525,0,AH525-AM525))</f>
        <v/>
      </c>
      <c r="AO525" s="84">
        <f>IF(AM525&gt;=AH525,AI525,AI525*AM525/AH525)</f>
        <v/>
      </c>
      <c r="AP525">
        <f t="array" ref="AP525">INDEX($AU$8:$BB$25,6*(R525-1)+MATCH(AB525,$AS$8:$AS$13,0),MATCH(O525,$AU$7:$BB$7,0))</f>
        <v/>
      </c>
    </row>
    <row r="526" ht="14.25" customHeight="1">
      <c r="O526" s="43" t="inlineStr">
        <is>
          <t>Q1’27</t>
        </is>
      </c>
      <c r="P526" s="43" t="n">
        <v>1</v>
      </c>
      <c r="Q526" s="43" t="n">
        <v>1</v>
      </c>
      <c r="R526" s="43" t="n">
        <v>3</v>
      </c>
      <c r="S526" s="45" t="n">
        <v>304.991264083963</v>
      </c>
      <c r="T526">
        <f>(S524+S525+S526)=R2</f>
        <v/>
      </c>
      <c r="X526" s="84" t="n">
        <v>0</v>
      </c>
      <c r="Y526" s="83" t="n">
        <v>0</v>
      </c>
      <c r="AA526" s="84" t="n">
        <v>4</v>
      </c>
      <c r="AB526" s="84" t="inlineStr">
        <is>
          <t>D</t>
        </is>
      </c>
      <c r="AC526" s="84" t="inlineStr">
        <is>
          <t>D+</t>
        </is>
      </c>
      <c r="AD526" s="84" t="n">
        <v>14</v>
      </c>
      <c r="AE526" s="84" t="n">
        <v>12</v>
      </c>
      <c r="AF526" s="84" t="n">
        <v>0.8</v>
      </c>
      <c r="AG526" s="84" t="n">
        <v>0.88</v>
      </c>
      <c r="AH526" s="84" t="n">
        <v>0</v>
      </c>
      <c r="AI526" s="84" t="n">
        <v>0</v>
      </c>
      <c r="AJ526" s="84">
        <f>SUMIFS(AH$8:AH$1039,$O$8:$O$1039,O526,$AB$8:$AB$1039,AB526,$R$8:$R$1039,R526,$AA$8:$AA$1039,"&lt;="&amp;AA526)</f>
        <v/>
      </c>
      <c r="AK526" s="84">
        <f>E59</f>
        <v/>
      </c>
      <c r="AL526" s="84">
        <f>E65</f>
        <v/>
      </c>
      <c r="AM526" s="84">
        <f>MAX(0,AJ526-AK526)</f>
        <v/>
      </c>
      <c r="AN526" s="84">
        <f>IF(AM526=0,AH526,IF(AM526&gt;=AH526,0,AH526-AM526))</f>
        <v/>
      </c>
      <c r="AO526" s="84">
        <f>IF(AM526&gt;=AH526,AI526,AI526*AM526/AH526)</f>
        <v/>
      </c>
      <c r="AP526">
        <f t="array" ref="AP526">INDEX($AU$8:$BB$25,6*(R526-1)+MATCH(AB526,$AS$8:$AS$13,0),MATCH(O526,$AU$7:$BB$7,0))</f>
        <v/>
      </c>
    </row>
    <row r="527" ht="14.25" customHeight="1">
      <c r="O527" s="43" t="inlineStr">
        <is>
          <t>Q1’27</t>
        </is>
      </c>
      <c r="P527" s="43" t="n">
        <v>1</v>
      </c>
      <c r="Q527" s="43" t="n">
        <v>2</v>
      </c>
      <c r="R527" s="43" t="n">
        <v>1</v>
      </c>
      <c r="S527" s="45" t="n">
        <v>2620.800000000001</v>
      </c>
      <c r="T527">
        <f>(S527+S528+S529)=R2</f>
        <v/>
      </c>
      <c r="X527" s="84">
        <f>MAX(S524-S527,0)</f>
        <v/>
      </c>
      <c r="Y527" s="83" t="n">
        <v>0</v>
      </c>
      <c r="AA527" s="84" t="n">
        <v>10</v>
      </c>
      <c r="AB527" s="84" t="inlineStr">
        <is>
          <t>F</t>
        </is>
      </c>
      <c r="AC527" s="84" t="inlineStr">
        <is>
          <t>F+</t>
        </is>
      </c>
      <c r="AD527" s="84" t="n">
        <v>25</v>
      </c>
      <c r="AE527" s="84" t="n">
        <v>21</v>
      </c>
      <c r="AF527" s="84" t="n">
        <v>0.8</v>
      </c>
      <c r="AG527" s="84" t="n">
        <v>0.9</v>
      </c>
      <c r="AH527" s="84" t="n">
        <v>0</v>
      </c>
      <c r="AI527" s="84" t="n">
        <v>0</v>
      </c>
      <c r="AJ527" s="84">
        <f>SUMIFS(AH$8:AH$1039,$O$8:$O$1039,O527,$AB$8:$AB$1039,AB527,$R$8:$R$1039,R527,$AA$8:$AA$1039,"&lt;="&amp;AA527)</f>
        <v/>
      </c>
      <c r="AK527" s="84">
        <f>C61</f>
        <v/>
      </c>
      <c r="AL527" s="84">
        <f>C67</f>
        <v/>
      </c>
      <c r="AM527" s="84">
        <f>MAX(0,AJ527-AK527)</f>
        <v/>
      </c>
      <c r="AN527" s="84">
        <f>IF(AM527=0,AH527,IF(AM527&gt;=AH527,0,AH527-AM527))</f>
        <v/>
      </c>
      <c r="AO527" s="84">
        <f>IF(AM527&gt;=AH527,AI527,AI527*AM527/AH527)</f>
        <v/>
      </c>
      <c r="AP527">
        <f t="array" ref="AP527">INDEX($AU$8:$BB$25,6*(R527-1)+MATCH(AB527,$AS$8:$AS$13,0),MATCH(O527,$AU$7:$BB$7,0))</f>
        <v/>
      </c>
    </row>
    <row r="528" ht="14.25" customHeight="1">
      <c r="O528" s="43" t="inlineStr">
        <is>
          <t>Q1’27</t>
        </is>
      </c>
      <c r="P528" s="43" t="n">
        <v>1</v>
      </c>
      <c r="Q528" s="43" t="n">
        <v>2</v>
      </c>
      <c r="R528" s="43" t="n">
        <v>2</v>
      </c>
      <c r="S528" s="45" t="n">
        <v>3074.208735916036</v>
      </c>
      <c r="T528">
        <f>(S527+S528+S529)=R2</f>
        <v/>
      </c>
      <c r="X528" s="84">
        <f>MAX(S525-S528,0)</f>
        <v/>
      </c>
      <c r="Y528" s="83" t="n">
        <v>0</v>
      </c>
      <c r="AA528" s="84" t="n">
        <v>10</v>
      </c>
      <c r="AB528" s="84" t="inlineStr">
        <is>
          <t>F</t>
        </is>
      </c>
      <c r="AC528" s="84" t="inlineStr">
        <is>
          <t>F+</t>
        </is>
      </c>
      <c r="AD528" s="84" t="n">
        <v>25</v>
      </c>
      <c r="AE528" s="84" t="n">
        <v>21</v>
      </c>
      <c r="AF528" s="84" t="n">
        <v>0.8</v>
      </c>
      <c r="AG528" s="84" t="n">
        <v>0.9</v>
      </c>
      <c r="AH528" s="84" t="n">
        <v>0</v>
      </c>
      <c r="AI528" s="84" t="n">
        <v>0</v>
      </c>
      <c r="AJ528" s="84">
        <f>SUMIFS(AH$8:AH$1039,$O$8:$O$1039,O528,$AB$8:$AB$1039,AB528,$R$8:$R$1039,R528,$AA$8:$AA$1039,"&lt;="&amp;AA528)</f>
        <v/>
      </c>
      <c r="AK528" s="84">
        <f>D61</f>
        <v/>
      </c>
      <c r="AL528" s="84">
        <f>D67</f>
        <v/>
      </c>
      <c r="AM528" s="84">
        <f>MAX(0,AJ528-AK528)</f>
        <v/>
      </c>
      <c r="AN528" s="84">
        <f>IF(AM528=0,AH528,IF(AM528&gt;=AH528,0,AH528-AM528))</f>
        <v/>
      </c>
      <c r="AO528" s="84">
        <f>IF(AM528&gt;=AH528,AI528,AI528*AM528/AH528)</f>
        <v/>
      </c>
      <c r="AP528">
        <f t="array" ref="AP528">INDEX($AU$8:$BB$25,6*(R528-1)+MATCH(AB528,$AS$8:$AS$13,0),MATCH(O528,$AU$7:$BB$7,0))</f>
        <v/>
      </c>
    </row>
    <row r="529" ht="14.25" customHeight="1">
      <c r="O529" s="43" t="inlineStr">
        <is>
          <t>Q1’27</t>
        </is>
      </c>
      <c r="P529" s="43" t="n">
        <v>1</v>
      </c>
      <c r="Q529" s="43" t="n">
        <v>2</v>
      </c>
      <c r="R529" s="43" t="n">
        <v>3</v>
      </c>
      <c r="S529" s="45" t="n">
        <v>304.991264083963</v>
      </c>
      <c r="T529">
        <f>(S527+S528+S529)=R2</f>
        <v/>
      </c>
      <c r="X529" s="84">
        <f>MAX(S526-S529,0)</f>
        <v/>
      </c>
      <c r="Y529" s="83" t="n">
        <v>0</v>
      </c>
      <c r="AA529" s="84" t="n">
        <v>10</v>
      </c>
      <c r="AB529" s="84" t="inlineStr">
        <is>
          <t>F</t>
        </is>
      </c>
      <c r="AC529" s="84" t="inlineStr">
        <is>
          <t>F+</t>
        </is>
      </c>
      <c r="AD529" s="84" t="n">
        <v>25</v>
      </c>
      <c r="AE529" s="84" t="n">
        <v>21</v>
      </c>
      <c r="AF529" s="84" t="n">
        <v>0.8</v>
      </c>
      <c r="AG529" s="84" t="n">
        <v>0.9</v>
      </c>
      <c r="AH529" s="84" t="n">
        <v>0</v>
      </c>
      <c r="AI529" s="84" t="n">
        <v>0</v>
      </c>
      <c r="AJ529" s="84">
        <f>SUMIFS(AH$8:AH$1039,$O$8:$O$1039,O529,$AB$8:$AB$1039,AB529,$R$8:$R$1039,R529,$AA$8:$AA$1039,"&lt;="&amp;AA529)</f>
        <v/>
      </c>
      <c r="AK529" s="84">
        <f>E61</f>
        <v/>
      </c>
      <c r="AL529" s="84">
        <f>E67</f>
        <v/>
      </c>
      <c r="AM529" s="84">
        <f>MAX(0,AJ529-AK529)</f>
        <v/>
      </c>
      <c r="AN529" s="84">
        <f>IF(AM529=0,AH529,IF(AM529&gt;=AH529,0,AH529-AM529))</f>
        <v/>
      </c>
      <c r="AO529" s="84">
        <f>IF(AM529&gt;=AH529,AI529,AI529*AM529/AH529)</f>
        <v/>
      </c>
      <c r="AP529">
        <f t="array" ref="AP529">INDEX($AU$8:$BB$25,6*(R529-1)+MATCH(AB529,$AS$8:$AS$13,0),MATCH(O529,$AU$7:$BB$7,0))</f>
        <v/>
      </c>
    </row>
    <row r="530" ht="14.25" customHeight="1">
      <c r="O530" s="43" t="inlineStr">
        <is>
          <t>Q1’27</t>
        </is>
      </c>
      <c r="P530" s="43" t="n">
        <v>1</v>
      </c>
      <c r="Q530" s="43" t="n">
        <v>3</v>
      </c>
      <c r="R530" s="43" t="n">
        <v>1</v>
      </c>
      <c r="S530" s="45" t="n">
        <v>2620.800000000001</v>
      </c>
      <c r="T530">
        <f>(S530+S531+S532)=R2</f>
        <v/>
      </c>
      <c r="X530" s="84">
        <f>MAX(S527-S530,0)</f>
        <v/>
      </c>
      <c r="Y530" s="83" t="n">
        <v>0</v>
      </c>
      <c r="AA530" s="84" t="n">
        <v>8</v>
      </c>
      <c r="AB530" s="84" t="inlineStr">
        <is>
          <t>F</t>
        </is>
      </c>
      <c r="AC530" s="84" t="inlineStr">
        <is>
          <t>F+</t>
        </is>
      </c>
      <c r="AD530" s="84" t="n">
        <v>27</v>
      </c>
      <c r="AE530" s="84" t="n">
        <v>23</v>
      </c>
      <c r="AF530" s="84" t="n">
        <v>0.8</v>
      </c>
      <c r="AG530" s="84" t="n">
        <v>0.9</v>
      </c>
      <c r="AH530" s="84" t="n">
        <v>0</v>
      </c>
      <c r="AI530" s="84" t="n">
        <v>0</v>
      </c>
      <c r="AJ530" s="84">
        <f>SUMIFS(AH$8:AH$1039,$O$8:$O$1039,O530,$AB$8:$AB$1039,AB530,$R$8:$R$1039,R530,$AA$8:$AA$1039,"&lt;="&amp;AA530)</f>
        <v/>
      </c>
      <c r="AK530" s="84">
        <f>C61</f>
        <v/>
      </c>
      <c r="AL530" s="84">
        <f>C67</f>
        <v/>
      </c>
      <c r="AM530" s="84">
        <f>MAX(0,AJ530-AK530)</f>
        <v/>
      </c>
      <c r="AN530" s="84">
        <f>IF(AM530=0,AH530,IF(AM530&gt;=AH530,0,AH530-AM530))</f>
        <v/>
      </c>
      <c r="AO530" s="84">
        <f>IF(AM530&gt;=AH530,AI530,AI530*AM530/AH530)</f>
        <v/>
      </c>
      <c r="AP530">
        <f t="array" ref="AP530">INDEX($AU$8:$BB$25,6*(R530-1)+MATCH(AB530,$AS$8:$AS$13,0),MATCH(O530,$AU$7:$BB$7,0))</f>
        <v/>
      </c>
    </row>
    <row r="531" ht="14.25" customHeight="1">
      <c r="O531" s="43" t="inlineStr">
        <is>
          <t>Q1’27</t>
        </is>
      </c>
      <c r="P531" s="43" t="n">
        <v>1</v>
      </c>
      <c r="Q531" s="43" t="n">
        <v>3</v>
      </c>
      <c r="R531" s="43" t="n">
        <v>2</v>
      </c>
      <c r="S531" s="45" t="n">
        <v>3074.208735916036</v>
      </c>
      <c r="T531">
        <f>(S530+S531+S532)=R2</f>
        <v/>
      </c>
      <c r="X531" s="84">
        <f>MAX(S528-S531,0)</f>
        <v/>
      </c>
      <c r="Y531" s="83" t="n">
        <v>0</v>
      </c>
      <c r="AA531" s="84" t="n">
        <v>8</v>
      </c>
      <c r="AB531" s="84" t="inlineStr">
        <is>
          <t>F</t>
        </is>
      </c>
      <c r="AC531" s="84" t="inlineStr">
        <is>
          <t>F+</t>
        </is>
      </c>
      <c r="AD531" s="84" t="n">
        <v>27</v>
      </c>
      <c r="AE531" s="84" t="n">
        <v>23</v>
      </c>
      <c r="AF531" s="84" t="n">
        <v>0.8</v>
      </c>
      <c r="AG531" s="84" t="n">
        <v>0.9</v>
      </c>
      <c r="AH531" s="84" t="n">
        <v>0</v>
      </c>
      <c r="AI531" s="84" t="n">
        <v>0</v>
      </c>
      <c r="AJ531" s="84">
        <f>SUMIFS(AH$8:AH$1039,$O$8:$O$1039,O531,$AB$8:$AB$1039,AB531,$R$8:$R$1039,R531,$AA$8:$AA$1039,"&lt;="&amp;AA531)</f>
        <v/>
      </c>
      <c r="AK531" s="84">
        <f>D61</f>
        <v/>
      </c>
      <c r="AL531" s="84">
        <f>D67</f>
        <v/>
      </c>
      <c r="AM531" s="84">
        <f>MAX(0,AJ531-AK531)</f>
        <v/>
      </c>
      <c r="AN531" s="84">
        <f>IF(AM531=0,AH531,IF(AM531&gt;=AH531,0,AH531-AM531))</f>
        <v/>
      </c>
      <c r="AO531" s="84">
        <f>IF(AM531&gt;=AH531,AI531,AI531*AM531/AH531)</f>
        <v/>
      </c>
      <c r="AP531">
        <f t="array" ref="AP531">INDEX($AU$8:$BB$25,6*(R531-1)+MATCH(AB531,$AS$8:$AS$13,0),MATCH(O531,$AU$7:$BB$7,0))</f>
        <v/>
      </c>
    </row>
    <row r="532" ht="14.25" customHeight="1">
      <c r="O532" s="43" t="inlineStr">
        <is>
          <t>Q1’27</t>
        </is>
      </c>
      <c r="P532" s="43" t="n">
        <v>1</v>
      </c>
      <c r="Q532" s="43" t="n">
        <v>3</v>
      </c>
      <c r="R532" s="43" t="n">
        <v>3</v>
      </c>
      <c r="S532" s="45" t="n">
        <v>304.991264083963</v>
      </c>
      <c r="T532">
        <f>(S530+S531+S532)=R2</f>
        <v/>
      </c>
      <c r="X532" s="84">
        <f>MAX(S529-S532,0)</f>
        <v/>
      </c>
      <c r="Y532" s="83" t="n">
        <v>0</v>
      </c>
      <c r="AA532" s="84" t="n">
        <v>8</v>
      </c>
      <c r="AB532" s="84" t="inlineStr">
        <is>
          <t>F</t>
        </is>
      </c>
      <c r="AC532" s="84" t="inlineStr">
        <is>
          <t>F+</t>
        </is>
      </c>
      <c r="AD532" s="84" t="n">
        <v>27</v>
      </c>
      <c r="AE532" s="84" t="n">
        <v>23</v>
      </c>
      <c r="AF532" s="84" t="n">
        <v>0.8</v>
      </c>
      <c r="AG532" s="84" t="n">
        <v>0.9</v>
      </c>
      <c r="AH532" s="84" t="n">
        <v>0</v>
      </c>
      <c r="AI532" s="84" t="n">
        <v>0</v>
      </c>
      <c r="AJ532" s="84">
        <f>SUMIFS(AH$8:AH$1039,$O$8:$O$1039,O532,$AB$8:$AB$1039,AB532,$R$8:$R$1039,R532,$AA$8:$AA$1039,"&lt;="&amp;AA532)</f>
        <v/>
      </c>
      <c r="AK532" s="84">
        <f>E61</f>
        <v/>
      </c>
      <c r="AL532" s="84">
        <f>E67</f>
        <v/>
      </c>
      <c r="AM532" s="84">
        <f>MAX(0,AJ532-AK532)</f>
        <v/>
      </c>
      <c r="AN532" s="84">
        <f>IF(AM532=0,AH532,IF(AM532&gt;=AH532,0,AH532-AM532))</f>
        <v/>
      </c>
      <c r="AO532" s="84">
        <f>IF(AM532&gt;=AH532,AI532,AI532*AM532/AH532)</f>
        <v/>
      </c>
      <c r="AP532">
        <f t="array" ref="AP532">INDEX($AU$8:$BB$25,6*(R532-1)+MATCH(AB532,$AS$8:$AS$13,0),MATCH(O532,$AU$7:$BB$7,0))</f>
        <v/>
      </c>
    </row>
    <row r="533" ht="14.25" customHeight="1">
      <c r="O533" s="43" t="inlineStr">
        <is>
          <t>Q1’27</t>
        </is>
      </c>
      <c r="P533" s="43" t="n">
        <v>1</v>
      </c>
      <c r="Q533" s="43" t="n">
        <v>4</v>
      </c>
      <c r="R533" s="43" t="n">
        <v>1</v>
      </c>
      <c r="S533" s="45" t="n">
        <v>1179.36</v>
      </c>
      <c r="T533">
        <f>(S533+S534+S535)=R2</f>
        <v/>
      </c>
      <c r="X533" s="84">
        <f>MAX(S530-S533,0)</f>
        <v/>
      </c>
      <c r="Y533" s="83" t="n">
        <v>0</v>
      </c>
      <c r="AA533" s="84" t="n">
        <v>3</v>
      </c>
      <c r="AB533" s="84" t="inlineStr">
        <is>
          <t>A</t>
        </is>
      </c>
      <c r="AC533" s="84" t="inlineStr">
        <is>
          <t>A+</t>
        </is>
      </c>
      <c r="AD533" s="84" t="n">
        <v>20</v>
      </c>
      <c r="AE533" s="84" t="n">
        <v>16</v>
      </c>
      <c r="AF533" s="84" t="n">
        <v>0.78</v>
      </c>
      <c r="AG533" s="84" t="n">
        <v>0.84</v>
      </c>
      <c r="AH533" s="84" t="n">
        <v>0</v>
      </c>
      <c r="AI533" s="84" t="n">
        <v>0</v>
      </c>
      <c r="AJ533" s="84">
        <f>SUMIFS(AH$8:AH$1039,$O$8:$O$1039,O533,$AB$8:$AB$1039,AB533,$R$8:$R$1039,R533,$AA$8:$AA$1039,"&lt;="&amp;AA533)</f>
        <v/>
      </c>
      <c r="AK533" s="84">
        <f>C56</f>
        <v/>
      </c>
      <c r="AL533" s="84">
        <f>C62</f>
        <v/>
      </c>
      <c r="AM533" s="84">
        <f>MAX(0,AJ533-AK533)</f>
        <v/>
      </c>
      <c r="AN533" s="84">
        <f>IF(AM533=0,AH533,IF(AM533&gt;=AH533,0,AH533-AM533))</f>
        <v/>
      </c>
      <c r="AO533" s="84">
        <f>IF(AM533&gt;=AH533,AI533,AI533*AM533/AH533)</f>
        <v/>
      </c>
      <c r="AP533">
        <f t="array" ref="AP533">INDEX($AU$8:$BB$25,6*(R533-1)+MATCH(AB533,$AS$8:$AS$13,0),MATCH(O533,$AU$7:$BB$7,0))</f>
        <v/>
      </c>
    </row>
    <row r="534" ht="14.25" customHeight="1">
      <c r="O534" s="43" t="inlineStr">
        <is>
          <t>Q1’27</t>
        </is>
      </c>
      <c r="P534" s="43" t="n">
        <v>1</v>
      </c>
      <c r="Q534" s="43" t="n">
        <v>4</v>
      </c>
      <c r="R534" s="43" t="n">
        <v>2</v>
      </c>
      <c r="S534" s="45" t="n">
        <v>3074.208735916036</v>
      </c>
      <c r="T534">
        <f>(S533+S534+S535)=R2</f>
        <v/>
      </c>
      <c r="X534" s="84">
        <f>MAX(S531-S534,0)</f>
        <v/>
      </c>
      <c r="Y534" s="83" t="n">
        <v>0</v>
      </c>
      <c r="AA534" s="84" t="n">
        <v>3</v>
      </c>
      <c r="AB534" s="84" t="inlineStr">
        <is>
          <t>A</t>
        </is>
      </c>
      <c r="AC534" s="84" t="inlineStr">
        <is>
          <t>A+</t>
        </is>
      </c>
      <c r="AD534" s="84" t="n">
        <v>20</v>
      </c>
      <c r="AE534" s="84" t="n">
        <v>16</v>
      </c>
      <c r="AF534" s="84" t="n">
        <v>0.78</v>
      </c>
      <c r="AG534" s="84" t="n">
        <v>0.84</v>
      </c>
      <c r="AH534" s="84" t="n">
        <v>0</v>
      </c>
      <c r="AI534" s="84" t="n">
        <v>0</v>
      </c>
      <c r="AJ534" s="84">
        <f>SUMIFS(AH$8:AH$1039,$O$8:$O$1039,O534,$AB$8:$AB$1039,AB534,$R$8:$R$1039,R534,$AA$8:$AA$1039,"&lt;="&amp;AA534)</f>
        <v/>
      </c>
      <c r="AK534" s="84">
        <f>D56</f>
        <v/>
      </c>
      <c r="AL534" s="84">
        <f>D62</f>
        <v/>
      </c>
      <c r="AM534" s="84">
        <f>MAX(0,AJ534-AK534)</f>
        <v/>
      </c>
      <c r="AN534" s="84">
        <f>IF(AM534=0,AH534,IF(AM534&gt;=AH534,0,AH534-AM534))</f>
        <v/>
      </c>
      <c r="AO534" s="84">
        <f>IF(AM534&gt;=AH534,AI534,AI534*AM534/AH534)</f>
        <v/>
      </c>
      <c r="AP534">
        <f t="array" ref="AP534">INDEX($AU$8:$BB$25,6*(R534-1)+MATCH(AB534,$AS$8:$AS$13,0),MATCH(O534,$AU$7:$BB$7,0))</f>
        <v/>
      </c>
    </row>
    <row r="535" ht="14.25" customHeight="1">
      <c r="O535" s="43" t="inlineStr">
        <is>
          <t>Q1’27</t>
        </is>
      </c>
      <c r="P535" s="43" t="n">
        <v>1</v>
      </c>
      <c r="Q535" s="43" t="n">
        <v>4</v>
      </c>
      <c r="R535" s="43" t="n">
        <v>3</v>
      </c>
      <c r="S535" s="45" t="n">
        <v>1746.431264083963</v>
      </c>
      <c r="T535">
        <f>(S533+S534+S535)=R2</f>
        <v/>
      </c>
      <c r="X535" s="84">
        <f>MAX(S532-S535,0)</f>
        <v/>
      </c>
      <c r="Y535" s="83" t="n">
        <v>0</v>
      </c>
      <c r="AA535" s="84" t="n">
        <v>3</v>
      </c>
      <c r="AB535" s="84" t="inlineStr">
        <is>
          <t>A</t>
        </is>
      </c>
      <c r="AC535" s="84" t="inlineStr">
        <is>
          <t>A+</t>
        </is>
      </c>
      <c r="AD535" s="84" t="n">
        <v>20</v>
      </c>
      <c r="AE535" s="84" t="n">
        <v>16</v>
      </c>
      <c r="AF535" s="84" t="n">
        <v>0.78</v>
      </c>
      <c r="AG535" s="84" t="n">
        <v>0.84</v>
      </c>
      <c r="AH535" s="84" t="n">
        <v>0</v>
      </c>
      <c r="AI535" s="84" t="n">
        <v>0</v>
      </c>
      <c r="AJ535" s="84">
        <f>SUMIFS(AH$8:AH$1039,$O$8:$O$1039,O535,$AB$8:$AB$1039,AB535,$R$8:$R$1039,R535,$AA$8:$AA$1039,"&lt;="&amp;AA535)</f>
        <v/>
      </c>
      <c r="AK535" s="84">
        <f>E56</f>
        <v/>
      </c>
      <c r="AL535" s="84">
        <f>E62</f>
        <v/>
      </c>
      <c r="AM535" s="84">
        <f>MAX(0,AJ535-AK535)</f>
        <v/>
      </c>
      <c r="AN535" s="84">
        <f>IF(AM535=0,AH535,IF(AM535&gt;=AH535,0,AH535-AM535))</f>
        <v/>
      </c>
      <c r="AO535" s="84">
        <f>IF(AM535&gt;=AH535,AI535,AI535*AM535/AH535)</f>
        <v/>
      </c>
      <c r="AP535">
        <f t="array" ref="AP535">INDEX($AU$8:$BB$25,6*(R535-1)+MATCH(AB535,$AS$8:$AS$13,0),MATCH(O535,$AU$7:$BB$7,0))</f>
        <v/>
      </c>
    </row>
    <row r="536" ht="14.25" customHeight="1">
      <c r="O536" s="43" t="inlineStr">
        <is>
          <t>Q1’27</t>
        </is>
      </c>
      <c r="P536" s="43" t="n">
        <v>1</v>
      </c>
      <c r="Q536" s="43" t="n">
        <v>5</v>
      </c>
      <c r="R536" s="43" t="n">
        <v>1</v>
      </c>
      <c r="S536" s="45" t="n">
        <v>2620.800000000323</v>
      </c>
      <c r="T536">
        <f>(S536+S537+S538)=R2</f>
        <v/>
      </c>
      <c r="X536" s="84">
        <f>MAX(S533-S536,0)</f>
        <v/>
      </c>
      <c r="Y536" s="83" t="n">
        <v>0</v>
      </c>
      <c r="AA536" s="84" t="n">
        <v>11</v>
      </c>
      <c r="AB536" s="84" t="inlineStr">
        <is>
          <t>F</t>
        </is>
      </c>
      <c r="AC536" s="84" t="inlineStr">
        <is>
          <t>F+</t>
        </is>
      </c>
      <c r="AD536" s="84" t="n">
        <v>12</v>
      </c>
      <c r="AE536" s="84" t="n">
        <v>9</v>
      </c>
      <c r="AF536" s="84" t="n">
        <v>0.8</v>
      </c>
      <c r="AG536" s="84" t="n">
        <v>0.9</v>
      </c>
      <c r="AH536" s="84" t="n">
        <v>0</v>
      </c>
      <c r="AI536" s="84" t="n">
        <v>0</v>
      </c>
      <c r="AJ536" s="84">
        <f>SUMIFS(AH$8:AH$1039,$O$8:$O$1039,O536,$AB$8:$AB$1039,AB536,$R$8:$R$1039,R536,$AA$8:$AA$1039,"&lt;="&amp;AA536)</f>
        <v/>
      </c>
      <c r="AK536" s="84">
        <f>C61</f>
        <v/>
      </c>
      <c r="AL536" s="84">
        <f>C67</f>
        <v/>
      </c>
      <c r="AM536" s="84">
        <f>MAX(0,AJ536-AK536)</f>
        <v/>
      </c>
      <c r="AN536" s="84">
        <f>IF(AM536=0,AH536,IF(AM536&gt;=AH536,0,AH536-AM536))</f>
        <v/>
      </c>
      <c r="AO536" s="84">
        <f>IF(AM536&gt;=AH536,AI536,AI536*AM536/AH536)</f>
        <v/>
      </c>
      <c r="AP536">
        <f t="array" ref="AP536">INDEX($AU$8:$BB$25,6*(R536-1)+MATCH(AB536,$AS$8:$AS$13,0),MATCH(O536,$AU$7:$BB$7,0))</f>
        <v/>
      </c>
    </row>
    <row r="537" ht="14.25" customHeight="1">
      <c r="O537" s="43" t="inlineStr">
        <is>
          <t>Q1’27</t>
        </is>
      </c>
      <c r="P537" s="43" t="n">
        <v>1</v>
      </c>
      <c r="Q537" s="43" t="n">
        <v>5</v>
      </c>
      <c r="R537" s="43" t="n">
        <v>2</v>
      </c>
      <c r="S537" s="45" t="n">
        <v>3074.208735915714</v>
      </c>
      <c r="T537">
        <f>(S536+S537+S538)=R2</f>
        <v/>
      </c>
      <c r="X537" s="84">
        <f>MAX(S534-S537,0)</f>
        <v/>
      </c>
      <c r="Y537" s="83" t="n">
        <v>0</v>
      </c>
      <c r="AA537" s="84" t="n">
        <v>11</v>
      </c>
      <c r="AB537" s="84" t="inlineStr">
        <is>
          <t>F</t>
        </is>
      </c>
      <c r="AC537" s="84" t="inlineStr">
        <is>
          <t>F+</t>
        </is>
      </c>
      <c r="AD537" s="84" t="n">
        <v>12</v>
      </c>
      <c r="AE537" s="84" t="n">
        <v>9</v>
      </c>
      <c r="AF537" s="84" t="n">
        <v>0.8</v>
      </c>
      <c r="AG537" s="84" t="n">
        <v>0.9</v>
      </c>
      <c r="AH537" s="84" t="n">
        <v>0</v>
      </c>
      <c r="AI537" s="84" t="n">
        <v>0</v>
      </c>
      <c r="AJ537" s="84">
        <f>SUMIFS(AH$8:AH$1039,$O$8:$O$1039,O537,$AB$8:$AB$1039,AB537,$R$8:$R$1039,R537,$AA$8:$AA$1039,"&lt;="&amp;AA537)</f>
        <v/>
      </c>
      <c r="AK537" s="84">
        <f>D61</f>
        <v/>
      </c>
      <c r="AL537" s="84">
        <f>D67</f>
        <v/>
      </c>
      <c r="AM537" s="84">
        <f>MAX(0,AJ537-AK537)</f>
        <v/>
      </c>
      <c r="AN537" s="84">
        <f>IF(AM537=0,AH537,IF(AM537&gt;=AH537,0,AH537-AM537))</f>
        <v/>
      </c>
      <c r="AO537" s="84">
        <f>IF(AM537&gt;=AH537,AI537,AI537*AM537/AH537)</f>
        <v/>
      </c>
      <c r="AP537">
        <f t="array" ref="AP537">INDEX($AU$8:$BB$25,6*(R537-1)+MATCH(AB537,$AS$8:$AS$13,0),MATCH(O537,$AU$7:$BB$7,0))</f>
        <v/>
      </c>
    </row>
    <row r="538" ht="14.25" customHeight="1">
      <c r="O538" s="43" t="inlineStr">
        <is>
          <t>Q1’27</t>
        </is>
      </c>
      <c r="P538" s="43" t="n">
        <v>1</v>
      </c>
      <c r="Q538" s="43" t="n">
        <v>5</v>
      </c>
      <c r="R538" s="43" t="n">
        <v>3</v>
      </c>
      <c r="S538" s="45" t="n">
        <v>304.991264083963</v>
      </c>
      <c r="T538">
        <f>(S536+S537+S538)=R2</f>
        <v/>
      </c>
      <c r="X538" s="84">
        <f>MAX(S535-S538,0)</f>
        <v/>
      </c>
      <c r="Y538" s="83" t="n">
        <v>0</v>
      </c>
      <c r="AA538" s="84" t="n">
        <v>11</v>
      </c>
      <c r="AB538" s="84" t="inlineStr">
        <is>
          <t>F</t>
        </is>
      </c>
      <c r="AC538" s="84" t="inlineStr">
        <is>
          <t>F+</t>
        </is>
      </c>
      <c r="AD538" s="84" t="n">
        <v>12</v>
      </c>
      <c r="AE538" s="84" t="n">
        <v>9</v>
      </c>
      <c r="AF538" s="84" t="n">
        <v>0.8</v>
      </c>
      <c r="AG538" s="84" t="n">
        <v>0.9</v>
      </c>
      <c r="AH538" s="84" t="n">
        <v>0</v>
      </c>
      <c r="AI538" s="84" t="n">
        <v>0</v>
      </c>
      <c r="AJ538" s="84">
        <f>SUMIFS(AH$8:AH$1039,$O$8:$O$1039,O538,$AB$8:$AB$1039,AB538,$R$8:$R$1039,R538,$AA$8:$AA$1039,"&lt;="&amp;AA538)</f>
        <v/>
      </c>
      <c r="AK538" s="84">
        <f>E61</f>
        <v/>
      </c>
      <c r="AL538" s="84">
        <f>E67</f>
        <v/>
      </c>
      <c r="AM538" s="84">
        <f>MAX(0,AJ538-AK538)</f>
        <v/>
      </c>
      <c r="AN538" s="84">
        <f>IF(AM538=0,AH538,IF(AM538&gt;=AH538,0,AH538-AM538))</f>
        <v/>
      </c>
      <c r="AO538" s="84">
        <f>IF(AM538&gt;=AH538,AI538,AI538*AM538/AH538)</f>
        <v/>
      </c>
      <c r="AP538">
        <f t="array" ref="AP538">INDEX($AU$8:$BB$25,6*(R538-1)+MATCH(AB538,$AS$8:$AS$13,0),MATCH(O538,$AU$7:$BB$7,0))</f>
        <v/>
      </c>
    </row>
    <row r="539" ht="14.25" customHeight="1">
      <c r="O539" s="43" t="inlineStr">
        <is>
          <t>Q1’27</t>
        </is>
      </c>
      <c r="P539" s="43" t="n">
        <v>1</v>
      </c>
      <c r="Q539" s="43" t="n">
        <v>6</v>
      </c>
      <c r="R539" s="43" t="n">
        <v>1</v>
      </c>
      <c r="S539" s="45" t="n">
        <v>2620.800000000001</v>
      </c>
      <c r="T539">
        <f>(S539+S540+S541)=R2</f>
        <v/>
      </c>
      <c r="X539" s="84">
        <f>MAX(S536-S539,0)</f>
        <v/>
      </c>
      <c r="Y539" s="83" t="n">
        <v>0</v>
      </c>
      <c r="AA539" s="84" t="n">
        <v>7</v>
      </c>
      <c r="AB539" s="84" t="inlineStr">
        <is>
          <t>D</t>
        </is>
      </c>
      <c r="AC539" s="84" t="inlineStr">
        <is>
          <t>D+</t>
        </is>
      </c>
      <c r="AD539" s="84" t="n">
        <v>27</v>
      </c>
      <c r="AE539" s="84" t="n">
        <v>21</v>
      </c>
      <c r="AF539" s="84" t="n">
        <v>0.8</v>
      </c>
      <c r="AG539" s="84" t="n">
        <v>0.88</v>
      </c>
      <c r="AH539" s="84" t="n">
        <v>0</v>
      </c>
      <c r="AI539" s="84" t="n">
        <v>0</v>
      </c>
      <c r="AJ539" s="84">
        <f>SUMIFS(AH$8:AH$1039,$O$8:$O$1039,O539,$AB$8:$AB$1039,AB539,$R$8:$R$1039,R539,$AA$8:$AA$1039,"&lt;="&amp;AA539)</f>
        <v/>
      </c>
      <c r="AK539" s="84">
        <f>C59</f>
        <v/>
      </c>
      <c r="AL539" s="84">
        <f>C65</f>
        <v/>
      </c>
      <c r="AM539" s="84">
        <f>MAX(0,AJ539-AK539)</f>
        <v/>
      </c>
      <c r="AN539" s="84">
        <f>IF(AM539=0,AH539,IF(AM539&gt;=AH539,0,AH539-AM539))</f>
        <v/>
      </c>
      <c r="AO539" s="84">
        <f>IF(AM539&gt;=AH539,AI539,AI539*AM539/AH539)</f>
        <v/>
      </c>
      <c r="AP539">
        <f t="array" ref="AP539">INDEX($AU$8:$BB$25,6*(R539-1)+MATCH(AB539,$AS$8:$AS$13,0),MATCH(O539,$AU$7:$BB$7,0))</f>
        <v/>
      </c>
    </row>
    <row r="540" ht="14.25" customHeight="1">
      <c r="O540" s="43" t="inlineStr">
        <is>
          <t>Q1’27</t>
        </is>
      </c>
      <c r="P540" s="43" t="n">
        <v>1</v>
      </c>
      <c r="Q540" s="43" t="n">
        <v>6</v>
      </c>
      <c r="R540" s="43" t="n">
        <v>2</v>
      </c>
      <c r="S540" s="45" t="n">
        <v>3074.208735916036</v>
      </c>
      <c r="T540">
        <f>(S539+S540+S541)=R2</f>
        <v/>
      </c>
      <c r="X540" s="84">
        <f>MAX(S537-S540,0)</f>
        <v/>
      </c>
      <c r="Y540" s="83" t="n">
        <v>0</v>
      </c>
      <c r="AA540" s="84" t="n">
        <v>7</v>
      </c>
      <c r="AB540" s="84" t="inlineStr">
        <is>
          <t>D</t>
        </is>
      </c>
      <c r="AC540" s="84" t="inlineStr">
        <is>
          <t>D+</t>
        </is>
      </c>
      <c r="AD540" s="84" t="n">
        <v>27</v>
      </c>
      <c r="AE540" s="84" t="n">
        <v>21</v>
      </c>
      <c r="AF540" s="84" t="n">
        <v>0.8</v>
      </c>
      <c r="AG540" s="84" t="n">
        <v>0.88</v>
      </c>
      <c r="AH540" s="84" t="n">
        <v>0</v>
      </c>
      <c r="AI540" s="84" t="n">
        <v>0</v>
      </c>
      <c r="AJ540" s="84">
        <f>SUMIFS(AH$8:AH$1039,$O$8:$O$1039,O540,$AB$8:$AB$1039,AB540,$R$8:$R$1039,R540,$AA$8:$AA$1039,"&lt;="&amp;AA540)</f>
        <v/>
      </c>
      <c r="AK540" s="84">
        <f>D59</f>
        <v/>
      </c>
      <c r="AL540" s="84">
        <f>D65</f>
        <v/>
      </c>
      <c r="AM540" s="84">
        <f>MAX(0,AJ540-AK540)</f>
        <v/>
      </c>
      <c r="AN540" s="84">
        <f>IF(AM540=0,AH540,IF(AM540&gt;=AH540,0,AH540-AM540))</f>
        <v/>
      </c>
      <c r="AO540" s="84">
        <f>IF(AM540&gt;=AH540,AI540,AI540*AM540/AH540)</f>
        <v/>
      </c>
      <c r="AP540">
        <f t="array" ref="AP540">INDEX($AU$8:$BB$25,6*(R540-1)+MATCH(AB540,$AS$8:$AS$13,0),MATCH(O540,$AU$7:$BB$7,0))</f>
        <v/>
      </c>
    </row>
    <row r="541" ht="14.25" customHeight="1">
      <c r="O541" s="43" t="inlineStr">
        <is>
          <t>Q1’27</t>
        </is>
      </c>
      <c r="P541" s="43" t="n">
        <v>1</v>
      </c>
      <c r="Q541" s="43" t="n">
        <v>6</v>
      </c>
      <c r="R541" s="43" t="n">
        <v>3</v>
      </c>
      <c r="S541" s="45" t="n">
        <v>304.991264083963</v>
      </c>
      <c r="T541">
        <f>(S539+S540+S541)=R2</f>
        <v/>
      </c>
      <c r="X541" s="84">
        <f>MAX(S538-S541,0)</f>
        <v/>
      </c>
      <c r="Y541" s="83" t="n">
        <v>0</v>
      </c>
      <c r="AA541" s="84" t="n">
        <v>7</v>
      </c>
      <c r="AB541" s="84" t="inlineStr">
        <is>
          <t>D</t>
        </is>
      </c>
      <c r="AC541" s="84" t="inlineStr">
        <is>
          <t>D+</t>
        </is>
      </c>
      <c r="AD541" s="84" t="n">
        <v>27</v>
      </c>
      <c r="AE541" s="84" t="n">
        <v>21</v>
      </c>
      <c r="AF541" s="84" t="n">
        <v>0.8</v>
      </c>
      <c r="AG541" s="84" t="n">
        <v>0.88</v>
      </c>
      <c r="AH541" s="84" t="n">
        <v>0</v>
      </c>
      <c r="AI541" s="84" t="n">
        <v>0</v>
      </c>
      <c r="AJ541" s="84">
        <f>SUMIFS(AH$8:AH$1039,$O$8:$O$1039,O541,$AB$8:$AB$1039,AB541,$R$8:$R$1039,R541,$AA$8:$AA$1039,"&lt;="&amp;AA541)</f>
        <v/>
      </c>
      <c r="AK541" s="84">
        <f>E59</f>
        <v/>
      </c>
      <c r="AL541" s="84">
        <f>E65</f>
        <v/>
      </c>
      <c r="AM541" s="84">
        <f>MAX(0,AJ541-AK541)</f>
        <v/>
      </c>
      <c r="AN541" s="84">
        <f>IF(AM541=0,AH541,IF(AM541&gt;=AH541,0,AH541-AM541))</f>
        <v/>
      </c>
      <c r="AO541" s="84">
        <f>IF(AM541&gt;=AH541,AI541,AI541*AM541/AH541)</f>
        <v/>
      </c>
      <c r="AP541">
        <f t="array" ref="AP541">INDEX($AU$8:$BB$25,6*(R541-1)+MATCH(AB541,$AS$8:$AS$13,0),MATCH(O541,$AU$7:$BB$7,0))</f>
        <v/>
      </c>
    </row>
    <row r="542" ht="14.25" customHeight="1">
      <c r="O542" s="43" t="inlineStr">
        <is>
          <t>Q1’27</t>
        </is>
      </c>
      <c r="P542" s="43" t="n">
        <v>1</v>
      </c>
      <c r="Q542" s="43" t="n">
        <v>7</v>
      </c>
      <c r="R542" s="43" t="n">
        <v>1</v>
      </c>
      <c r="S542" s="45" t="n">
        <v>2620.800000000002</v>
      </c>
      <c r="T542">
        <f>(S542+S543+S544)=R2</f>
        <v/>
      </c>
      <c r="X542" s="84">
        <f>MAX(S539-S542,0)</f>
        <v/>
      </c>
      <c r="Y542" s="83" t="n">
        <v>0</v>
      </c>
      <c r="AA542" s="84" t="n">
        <v>9</v>
      </c>
      <c r="AB542" s="84" t="inlineStr">
        <is>
          <t>D</t>
        </is>
      </c>
      <c r="AC542" s="84" t="inlineStr">
        <is>
          <t>D+</t>
        </is>
      </c>
      <c r="AD542" s="84" t="n">
        <v>17</v>
      </c>
      <c r="AE542" s="84" t="n">
        <v>13</v>
      </c>
      <c r="AF542" s="84" t="n">
        <v>0.8</v>
      </c>
      <c r="AG542" s="84" t="n">
        <v>0.88</v>
      </c>
      <c r="AH542" s="84" t="n">
        <v>0</v>
      </c>
      <c r="AI542" s="84" t="n">
        <v>0</v>
      </c>
      <c r="AJ542" s="84">
        <f>SUMIFS(AH$8:AH$1039,$O$8:$O$1039,O542,$AB$8:$AB$1039,AB542,$R$8:$R$1039,R542,$AA$8:$AA$1039,"&lt;="&amp;AA542)</f>
        <v/>
      </c>
      <c r="AK542" s="84">
        <f>C59</f>
        <v/>
      </c>
      <c r="AL542" s="84">
        <f>C65</f>
        <v/>
      </c>
      <c r="AM542" s="84">
        <f>MAX(0,AJ542-AK542)</f>
        <v/>
      </c>
      <c r="AN542" s="84">
        <f>IF(AM542=0,AH542,IF(AM542&gt;=AH542,0,AH542-AM542))</f>
        <v/>
      </c>
      <c r="AO542" s="84">
        <f>IF(AM542&gt;=AH542,AI542,AI542*AM542/AH542)</f>
        <v/>
      </c>
      <c r="AP542">
        <f t="array" ref="AP542">INDEX($AU$8:$BB$25,6*(R542-1)+MATCH(AB542,$AS$8:$AS$13,0),MATCH(O542,$AU$7:$BB$7,0))</f>
        <v/>
      </c>
    </row>
    <row r="543" ht="14.25" customHeight="1">
      <c r="O543" s="43" t="inlineStr">
        <is>
          <t>Q1’27</t>
        </is>
      </c>
      <c r="P543" s="43" t="n">
        <v>1</v>
      </c>
      <c r="Q543" s="43" t="n">
        <v>7</v>
      </c>
      <c r="R543" s="43" t="n">
        <v>2</v>
      </c>
      <c r="S543" s="45" t="n">
        <v>3074.208735916036</v>
      </c>
      <c r="T543">
        <f>(S542+S543+S544)=R2</f>
        <v/>
      </c>
      <c r="X543" s="84">
        <f>MAX(S540-S543,0)</f>
        <v/>
      </c>
      <c r="Y543" s="83" t="n">
        <v>0</v>
      </c>
      <c r="AA543" s="84" t="n">
        <v>9</v>
      </c>
      <c r="AB543" s="84" t="inlineStr">
        <is>
          <t>D</t>
        </is>
      </c>
      <c r="AC543" s="84" t="inlineStr">
        <is>
          <t>D+</t>
        </is>
      </c>
      <c r="AD543" s="84" t="n">
        <v>17</v>
      </c>
      <c r="AE543" s="84" t="n">
        <v>13</v>
      </c>
      <c r="AF543" s="84" t="n">
        <v>0.8</v>
      </c>
      <c r="AG543" s="84" t="n">
        <v>0.88</v>
      </c>
      <c r="AH543" s="84" t="n">
        <v>0</v>
      </c>
      <c r="AI543" s="84" t="n">
        <v>0</v>
      </c>
      <c r="AJ543" s="84">
        <f>SUMIFS(AH$8:AH$1039,$O$8:$O$1039,O543,$AB$8:$AB$1039,AB543,$R$8:$R$1039,R543,$AA$8:$AA$1039,"&lt;="&amp;AA543)</f>
        <v/>
      </c>
      <c r="AK543" s="84">
        <f>D59</f>
        <v/>
      </c>
      <c r="AL543" s="84">
        <f>D65</f>
        <v/>
      </c>
      <c r="AM543" s="84">
        <f>MAX(0,AJ543-AK543)</f>
        <v/>
      </c>
      <c r="AN543" s="84">
        <f>IF(AM543=0,AH543,IF(AM543&gt;=AH543,0,AH543-AM543))</f>
        <v/>
      </c>
      <c r="AO543" s="84">
        <f>IF(AM543&gt;=AH543,AI543,AI543*AM543/AH543)</f>
        <v/>
      </c>
      <c r="AP543">
        <f t="array" ref="AP543">INDEX($AU$8:$BB$25,6*(R543-1)+MATCH(AB543,$AS$8:$AS$13,0),MATCH(O543,$AU$7:$BB$7,0))</f>
        <v/>
      </c>
    </row>
    <row r="544" ht="14.25" customHeight="1">
      <c r="O544" s="43" t="inlineStr">
        <is>
          <t>Q1’27</t>
        </is>
      </c>
      <c r="P544" s="43" t="n">
        <v>1</v>
      </c>
      <c r="Q544" s="43" t="n">
        <v>7</v>
      </c>
      <c r="R544" s="43" t="n">
        <v>3</v>
      </c>
      <c r="S544" s="45" t="n">
        <v>304.9912640839621</v>
      </c>
      <c r="T544">
        <f>(S542+S543+S544)=R2</f>
        <v/>
      </c>
      <c r="X544" s="84">
        <f>MAX(S541-S544,0)</f>
        <v/>
      </c>
      <c r="Y544" s="83" t="n">
        <v>0</v>
      </c>
      <c r="AA544" s="84" t="n">
        <v>9</v>
      </c>
      <c r="AB544" s="84" t="inlineStr">
        <is>
          <t>D</t>
        </is>
      </c>
      <c r="AC544" s="84" t="inlineStr">
        <is>
          <t>D+</t>
        </is>
      </c>
      <c r="AD544" s="84" t="n">
        <v>17</v>
      </c>
      <c r="AE544" s="84" t="n">
        <v>13</v>
      </c>
      <c r="AF544" s="84" t="n">
        <v>0.8</v>
      </c>
      <c r="AG544" s="84" t="n">
        <v>0.88</v>
      </c>
      <c r="AH544" s="84" t="n">
        <v>0</v>
      </c>
      <c r="AI544" s="84" t="n">
        <v>0</v>
      </c>
      <c r="AJ544" s="84">
        <f>SUMIFS(AH$8:AH$1039,$O$8:$O$1039,O544,$AB$8:$AB$1039,AB544,$R$8:$R$1039,R544,$AA$8:$AA$1039,"&lt;="&amp;AA544)</f>
        <v/>
      </c>
      <c r="AK544" s="84">
        <f>E59</f>
        <v/>
      </c>
      <c r="AL544" s="84">
        <f>E65</f>
        <v/>
      </c>
      <c r="AM544" s="84">
        <f>MAX(0,AJ544-AK544)</f>
        <v/>
      </c>
      <c r="AN544" s="84">
        <f>IF(AM544=0,AH544,IF(AM544&gt;=AH544,0,AH544-AM544))</f>
        <v/>
      </c>
      <c r="AO544" s="84">
        <f>IF(AM544&gt;=AH544,AI544,AI544*AM544/AH544)</f>
        <v/>
      </c>
      <c r="AP544">
        <f t="array" ref="AP544">INDEX($AU$8:$BB$25,6*(R544-1)+MATCH(AB544,$AS$8:$AS$13,0),MATCH(O544,$AU$7:$BB$7,0))</f>
        <v/>
      </c>
    </row>
    <row r="545" ht="14.25" customHeight="1">
      <c r="O545" s="43" t="inlineStr">
        <is>
          <t>Q1’27</t>
        </is>
      </c>
      <c r="P545" s="43" t="n">
        <v>1</v>
      </c>
      <c r="Q545" s="43" t="n">
        <v>8</v>
      </c>
      <c r="R545" s="43" t="n">
        <v>1</v>
      </c>
      <c r="S545" s="45" t="n">
        <v>2620.800000000002</v>
      </c>
      <c r="T545">
        <f>(S545+S546+S547)=R2</f>
        <v/>
      </c>
      <c r="X545" s="84">
        <f>MAX(S542-S545,0)</f>
        <v/>
      </c>
      <c r="Y545" s="83" t="n">
        <v>0</v>
      </c>
      <c r="AA545" s="84" t="n">
        <v>1</v>
      </c>
      <c r="AB545" s="84" t="inlineStr">
        <is>
          <t>A</t>
        </is>
      </c>
      <c r="AC545" s="84" t="inlineStr">
        <is>
          <t>A+</t>
        </is>
      </c>
      <c r="AD545" s="84" t="n">
        <v>18</v>
      </c>
      <c r="AE545" s="84" t="n">
        <v>16</v>
      </c>
      <c r="AF545" s="84" t="n">
        <v>0.78</v>
      </c>
      <c r="AG545" s="84" t="n">
        <v>0.84</v>
      </c>
      <c r="AH545" s="84" t="n">
        <v>0</v>
      </c>
      <c r="AI545" s="84" t="n">
        <v>0</v>
      </c>
      <c r="AJ545" s="84">
        <f>SUMIFS(AH$8:AH$1039,$O$8:$O$1039,O545,$AB$8:$AB$1039,AB545,$R$8:$R$1039,R545,$AA$8:$AA$1039,"&lt;="&amp;AA545)</f>
        <v/>
      </c>
      <c r="AK545" s="84">
        <f>C56</f>
        <v/>
      </c>
      <c r="AL545" s="84">
        <f>C62</f>
        <v/>
      </c>
      <c r="AM545" s="84">
        <f>MAX(0,AJ545-AK545)</f>
        <v/>
      </c>
      <c r="AN545" s="84">
        <f>IF(AM545=0,AH545,IF(AM545&gt;=AH545,0,AH545-AM545))</f>
        <v/>
      </c>
      <c r="AO545" s="84">
        <f>IF(AM545&gt;=AH545,AI545,AI545*AM545/AH545)</f>
        <v/>
      </c>
      <c r="AP545">
        <f t="array" ref="AP545">INDEX($AU$8:$BB$25,6*(R545-1)+MATCH(AB545,$AS$8:$AS$13,0),MATCH(O545,$AU$7:$BB$7,0))</f>
        <v/>
      </c>
    </row>
    <row r="546" ht="14.25" customHeight="1">
      <c r="O546" s="43" t="inlineStr">
        <is>
          <t>Q1’27</t>
        </is>
      </c>
      <c r="P546" s="43" t="n">
        <v>1</v>
      </c>
      <c r="Q546" s="43" t="n">
        <v>8</v>
      </c>
      <c r="R546" s="43" t="n">
        <v>2</v>
      </c>
      <c r="S546" s="45" t="n">
        <v>3074.208735916036</v>
      </c>
      <c r="T546">
        <f>(S545+S546+S547)=R2</f>
        <v/>
      </c>
      <c r="X546" s="84">
        <f>MAX(S543-S546,0)</f>
        <v/>
      </c>
      <c r="Y546" s="83" t="n">
        <v>0</v>
      </c>
      <c r="AA546" s="84" t="n">
        <v>1</v>
      </c>
      <c r="AB546" s="84" t="inlineStr">
        <is>
          <t>A</t>
        </is>
      </c>
      <c r="AC546" s="84" t="inlineStr">
        <is>
          <t>A+</t>
        </is>
      </c>
      <c r="AD546" s="84" t="n">
        <v>18</v>
      </c>
      <c r="AE546" s="84" t="n">
        <v>16</v>
      </c>
      <c r="AF546" s="84" t="n">
        <v>0.78</v>
      </c>
      <c r="AG546" s="84" t="n">
        <v>0.84</v>
      </c>
      <c r="AH546" s="84" t="n">
        <v>0</v>
      </c>
      <c r="AI546" s="84" t="n">
        <v>0</v>
      </c>
      <c r="AJ546" s="84">
        <f>SUMIFS(AH$8:AH$1039,$O$8:$O$1039,O546,$AB$8:$AB$1039,AB546,$R$8:$R$1039,R546,$AA$8:$AA$1039,"&lt;="&amp;AA546)</f>
        <v/>
      </c>
      <c r="AK546" s="84">
        <f>D56</f>
        <v/>
      </c>
      <c r="AL546" s="84">
        <f>D62</f>
        <v/>
      </c>
      <c r="AM546" s="84">
        <f>MAX(0,AJ546-AK546)</f>
        <v/>
      </c>
      <c r="AN546" s="84">
        <f>IF(AM546=0,AH546,IF(AM546&gt;=AH546,0,AH546-AM546))</f>
        <v/>
      </c>
      <c r="AO546" s="84">
        <f>IF(AM546&gt;=AH546,AI546,AI546*AM546/AH546)</f>
        <v/>
      </c>
      <c r="AP546">
        <f t="array" ref="AP546">INDEX($AU$8:$BB$25,6*(R546-1)+MATCH(AB546,$AS$8:$AS$13,0),MATCH(O546,$AU$7:$BB$7,0))</f>
        <v/>
      </c>
    </row>
    <row r="547" ht="14.25" customHeight="1">
      <c r="O547" s="43" t="inlineStr">
        <is>
          <t>Q1’27</t>
        </is>
      </c>
      <c r="P547" s="43" t="n">
        <v>1</v>
      </c>
      <c r="Q547" s="43" t="n">
        <v>8</v>
      </c>
      <c r="R547" s="43" t="n">
        <v>3</v>
      </c>
      <c r="S547" s="45" t="n">
        <v>304.9912640839621</v>
      </c>
      <c r="T547">
        <f>(S545+S546+S547)=R2</f>
        <v/>
      </c>
      <c r="X547" s="84">
        <f>MAX(S544-S547,0)</f>
        <v/>
      </c>
      <c r="Y547" s="83" t="n">
        <v>0</v>
      </c>
      <c r="AA547" s="84" t="n">
        <v>1</v>
      </c>
      <c r="AB547" s="84" t="inlineStr">
        <is>
          <t>A</t>
        </is>
      </c>
      <c r="AC547" s="84" t="inlineStr">
        <is>
          <t>A+</t>
        </is>
      </c>
      <c r="AD547" s="84" t="n">
        <v>18</v>
      </c>
      <c r="AE547" s="84" t="n">
        <v>16</v>
      </c>
      <c r="AF547" s="84" t="n">
        <v>0.78</v>
      </c>
      <c r="AG547" s="84" t="n">
        <v>0.84</v>
      </c>
      <c r="AH547" s="84" t="n">
        <v>0</v>
      </c>
      <c r="AI547" s="84" t="n">
        <v>0</v>
      </c>
      <c r="AJ547" s="84">
        <f>SUMIFS(AH$8:AH$1039,$O$8:$O$1039,O547,$AB$8:$AB$1039,AB547,$R$8:$R$1039,R547,$AA$8:$AA$1039,"&lt;="&amp;AA547)</f>
        <v/>
      </c>
      <c r="AK547" s="84">
        <f>E56</f>
        <v/>
      </c>
      <c r="AL547" s="84">
        <f>E62</f>
        <v/>
      </c>
      <c r="AM547" s="84">
        <f>MAX(0,AJ547-AK547)</f>
        <v/>
      </c>
      <c r="AN547" s="84">
        <f>IF(AM547=0,AH547,IF(AM547&gt;=AH547,0,AH547-AM547))</f>
        <v/>
      </c>
      <c r="AO547" s="84">
        <f>IF(AM547&gt;=AH547,AI547,AI547*AM547/AH547)</f>
        <v/>
      </c>
      <c r="AP547">
        <f t="array" ref="AP547">INDEX($AU$8:$BB$25,6*(R547-1)+MATCH(AB547,$AS$8:$AS$13,0),MATCH(O547,$AU$7:$BB$7,0))</f>
        <v/>
      </c>
    </row>
    <row r="548" ht="14.25" customHeight="1">
      <c r="O548" s="43" t="inlineStr">
        <is>
          <t>Q1’27</t>
        </is>
      </c>
      <c r="P548" s="43" t="n">
        <v>1</v>
      </c>
      <c r="Q548" s="43" t="n">
        <v>9</v>
      </c>
      <c r="R548" s="43" t="n">
        <v>1</v>
      </c>
      <c r="S548" s="45" t="n">
        <v>2620.800000000002</v>
      </c>
      <c r="T548">
        <f>(S548+S549+S550)=R2</f>
        <v/>
      </c>
      <c r="X548" s="84">
        <f>MAX(S545-S548,0)</f>
        <v/>
      </c>
      <c r="Y548" s="83" t="n">
        <v>0</v>
      </c>
      <c r="AA548" s="84" t="n">
        <v>2</v>
      </c>
      <c r="AB548" s="84" t="inlineStr">
        <is>
          <t>A</t>
        </is>
      </c>
      <c r="AC548" s="84" t="inlineStr">
        <is>
          <t>A+</t>
        </is>
      </c>
      <c r="AD548" s="84" t="n">
        <v>16</v>
      </c>
      <c r="AE548" s="84" t="n">
        <v>13</v>
      </c>
      <c r="AF548" s="84" t="n">
        <v>0.78</v>
      </c>
      <c r="AG548" s="84" t="n">
        <v>0.84</v>
      </c>
      <c r="AH548" s="84" t="n">
        <v>0</v>
      </c>
      <c r="AI548" s="84" t="n">
        <v>0</v>
      </c>
      <c r="AJ548" s="84">
        <f>SUMIFS(AH$8:AH$1039,$O$8:$O$1039,O548,$AB$8:$AB$1039,AB548,$R$8:$R$1039,R548,$AA$8:$AA$1039,"&lt;="&amp;AA548)</f>
        <v/>
      </c>
      <c r="AK548" s="84">
        <f>C56</f>
        <v/>
      </c>
      <c r="AL548" s="84">
        <f>C62</f>
        <v/>
      </c>
      <c r="AM548" s="84">
        <f>MAX(0,AJ548-AK548)</f>
        <v/>
      </c>
      <c r="AN548" s="84">
        <f>IF(AM548=0,AH548,IF(AM548&gt;=AH548,0,AH548-AM548))</f>
        <v/>
      </c>
      <c r="AO548" s="84">
        <f>IF(AM548&gt;=AH548,AI548,AI548*AM548/AH548)</f>
        <v/>
      </c>
      <c r="AP548">
        <f t="array" ref="AP548">INDEX($AU$8:$BB$25,6*(R548-1)+MATCH(AB548,$AS$8:$AS$13,0),MATCH(O548,$AU$7:$BB$7,0))</f>
        <v/>
      </c>
    </row>
    <row r="549" ht="14.25" customHeight="1">
      <c r="O549" s="43" t="inlineStr">
        <is>
          <t>Q1’27</t>
        </is>
      </c>
      <c r="P549" s="43" t="n">
        <v>1</v>
      </c>
      <c r="Q549" s="43" t="n">
        <v>9</v>
      </c>
      <c r="R549" s="43" t="n">
        <v>2</v>
      </c>
      <c r="S549" s="45" t="n">
        <v>3074.208735916036</v>
      </c>
      <c r="T549">
        <f>(S548+S549+S550)=R2</f>
        <v/>
      </c>
      <c r="X549" s="84">
        <f>MAX(S546-S549,0)</f>
        <v/>
      </c>
      <c r="Y549" s="83" t="n">
        <v>0</v>
      </c>
      <c r="AA549" s="84" t="n">
        <v>2</v>
      </c>
      <c r="AB549" s="84" t="inlineStr">
        <is>
          <t>A</t>
        </is>
      </c>
      <c r="AC549" s="84" t="inlineStr">
        <is>
          <t>A+</t>
        </is>
      </c>
      <c r="AD549" s="84" t="n">
        <v>16</v>
      </c>
      <c r="AE549" s="84" t="n">
        <v>13</v>
      </c>
      <c r="AF549" s="84" t="n">
        <v>0.78</v>
      </c>
      <c r="AG549" s="84" t="n">
        <v>0.84</v>
      </c>
      <c r="AH549" s="84" t="n">
        <v>0</v>
      </c>
      <c r="AI549" s="84" t="n">
        <v>0</v>
      </c>
      <c r="AJ549" s="84">
        <f>SUMIFS(AH$8:AH$1039,$O$8:$O$1039,O549,$AB$8:$AB$1039,AB549,$R$8:$R$1039,R549,$AA$8:$AA$1039,"&lt;="&amp;AA549)</f>
        <v/>
      </c>
      <c r="AK549" s="84">
        <f>D56</f>
        <v/>
      </c>
      <c r="AL549" s="84">
        <f>D62</f>
        <v/>
      </c>
      <c r="AM549" s="84">
        <f>MAX(0,AJ549-AK549)</f>
        <v/>
      </c>
      <c r="AN549" s="84">
        <f>IF(AM549=0,AH549,IF(AM549&gt;=AH549,0,AH549-AM549))</f>
        <v/>
      </c>
      <c r="AO549" s="84">
        <f>IF(AM549&gt;=AH549,AI549,AI549*AM549/AH549)</f>
        <v/>
      </c>
      <c r="AP549">
        <f t="array" ref="AP549">INDEX($AU$8:$BB$25,6*(R549-1)+MATCH(AB549,$AS$8:$AS$13,0),MATCH(O549,$AU$7:$BB$7,0))</f>
        <v/>
      </c>
    </row>
    <row r="550" ht="14.25" customHeight="1">
      <c r="O550" s="43" t="inlineStr">
        <is>
          <t>Q1’27</t>
        </is>
      </c>
      <c r="P550" s="43" t="n">
        <v>1</v>
      </c>
      <c r="Q550" s="43" t="n">
        <v>9</v>
      </c>
      <c r="R550" s="43" t="n">
        <v>3</v>
      </c>
      <c r="S550" s="45" t="n">
        <v>304.9912640839621</v>
      </c>
      <c r="T550">
        <f>(S548+S549+S550)=R2</f>
        <v/>
      </c>
      <c r="X550" s="84">
        <f>MAX(S547-S550,0)</f>
        <v/>
      </c>
      <c r="Y550" s="83" t="n">
        <v>0</v>
      </c>
      <c r="AA550" s="84" t="n">
        <v>2</v>
      </c>
      <c r="AB550" s="84" t="inlineStr">
        <is>
          <t>A</t>
        </is>
      </c>
      <c r="AC550" s="84" t="inlineStr">
        <is>
          <t>A+</t>
        </is>
      </c>
      <c r="AD550" s="84" t="n">
        <v>16</v>
      </c>
      <c r="AE550" s="84" t="n">
        <v>13</v>
      </c>
      <c r="AF550" s="84" t="n">
        <v>0.78</v>
      </c>
      <c r="AG550" s="84" t="n">
        <v>0.84</v>
      </c>
      <c r="AH550" s="84" t="n">
        <v>0</v>
      </c>
      <c r="AI550" s="84" t="n">
        <v>0</v>
      </c>
      <c r="AJ550" s="84">
        <f>SUMIFS(AH$8:AH$1039,$O$8:$O$1039,O550,$AB$8:$AB$1039,AB550,$R$8:$R$1039,R550,$AA$8:$AA$1039,"&lt;="&amp;AA550)</f>
        <v/>
      </c>
      <c r="AK550" s="84">
        <f>E56</f>
        <v/>
      </c>
      <c r="AL550" s="84">
        <f>E62</f>
        <v/>
      </c>
      <c r="AM550" s="84">
        <f>MAX(0,AJ550-AK550)</f>
        <v/>
      </c>
      <c r="AN550" s="84">
        <f>IF(AM550=0,AH550,IF(AM550&gt;=AH550,0,AH550-AM550))</f>
        <v/>
      </c>
      <c r="AO550" s="84">
        <f>IF(AM550&gt;=AH550,AI550,AI550*AM550/AH550)</f>
        <v/>
      </c>
      <c r="AP550">
        <f t="array" ref="AP550">INDEX($AU$8:$BB$25,6*(R550-1)+MATCH(AB550,$AS$8:$AS$13,0),MATCH(O550,$AU$7:$BB$7,0))</f>
        <v/>
      </c>
    </row>
    <row r="551" ht="14.25" customHeight="1">
      <c r="O551" s="43" t="inlineStr">
        <is>
          <t>Q1’27</t>
        </is>
      </c>
      <c r="P551" s="43" t="n">
        <v>1</v>
      </c>
      <c r="Q551" s="43" t="n">
        <v>10</v>
      </c>
      <c r="R551" s="43" t="n">
        <v>1</v>
      </c>
      <c r="S551" s="45" t="n">
        <v>2620.800000000002</v>
      </c>
      <c r="T551">
        <f>(S551+S552+S553)=R2</f>
        <v/>
      </c>
      <c r="X551" s="84">
        <f>MAX(S548-S551,0)</f>
        <v/>
      </c>
      <c r="Y551" s="83" t="n">
        <v>0</v>
      </c>
      <c r="AA551" s="84" t="n">
        <v>6</v>
      </c>
      <c r="AB551" s="84" t="inlineStr">
        <is>
          <t>D</t>
        </is>
      </c>
      <c r="AC551" s="84" t="inlineStr">
        <is>
          <t>D+</t>
        </is>
      </c>
      <c r="AD551" s="84" t="n">
        <v>14</v>
      </c>
      <c r="AE551" s="84" t="n">
        <v>11</v>
      </c>
      <c r="AF551" s="84" t="n">
        <v>0.8</v>
      </c>
      <c r="AG551" s="84" t="n">
        <v>0.88</v>
      </c>
      <c r="AH551" s="84" t="n">
        <v>0</v>
      </c>
      <c r="AI551" s="84" t="n">
        <v>0</v>
      </c>
      <c r="AJ551" s="84">
        <f>SUMIFS(AH$8:AH$1039,$O$8:$O$1039,O551,$AB$8:$AB$1039,AB551,$R$8:$R$1039,R551,$AA$8:$AA$1039,"&lt;="&amp;AA551)</f>
        <v/>
      </c>
      <c r="AK551" s="84">
        <f>C59</f>
        <v/>
      </c>
      <c r="AL551" s="84">
        <f>C65</f>
        <v/>
      </c>
      <c r="AM551" s="84">
        <f>MAX(0,AJ551-AK551)</f>
        <v/>
      </c>
      <c r="AN551" s="84">
        <f>IF(AM551=0,AH551,IF(AM551&gt;=AH551,0,AH551-AM551))</f>
        <v/>
      </c>
      <c r="AO551" s="84">
        <f>IF(AM551&gt;=AH551,AI551,AI551*AM551/AH551)</f>
        <v/>
      </c>
      <c r="AP551">
        <f t="array" ref="AP551">INDEX($AU$8:$BB$25,6*(R551-1)+MATCH(AB551,$AS$8:$AS$13,0),MATCH(O551,$AU$7:$BB$7,0))</f>
        <v/>
      </c>
    </row>
    <row r="552" ht="14.25" customHeight="1">
      <c r="O552" s="43" t="inlineStr">
        <is>
          <t>Q1’27</t>
        </is>
      </c>
      <c r="P552" s="43" t="n">
        <v>1</v>
      </c>
      <c r="Q552" s="43" t="n">
        <v>10</v>
      </c>
      <c r="R552" s="43" t="n">
        <v>2</v>
      </c>
      <c r="S552" s="45" t="n">
        <v>3074.208735916035</v>
      </c>
      <c r="T552">
        <f>(S551+S552+S553)=R2</f>
        <v/>
      </c>
      <c r="X552" s="84">
        <f>MAX(S549-S552,0)</f>
        <v/>
      </c>
      <c r="Y552" s="83" t="n">
        <v>0</v>
      </c>
      <c r="AA552" s="84" t="n">
        <v>6</v>
      </c>
      <c r="AB552" s="84" t="inlineStr">
        <is>
          <t>D</t>
        </is>
      </c>
      <c r="AC552" s="84" t="inlineStr">
        <is>
          <t>D+</t>
        </is>
      </c>
      <c r="AD552" s="84" t="n">
        <v>14</v>
      </c>
      <c r="AE552" s="84" t="n">
        <v>11</v>
      </c>
      <c r="AF552" s="84" t="n">
        <v>0.8</v>
      </c>
      <c r="AG552" s="84" t="n">
        <v>0.88</v>
      </c>
      <c r="AH552" s="84" t="n">
        <v>0</v>
      </c>
      <c r="AI552" s="84" t="n">
        <v>0</v>
      </c>
      <c r="AJ552" s="84">
        <f>SUMIFS(AH$8:AH$1039,$O$8:$O$1039,O552,$AB$8:$AB$1039,AB552,$R$8:$R$1039,R552,$AA$8:$AA$1039,"&lt;="&amp;AA552)</f>
        <v/>
      </c>
      <c r="AK552" s="84">
        <f>D59</f>
        <v/>
      </c>
      <c r="AL552" s="84">
        <f>D65</f>
        <v/>
      </c>
      <c r="AM552" s="84">
        <f>MAX(0,AJ552-AK552)</f>
        <v/>
      </c>
      <c r="AN552" s="84">
        <f>IF(AM552=0,AH552,IF(AM552&gt;=AH552,0,AH552-AM552))</f>
        <v/>
      </c>
      <c r="AO552" s="84">
        <f>IF(AM552&gt;=AH552,AI552,AI552*AM552/AH552)</f>
        <v/>
      </c>
      <c r="AP552">
        <f t="array" ref="AP552">INDEX($AU$8:$BB$25,6*(R552-1)+MATCH(AB552,$AS$8:$AS$13,0),MATCH(O552,$AU$7:$BB$7,0))</f>
        <v/>
      </c>
    </row>
    <row r="553" ht="14.25" customHeight="1">
      <c r="O553" s="43" t="inlineStr">
        <is>
          <t>Q1’27</t>
        </is>
      </c>
      <c r="P553" s="43" t="n">
        <v>1</v>
      </c>
      <c r="Q553" s="43" t="n">
        <v>10</v>
      </c>
      <c r="R553" s="43" t="n">
        <v>3</v>
      </c>
      <c r="S553" s="45" t="n">
        <v>304.991264083963</v>
      </c>
      <c r="T553">
        <f>(S551+S552+S553)=R2</f>
        <v/>
      </c>
      <c r="X553" s="84">
        <f>MAX(S550-S553,0)</f>
        <v/>
      </c>
      <c r="Y553" s="83" t="n">
        <v>0</v>
      </c>
      <c r="AA553" s="84" t="n">
        <v>6</v>
      </c>
      <c r="AB553" s="84" t="inlineStr">
        <is>
          <t>D</t>
        </is>
      </c>
      <c r="AC553" s="84" t="inlineStr">
        <is>
          <t>D+</t>
        </is>
      </c>
      <c r="AD553" s="84" t="n">
        <v>14</v>
      </c>
      <c r="AE553" s="84" t="n">
        <v>11</v>
      </c>
      <c r="AF553" s="84" t="n">
        <v>0.8</v>
      </c>
      <c r="AG553" s="84" t="n">
        <v>0.88</v>
      </c>
      <c r="AH553" s="84" t="n">
        <v>0</v>
      </c>
      <c r="AI553" s="84" t="n">
        <v>0</v>
      </c>
      <c r="AJ553" s="84">
        <f>SUMIFS(AH$8:AH$1039,$O$8:$O$1039,O553,$AB$8:$AB$1039,AB553,$R$8:$R$1039,R553,$AA$8:$AA$1039,"&lt;="&amp;AA553)</f>
        <v/>
      </c>
      <c r="AK553" s="84">
        <f>E59</f>
        <v/>
      </c>
      <c r="AL553" s="84">
        <f>E65</f>
        <v/>
      </c>
      <c r="AM553" s="84">
        <f>MAX(0,AJ553-AK553)</f>
        <v/>
      </c>
      <c r="AN553" s="84">
        <f>IF(AM553=0,AH553,IF(AM553&gt;=AH553,0,AH553-AM553))</f>
        <v/>
      </c>
      <c r="AO553" s="84">
        <f>IF(AM553&gt;=AH553,AI553,AI553*AM553/AH553)</f>
        <v/>
      </c>
      <c r="AP553">
        <f t="array" ref="AP553">INDEX($AU$8:$BB$25,6*(R553-1)+MATCH(AB553,$AS$8:$AS$13,0),MATCH(O553,$AU$7:$BB$7,0))</f>
        <v/>
      </c>
    </row>
    <row r="554" ht="14.25" customHeight="1">
      <c r="O554" s="43" t="inlineStr">
        <is>
          <t>Q1’27</t>
        </is>
      </c>
      <c r="P554" s="43" t="n">
        <v>1</v>
      </c>
      <c r="Q554" s="43" t="n">
        <v>11</v>
      </c>
      <c r="R554" s="43" t="n">
        <v>1</v>
      </c>
      <c r="S554" s="45" t="n">
        <v>2620.800000000002</v>
      </c>
      <c r="T554">
        <f>(S554+S555+S556)=R2</f>
        <v/>
      </c>
      <c r="X554" s="84">
        <f>MAX(S551-S554,0)</f>
        <v/>
      </c>
      <c r="Y554" s="83" t="n">
        <v>0</v>
      </c>
      <c r="AA554" s="84" t="n">
        <v>3</v>
      </c>
      <c r="AB554" s="84" t="inlineStr">
        <is>
          <t>F</t>
        </is>
      </c>
      <c r="AC554" s="84" t="inlineStr">
        <is>
          <t>F+</t>
        </is>
      </c>
      <c r="AD554" s="84" t="n">
        <v>18</v>
      </c>
      <c r="AE554" s="84" t="n">
        <v>16</v>
      </c>
      <c r="AF554" s="84" t="n">
        <v>0.8</v>
      </c>
      <c r="AG554" s="84" t="n">
        <v>0.9</v>
      </c>
      <c r="AH554" s="84" t="n">
        <v>0</v>
      </c>
      <c r="AI554" s="84" t="n">
        <v>0</v>
      </c>
      <c r="AJ554" s="84">
        <f>SUMIFS(AH$8:AH$1039,$O$8:$O$1039,O554,$AB$8:$AB$1039,AB554,$R$8:$R$1039,R554,$AA$8:$AA$1039,"&lt;="&amp;AA554)</f>
        <v/>
      </c>
      <c r="AK554" s="84">
        <f>C61</f>
        <v/>
      </c>
      <c r="AL554" s="84">
        <f>C67</f>
        <v/>
      </c>
      <c r="AM554" s="84">
        <f>MAX(0,AJ554-AK554)</f>
        <v/>
      </c>
      <c r="AN554" s="84">
        <f>IF(AM554=0,AH554,IF(AM554&gt;=AH554,0,AH554-AM554))</f>
        <v/>
      </c>
      <c r="AO554" s="84">
        <f>IF(AM554&gt;=AH554,AI554,AI554*AM554/AH554)</f>
        <v/>
      </c>
      <c r="AP554">
        <f t="array" ref="AP554">INDEX($AU$8:$BB$25,6*(R554-1)+MATCH(AB554,$AS$8:$AS$13,0),MATCH(O554,$AU$7:$BB$7,0))</f>
        <v/>
      </c>
    </row>
    <row r="555" ht="14.25" customHeight="1">
      <c r="O555" s="43" t="inlineStr">
        <is>
          <t>Q1’27</t>
        </is>
      </c>
      <c r="P555" s="43" t="n">
        <v>1</v>
      </c>
      <c r="Q555" s="43" t="n">
        <v>11</v>
      </c>
      <c r="R555" s="43" t="n">
        <v>2</v>
      </c>
      <c r="S555" s="45" t="n">
        <v>3074.208735916035</v>
      </c>
      <c r="T555">
        <f>(S554+S555+S556)=R2</f>
        <v/>
      </c>
      <c r="X555" s="84">
        <f>MAX(S552-S555,0)</f>
        <v/>
      </c>
      <c r="Y555" s="83" t="n">
        <v>0</v>
      </c>
      <c r="AA555" s="84" t="n">
        <v>3</v>
      </c>
      <c r="AB555" s="84" t="inlineStr">
        <is>
          <t>F</t>
        </is>
      </c>
      <c r="AC555" s="84" t="inlineStr">
        <is>
          <t>F+</t>
        </is>
      </c>
      <c r="AD555" s="84" t="n">
        <v>18</v>
      </c>
      <c r="AE555" s="84" t="n">
        <v>16</v>
      </c>
      <c r="AF555" s="84" t="n">
        <v>0.8</v>
      </c>
      <c r="AG555" s="84" t="n">
        <v>0.9</v>
      </c>
      <c r="AH555" s="84" t="n">
        <v>0</v>
      </c>
      <c r="AI555" s="84" t="n">
        <v>0</v>
      </c>
      <c r="AJ555" s="84">
        <f>SUMIFS(AH$8:AH$1039,$O$8:$O$1039,O555,$AB$8:$AB$1039,AB555,$R$8:$R$1039,R555,$AA$8:$AA$1039,"&lt;="&amp;AA555)</f>
        <v/>
      </c>
      <c r="AK555" s="84">
        <f>D61</f>
        <v/>
      </c>
      <c r="AL555" s="84">
        <f>D67</f>
        <v/>
      </c>
      <c r="AM555" s="84">
        <f>MAX(0,AJ555-AK555)</f>
        <v/>
      </c>
      <c r="AN555" s="84">
        <f>IF(AM555=0,AH555,IF(AM555&gt;=AH555,0,AH555-AM555))</f>
        <v/>
      </c>
      <c r="AO555" s="84">
        <f>IF(AM555&gt;=AH555,AI555,AI555*AM555/AH555)</f>
        <v/>
      </c>
      <c r="AP555">
        <f t="array" ref="AP555">INDEX($AU$8:$BB$25,6*(R555-1)+MATCH(AB555,$AS$8:$AS$13,0),MATCH(O555,$AU$7:$BB$7,0))</f>
        <v/>
      </c>
    </row>
    <row r="556" ht="14.25" customHeight="1">
      <c r="O556" s="43" t="inlineStr">
        <is>
          <t>Q1’27</t>
        </is>
      </c>
      <c r="P556" s="43" t="n">
        <v>1</v>
      </c>
      <c r="Q556" s="43" t="n">
        <v>11</v>
      </c>
      <c r="R556" s="43" t="n">
        <v>3</v>
      </c>
      <c r="S556" s="45" t="n">
        <v>304.991264083963</v>
      </c>
      <c r="T556">
        <f>(S554+S555+S556)=R2</f>
        <v/>
      </c>
      <c r="X556" s="84">
        <f>MAX(S553-S556,0)</f>
        <v/>
      </c>
      <c r="Y556" s="83" t="n">
        <v>0</v>
      </c>
      <c r="AA556" s="84" t="n">
        <v>3</v>
      </c>
      <c r="AB556" s="84" t="inlineStr">
        <is>
          <t>F</t>
        </is>
      </c>
      <c r="AC556" s="84" t="inlineStr">
        <is>
          <t>F+</t>
        </is>
      </c>
      <c r="AD556" s="84" t="n">
        <v>18</v>
      </c>
      <c r="AE556" s="84" t="n">
        <v>16</v>
      </c>
      <c r="AF556" s="84" t="n">
        <v>0.8</v>
      </c>
      <c r="AG556" s="84" t="n">
        <v>0.9</v>
      </c>
      <c r="AH556" s="84" t="n">
        <v>0</v>
      </c>
      <c r="AI556" s="84" t="n">
        <v>0</v>
      </c>
      <c r="AJ556" s="84">
        <f>SUMIFS(AH$8:AH$1039,$O$8:$O$1039,O556,$AB$8:$AB$1039,AB556,$R$8:$R$1039,R556,$AA$8:$AA$1039,"&lt;="&amp;AA556)</f>
        <v/>
      </c>
      <c r="AK556" s="84">
        <f>E61</f>
        <v/>
      </c>
      <c r="AL556" s="84">
        <f>E67</f>
        <v/>
      </c>
      <c r="AM556" s="84">
        <f>MAX(0,AJ556-AK556)</f>
        <v/>
      </c>
      <c r="AN556" s="84">
        <f>IF(AM556=0,AH556,IF(AM556&gt;=AH556,0,AH556-AM556))</f>
        <v/>
      </c>
      <c r="AO556" s="84">
        <f>IF(AM556&gt;=AH556,AI556,AI556*AM556/AH556)</f>
        <v/>
      </c>
      <c r="AP556">
        <f t="array" ref="AP556">INDEX($AU$8:$BB$25,6*(R556-1)+MATCH(AB556,$AS$8:$AS$13,0),MATCH(O556,$AU$7:$BB$7,0))</f>
        <v/>
      </c>
    </row>
    <row r="557" ht="14.25" customHeight="1">
      <c r="O557" s="43" t="inlineStr">
        <is>
          <t>Q1’27</t>
        </is>
      </c>
      <c r="P557" s="43" t="n">
        <v>2</v>
      </c>
      <c r="Q557" s="43" t="n">
        <v>1</v>
      </c>
      <c r="R557" s="43" t="n">
        <v>1</v>
      </c>
      <c r="S557" s="45" t="n">
        <v>4349.035130245997</v>
      </c>
      <c r="T557">
        <f>(S557+S558+S559)=R3</f>
        <v/>
      </c>
      <c r="X557" s="84" t="n">
        <v>0</v>
      </c>
      <c r="Y557" s="83" t="n">
        <v>0</v>
      </c>
      <c r="AA557" s="84" t="n">
        <v>9</v>
      </c>
      <c r="AB557" s="84" t="inlineStr">
        <is>
          <t>F</t>
        </is>
      </c>
      <c r="AC557" s="84" t="inlineStr">
        <is>
          <t>F+</t>
        </is>
      </c>
      <c r="AD557" s="84" t="n">
        <v>19</v>
      </c>
      <c r="AE557" s="84" t="n">
        <v>16</v>
      </c>
      <c r="AF557" s="84" t="n">
        <v>0.8</v>
      </c>
      <c r="AG557" s="84" t="n">
        <v>0.9</v>
      </c>
      <c r="AH557" s="84" t="n">
        <v>0</v>
      </c>
      <c r="AI557" s="84" t="n">
        <v>0</v>
      </c>
      <c r="AJ557" s="84">
        <f>SUMIFS(AH$8:AH$1039,$O$8:$O$1039,O557,$AB$8:$AB$1039,AB557,$R$8:$R$1039,R557,$AA$8:$AA$1039,"&lt;="&amp;AA557)</f>
        <v/>
      </c>
      <c r="AK557" s="84">
        <f>C61</f>
        <v/>
      </c>
      <c r="AL557" s="84">
        <f>C67</f>
        <v/>
      </c>
      <c r="AM557" s="84">
        <f>MAX(0,AJ557-AK557)</f>
        <v/>
      </c>
      <c r="AN557" s="84">
        <f>IF(AM557=0,AH557,IF(AM557&gt;=AH557,0,AH557-AM557))</f>
        <v/>
      </c>
      <c r="AO557" s="84">
        <f>IF(AM557&gt;=AH557,AI557,AI557*AM557/AH557)</f>
        <v/>
      </c>
      <c r="AP557">
        <f t="array" ref="AP557">INDEX($AU$8:$BB$25,6*(R557-1)+MATCH(AB557,$AS$8:$AS$13,0),MATCH(O557,$AU$7:$BB$7,0))</f>
        <v/>
      </c>
    </row>
    <row r="558" ht="14.25" customHeight="1">
      <c r="O558" s="43" t="inlineStr">
        <is>
          <t>Q1’27</t>
        </is>
      </c>
      <c r="P558" s="43" t="n">
        <v>2</v>
      </c>
      <c r="Q558" s="43" t="n">
        <v>1</v>
      </c>
      <c r="R558" s="43" t="n">
        <v>2</v>
      </c>
      <c r="S558" s="45" t="n">
        <v>1650.964869754003</v>
      </c>
      <c r="T558">
        <f>(S557+S558+S559)=R3</f>
        <v/>
      </c>
      <c r="X558" s="84" t="n">
        <v>0</v>
      </c>
      <c r="Y558" s="83" t="n">
        <v>0</v>
      </c>
      <c r="AA558" s="84" t="n">
        <v>9</v>
      </c>
      <c r="AB558" s="84" t="inlineStr">
        <is>
          <t>F</t>
        </is>
      </c>
      <c r="AC558" s="84" t="inlineStr">
        <is>
          <t>F+</t>
        </is>
      </c>
      <c r="AD558" s="84" t="n">
        <v>19</v>
      </c>
      <c r="AE558" s="84" t="n">
        <v>16</v>
      </c>
      <c r="AF558" s="84" t="n">
        <v>0.8</v>
      </c>
      <c r="AG558" s="84" t="n">
        <v>0.9</v>
      </c>
      <c r="AH558" s="84" t="n">
        <v>0</v>
      </c>
      <c r="AI558" s="84" t="n">
        <v>0</v>
      </c>
      <c r="AJ558" s="84">
        <f>SUMIFS(AH$8:AH$1039,$O$8:$O$1039,O558,$AB$8:$AB$1039,AB558,$R$8:$R$1039,R558,$AA$8:$AA$1039,"&lt;="&amp;AA558)</f>
        <v/>
      </c>
      <c r="AK558" s="84">
        <f>D61</f>
        <v/>
      </c>
      <c r="AL558" s="84">
        <f>D67</f>
        <v/>
      </c>
      <c r="AM558" s="84">
        <f>MAX(0,AJ558-AK558)</f>
        <v/>
      </c>
      <c r="AN558" s="84">
        <f>IF(AM558=0,AH558,IF(AM558&gt;=AH558,0,AH558-AM558))</f>
        <v/>
      </c>
      <c r="AO558" s="84">
        <f>IF(AM558&gt;=AH558,AI558,AI558*AM558/AH558)</f>
        <v/>
      </c>
      <c r="AP558">
        <f t="array" ref="AP558">INDEX($AU$8:$BB$25,6*(R558-1)+MATCH(AB558,$AS$8:$AS$13,0),MATCH(O558,$AU$7:$BB$7,0))</f>
        <v/>
      </c>
    </row>
    <row r="559" ht="14.25" customHeight="1">
      <c r="O559" s="43" t="inlineStr">
        <is>
          <t>Q1’27</t>
        </is>
      </c>
      <c r="P559" s="43" t="n">
        <v>2</v>
      </c>
      <c r="Q559" s="43" t="n">
        <v>1</v>
      </c>
      <c r="R559" s="43" t="n">
        <v>3</v>
      </c>
      <c r="S559" s="45" t="n">
        <v>0</v>
      </c>
      <c r="T559">
        <f>(S557+S558+S559)=R3</f>
        <v/>
      </c>
      <c r="X559" s="84" t="n">
        <v>0</v>
      </c>
      <c r="Y559" s="83" t="n">
        <v>0</v>
      </c>
      <c r="AA559" s="84" t="n">
        <v>9</v>
      </c>
      <c r="AB559" s="84" t="inlineStr">
        <is>
          <t>F</t>
        </is>
      </c>
      <c r="AC559" s="84" t="inlineStr">
        <is>
          <t>F+</t>
        </is>
      </c>
      <c r="AD559" s="84" t="n">
        <v>19</v>
      </c>
      <c r="AE559" s="84" t="n">
        <v>16</v>
      </c>
      <c r="AF559" s="84" t="n">
        <v>0.8</v>
      </c>
      <c r="AG559" s="84" t="n">
        <v>0.9</v>
      </c>
      <c r="AH559" s="84" t="n">
        <v>0</v>
      </c>
      <c r="AI559" s="84" t="n">
        <v>0</v>
      </c>
      <c r="AJ559" s="84">
        <f>SUMIFS(AH$8:AH$1039,$O$8:$O$1039,O559,$AB$8:$AB$1039,AB559,$R$8:$R$1039,R559,$AA$8:$AA$1039,"&lt;="&amp;AA559)</f>
        <v/>
      </c>
      <c r="AK559" s="84">
        <f>E61</f>
        <v/>
      </c>
      <c r="AL559" s="84">
        <f>E67</f>
        <v/>
      </c>
      <c r="AM559" s="84">
        <f>MAX(0,AJ559-AK559)</f>
        <v/>
      </c>
      <c r="AN559" s="84">
        <f>IF(AM559=0,AH559,IF(AM559&gt;=AH559,0,AH559-AM559))</f>
        <v/>
      </c>
      <c r="AO559" s="84">
        <f>IF(AM559&gt;=AH559,AI559,AI559*AM559/AH559)</f>
        <v/>
      </c>
      <c r="AP559">
        <f t="array" ref="AP559">INDEX($AU$8:$BB$25,6*(R559-1)+MATCH(AB559,$AS$8:$AS$13,0),MATCH(O559,$AU$7:$BB$7,0))</f>
        <v/>
      </c>
    </row>
    <row r="560" ht="14.25" customHeight="1">
      <c r="O560" s="43" t="inlineStr">
        <is>
          <t>Q1’27</t>
        </is>
      </c>
      <c r="P560" s="43" t="n">
        <v>2</v>
      </c>
      <c r="Q560" s="43" t="n">
        <v>2</v>
      </c>
      <c r="R560" s="43" t="n">
        <v>1</v>
      </c>
      <c r="S560" s="45" t="n">
        <v>4349.035130245997</v>
      </c>
      <c r="T560">
        <f>(S560+S561+S562)=R3</f>
        <v/>
      </c>
      <c r="X560" s="84">
        <f>MAX(S557-S560,0)</f>
        <v/>
      </c>
      <c r="Y560" s="83" t="n">
        <v>0</v>
      </c>
      <c r="AA560" s="84" t="n">
        <v>1</v>
      </c>
      <c r="AB560" s="84" t="inlineStr">
        <is>
          <t>B</t>
        </is>
      </c>
      <c r="AC560" s="84" t="inlineStr">
        <is>
          <t>B+</t>
        </is>
      </c>
      <c r="AD560" s="84" t="n">
        <v>20</v>
      </c>
      <c r="AE560" s="84" t="n">
        <v>18</v>
      </c>
      <c r="AF560" s="84" t="n">
        <v>0.76</v>
      </c>
      <c r="AG560" s="84" t="n">
        <v>0.8100000000000001</v>
      </c>
      <c r="AH560" s="84" t="n">
        <v>0</v>
      </c>
      <c r="AI560" s="84" t="n">
        <v>0</v>
      </c>
      <c r="AJ560" s="84">
        <f>SUMIFS(AH$8:AH$1039,$O$8:$O$1039,O560,$AB$8:$AB$1039,AB560,$R$8:$R$1039,R560,$AA$8:$AA$1039,"&lt;="&amp;AA560)</f>
        <v/>
      </c>
      <c r="AK560" s="84">
        <f>C57</f>
        <v/>
      </c>
      <c r="AL560" s="84">
        <f>C63</f>
        <v/>
      </c>
      <c r="AM560" s="84">
        <f>MAX(0,AJ560-AK560)</f>
        <v/>
      </c>
      <c r="AN560" s="84">
        <f>IF(AM560=0,AH560,IF(AM560&gt;=AH560,0,AH560-AM560))</f>
        <v/>
      </c>
      <c r="AO560" s="84">
        <f>IF(AM560&gt;=AH560,AI560,AI560*AM560/AH560)</f>
        <v/>
      </c>
      <c r="AP560">
        <f t="array" ref="AP560">INDEX($AU$8:$BB$25,6*(R560-1)+MATCH(AB560,$AS$8:$AS$13,0),MATCH(O560,$AU$7:$BB$7,0))</f>
        <v/>
      </c>
    </row>
    <row r="561" ht="14.25" customHeight="1">
      <c r="O561" s="43" t="inlineStr">
        <is>
          <t>Q1’27</t>
        </is>
      </c>
      <c r="P561" s="43" t="n">
        <v>2</v>
      </c>
      <c r="Q561" s="43" t="n">
        <v>2</v>
      </c>
      <c r="R561" s="43" t="n">
        <v>2</v>
      </c>
      <c r="S561" s="45" t="n">
        <v>1650.964869754003</v>
      </c>
      <c r="T561">
        <f>(S560+S561+S562)=R3</f>
        <v/>
      </c>
      <c r="X561" s="84">
        <f>MAX(S558-S561,0)</f>
        <v/>
      </c>
      <c r="Y561" s="83" t="n">
        <v>0</v>
      </c>
      <c r="AA561" s="84" t="n">
        <v>1</v>
      </c>
      <c r="AB561" s="84" t="inlineStr">
        <is>
          <t>B</t>
        </is>
      </c>
      <c r="AC561" s="84" t="inlineStr">
        <is>
          <t>B+</t>
        </is>
      </c>
      <c r="AD561" s="84" t="n">
        <v>20</v>
      </c>
      <c r="AE561" s="84" t="n">
        <v>18</v>
      </c>
      <c r="AF561" s="84" t="n">
        <v>0.76</v>
      </c>
      <c r="AG561" s="84" t="n">
        <v>0.8100000000000001</v>
      </c>
      <c r="AH561" s="84" t="n">
        <v>0</v>
      </c>
      <c r="AI561" s="84" t="n">
        <v>0</v>
      </c>
      <c r="AJ561" s="84">
        <f>SUMIFS(AH$8:AH$1039,$O$8:$O$1039,O561,$AB$8:$AB$1039,AB561,$R$8:$R$1039,R561,$AA$8:$AA$1039,"&lt;="&amp;AA561)</f>
        <v/>
      </c>
      <c r="AK561" s="84">
        <f>D57</f>
        <v/>
      </c>
      <c r="AL561" s="84">
        <f>D63</f>
        <v/>
      </c>
      <c r="AM561" s="84">
        <f>MAX(0,AJ561-AK561)</f>
        <v/>
      </c>
      <c r="AN561" s="84">
        <f>IF(AM561=0,AH561,IF(AM561&gt;=AH561,0,AH561-AM561))</f>
        <v/>
      </c>
      <c r="AO561" s="84">
        <f>IF(AM561&gt;=AH561,AI561,AI561*AM561/AH561)</f>
        <v/>
      </c>
      <c r="AP561">
        <f t="array" ref="AP561">INDEX($AU$8:$BB$25,6*(R561-1)+MATCH(AB561,$AS$8:$AS$13,0),MATCH(O561,$AU$7:$BB$7,0))</f>
        <v/>
      </c>
    </row>
    <row r="562" ht="14.25" customHeight="1">
      <c r="O562" s="43" t="inlineStr">
        <is>
          <t>Q1’27</t>
        </is>
      </c>
      <c r="P562" s="43" t="n">
        <v>2</v>
      </c>
      <c r="Q562" s="43" t="n">
        <v>2</v>
      </c>
      <c r="R562" s="43" t="n">
        <v>3</v>
      </c>
      <c r="S562" s="45" t="n">
        <v>0</v>
      </c>
      <c r="T562">
        <f>(S560+S561+S562)=R3</f>
        <v/>
      </c>
      <c r="X562" s="84">
        <f>MAX(S559-S562,0)</f>
        <v/>
      </c>
      <c r="Y562" s="83" t="n">
        <v>0</v>
      </c>
      <c r="AA562" s="84" t="n">
        <v>1</v>
      </c>
      <c r="AB562" s="84" t="inlineStr">
        <is>
          <t>B</t>
        </is>
      </c>
      <c r="AC562" s="84" t="inlineStr">
        <is>
          <t>B+</t>
        </is>
      </c>
      <c r="AD562" s="84" t="n">
        <v>20</v>
      </c>
      <c r="AE562" s="84" t="n">
        <v>18</v>
      </c>
      <c r="AF562" s="84" t="n">
        <v>0.76</v>
      </c>
      <c r="AG562" s="84" t="n">
        <v>0.8100000000000001</v>
      </c>
      <c r="AH562" s="84" t="n">
        <v>0</v>
      </c>
      <c r="AI562" s="84" t="n">
        <v>0</v>
      </c>
      <c r="AJ562" s="84">
        <f>SUMIFS(AH$8:AH$1039,$O$8:$O$1039,O562,$AB$8:$AB$1039,AB562,$R$8:$R$1039,R562,$AA$8:$AA$1039,"&lt;="&amp;AA562)</f>
        <v/>
      </c>
      <c r="AK562" s="84">
        <f>E57</f>
        <v/>
      </c>
      <c r="AL562" s="84">
        <f>E63</f>
        <v/>
      </c>
      <c r="AM562" s="84">
        <f>MAX(0,AJ562-AK562)</f>
        <v/>
      </c>
      <c r="AN562" s="84">
        <f>IF(AM562=0,AH562,IF(AM562&gt;=AH562,0,AH562-AM562))</f>
        <v/>
      </c>
      <c r="AO562" s="84">
        <f>IF(AM562&gt;=AH562,AI562,AI562*AM562/AH562)</f>
        <v/>
      </c>
      <c r="AP562">
        <f t="array" ref="AP562">INDEX($AU$8:$BB$25,6*(R562-1)+MATCH(AB562,$AS$8:$AS$13,0),MATCH(O562,$AU$7:$BB$7,0))</f>
        <v/>
      </c>
    </row>
    <row r="563" ht="14.25" customHeight="1">
      <c r="O563" s="43" t="inlineStr">
        <is>
          <t>Q1’27</t>
        </is>
      </c>
      <c r="P563" s="43" t="n">
        <v>2</v>
      </c>
      <c r="Q563" s="43" t="n">
        <v>3</v>
      </c>
      <c r="R563" s="43" t="n">
        <v>1</v>
      </c>
      <c r="S563" s="45" t="n">
        <v>4349.035130245996</v>
      </c>
      <c r="T563">
        <f>(S563+S564+S565)=R3</f>
        <v/>
      </c>
      <c r="X563" s="84">
        <f>MAX(S560-S563,0)</f>
        <v/>
      </c>
      <c r="Y563" s="83" t="n">
        <v>0</v>
      </c>
      <c r="AA563" s="84" t="n">
        <v>11</v>
      </c>
      <c r="AB563" s="84" t="inlineStr">
        <is>
          <t>E</t>
        </is>
      </c>
      <c r="AC563" s="84" t="inlineStr">
        <is>
          <t>E+</t>
        </is>
      </c>
      <c r="AD563" s="84" t="n">
        <v>10</v>
      </c>
      <c r="AE563" s="84" t="n">
        <v>7</v>
      </c>
      <c r="AF563" s="84" t="n">
        <v>0.76</v>
      </c>
      <c r="AG563" s="84" t="n">
        <v>0.84</v>
      </c>
      <c r="AH563" s="84" t="n">
        <v>0</v>
      </c>
      <c r="AI563" s="84" t="n">
        <v>0</v>
      </c>
      <c r="AJ563" s="84">
        <f>SUMIFS(AH$8:AH$1039,$O$8:$O$1039,O563,$AB$8:$AB$1039,AB563,$R$8:$R$1039,R563,$AA$8:$AA$1039,"&lt;="&amp;AA563)</f>
        <v/>
      </c>
      <c r="AK563" s="84">
        <f>C60</f>
        <v/>
      </c>
      <c r="AL563" s="84">
        <f>C66</f>
        <v/>
      </c>
      <c r="AM563" s="84">
        <f>MAX(0,AJ563-AK563)</f>
        <v/>
      </c>
      <c r="AN563" s="84">
        <f>IF(AM563=0,AH563,IF(AM563&gt;=AH563,0,AH563-AM563))</f>
        <v/>
      </c>
      <c r="AO563" s="84">
        <f>IF(AM563&gt;=AH563,AI563,AI563*AM563/AH563)</f>
        <v/>
      </c>
      <c r="AP563">
        <f t="array" ref="AP563">INDEX($AU$8:$BB$25,6*(R563-1)+MATCH(AB563,$AS$8:$AS$13,0),MATCH(O563,$AU$7:$BB$7,0))</f>
        <v/>
      </c>
    </row>
    <row r="564" ht="14.25" customHeight="1">
      <c r="O564" s="43" t="inlineStr">
        <is>
          <t>Q1’27</t>
        </is>
      </c>
      <c r="P564" s="43" t="n">
        <v>2</v>
      </c>
      <c r="Q564" s="43" t="n">
        <v>3</v>
      </c>
      <c r="R564" s="43" t="n">
        <v>2</v>
      </c>
      <c r="S564" s="45" t="n">
        <v>1650.964869754004</v>
      </c>
      <c r="T564">
        <f>(S563+S564+S565)=R3</f>
        <v/>
      </c>
      <c r="X564" s="84">
        <f>MAX(S561-S564,0)</f>
        <v/>
      </c>
      <c r="Y564" s="83" t="n">
        <v>0</v>
      </c>
      <c r="AA564" s="84" t="n">
        <v>11</v>
      </c>
      <c r="AB564" s="84" t="inlineStr">
        <is>
          <t>E</t>
        </is>
      </c>
      <c r="AC564" s="84" t="inlineStr">
        <is>
          <t>E+</t>
        </is>
      </c>
      <c r="AD564" s="84" t="n">
        <v>10</v>
      </c>
      <c r="AE564" s="84" t="n">
        <v>7</v>
      </c>
      <c r="AF564" s="84" t="n">
        <v>0.76</v>
      </c>
      <c r="AG564" s="84" t="n">
        <v>0.84</v>
      </c>
      <c r="AH564" s="84" t="n">
        <v>0</v>
      </c>
      <c r="AI564" s="84" t="n">
        <v>0</v>
      </c>
      <c r="AJ564" s="84">
        <f>SUMIFS(AH$8:AH$1039,$O$8:$O$1039,O564,$AB$8:$AB$1039,AB564,$R$8:$R$1039,R564,$AA$8:$AA$1039,"&lt;="&amp;AA564)</f>
        <v/>
      </c>
      <c r="AK564" s="84">
        <f>D60</f>
        <v/>
      </c>
      <c r="AL564" s="84">
        <f>D66</f>
        <v/>
      </c>
      <c r="AM564" s="84">
        <f>MAX(0,AJ564-AK564)</f>
        <v/>
      </c>
      <c r="AN564" s="84">
        <f>IF(AM564=0,AH564,IF(AM564&gt;=AH564,0,AH564-AM564))</f>
        <v/>
      </c>
      <c r="AO564" s="84">
        <f>IF(AM564&gt;=AH564,AI564,AI564*AM564/AH564)</f>
        <v/>
      </c>
      <c r="AP564">
        <f t="array" ref="AP564">INDEX($AU$8:$BB$25,6*(R564-1)+MATCH(AB564,$AS$8:$AS$13,0),MATCH(O564,$AU$7:$BB$7,0))</f>
        <v/>
      </c>
    </row>
    <row r="565" ht="14.25" customHeight="1">
      <c r="O565" s="43" t="inlineStr">
        <is>
          <t>Q1’27</t>
        </is>
      </c>
      <c r="P565" s="43" t="n">
        <v>2</v>
      </c>
      <c r="Q565" s="43" t="n">
        <v>3</v>
      </c>
      <c r="R565" s="43" t="n">
        <v>3</v>
      </c>
      <c r="S565" s="45" t="n">
        <v>0</v>
      </c>
      <c r="T565">
        <f>(S563+S564+S565)=R3</f>
        <v/>
      </c>
      <c r="X565" s="84">
        <f>MAX(S562-S565,0)</f>
        <v/>
      </c>
      <c r="Y565" s="83" t="n">
        <v>0</v>
      </c>
      <c r="AA565" s="84" t="n">
        <v>11</v>
      </c>
      <c r="AB565" s="84" t="inlineStr">
        <is>
          <t>E</t>
        </is>
      </c>
      <c r="AC565" s="84" t="inlineStr">
        <is>
          <t>E+</t>
        </is>
      </c>
      <c r="AD565" s="84" t="n">
        <v>10</v>
      </c>
      <c r="AE565" s="84" t="n">
        <v>7</v>
      </c>
      <c r="AF565" s="84" t="n">
        <v>0.76</v>
      </c>
      <c r="AG565" s="84" t="n">
        <v>0.84</v>
      </c>
      <c r="AH565" s="84" t="n">
        <v>0</v>
      </c>
      <c r="AI565" s="84" t="n">
        <v>0</v>
      </c>
      <c r="AJ565" s="84">
        <f>SUMIFS(AH$8:AH$1039,$O$8:$O$1039,O565,$AB$8:$AB$1039,AB565,$R$8:$R$1039,R565,$AA$8:$AA$1039,"&lt;="&amp;AA565)</f>
        <v/>
      </c>
      <c r="AK565" s="84">
        <f>E60</f>
        <v/>
      </c>
      <c r="AL565" s="84">
        <f>E66</f>
        <v/>
      </c>
      <c r="AM565" s="84">
        <f>MAX(0,AJ565-AK565)</f>
        <v/>
      </c>
      <c r="AN565" s="84">
        <f>IF(AM565=0,AH565,IF(AM565&gt;=AH565,0,AH565-AM565))</f>
        <v/>
      </c>
      <c r="AO565" s="84">
        <f>IF(AM565&gt;=AH565,AI565,AI565*AM565/AH565)</f>
        <v/>
      </c>
      <c r="AP565">
        <f t="array" ref="AP565">INDEX($AU$8:$BB$25,6*(R565-1)+MATCH(AB565,$AS$8:$AS$13,0),MATCH(O565,$AU$7:$BB$7,0))</f>
        <v/>
      </c>
    </row>
    <row r="566" ht="14.25" customHeight="1">
      <c r="O566" s="43" t="inlineStr">
        <is>
          <t>Q1’27</t>
        </is>
      </c>
      <c r="P566" s="43" t="n">
        <v>2</v>
      </c>
      <c r="Q566" s="43" t="n">
        <v>4</v>
      </c>
      <c r="R566" s="43" t="n">
        <v>1</v>
      </c>
      <c r="S566" s="45" t="n">
        <v>4349.035130245997</v>
      </c>
      <c r="T566">
        <f>(S566+S567+S568)=R3</f>
        <v/>
      </c>
      <c r="X566" s="84">
        <f>MAX(S563-S566,0)</f>
        <v/>
      </c>
      <c r="Y566" s="83" t="n">
        <v>0</v>
      </c>
      <c r="AA566" s="84" t="n">
        <v>2</v>
      </c>
      <c r="AB566" s="84" t="inlineStr">
        <is>
          <t>B</t>
        </is>
      </c>
      <c r="AC566" s="84" t="inlineStr">
        <is>
          <t>B+</t>
        </is>
      </c>
      <c r="AD566" s="84" t="n">
        <v>25</v>
      </c>
      <c r="AE566" s="84" t="n">
        <v>19</v>
      </c>
      <c r="AF566" s="84" t="n">
        <v>0.76</v>
      </c>
      <c r="AG566" s="84" t="n">
        <v>0.8100000000000001</v>
      </c>
      <c r="AH566" s="84" t="n">
        <v>0</v>
      </c>
      <c r="AI566" s="84" t="n">
        <v>0</v>
      </c>
      <c r="AJ566" s="84">
        <f>SUMIFS(AH$8:AH$1039,$O$8:$O$1039,O566,$AB$8:$AB$1039,AB566,$R$8:$R$1039,R566,$AA$8:$AA$1039,"&lt;="&amp;AA566)</f>
        <v/>
      </c>
      <c r="AK566" s="84">
        <f>C57</f>
        <v/>
      </c>
      <c r="AL566" s="84">
        <f>C63</f>
        <v/>
      </c>
      <c r="AM566" s="84">
        <f>MAX(0,AJ566-AK566)</f>
        <v/>
      </c>
      <c r="AN566" s="84">
        <f>IF(AM566=0,AH566,IF(AM566&gt;=AH566,0,AH566-AM566))</f>
        <v/>
      </c>
      <c r="AO566" s="84">
        <f>IF(AM566&gt;=AH566,AI566,AI566*AM566/AH566)</f>
        <v/>
      </c>
      <c r="AP566">
        <f t="array" ref="AP566">INDEX($AU$8:$BB$25,6*(R566-1)+MATCH(AB566,$AS$8:$AS$13,0),MATCH(O566,$AU$7:$BB$7,0))</f>
        <v/>
      </c>
    </row>
    <row r="567" ht="14.25" customHeight="1">
      <c r="O567" s="43" t="inlineStr">
        <is>
          <t>Q1’27</t>
        </is>
      </c>
      <c r="P567" s="43" t="n">
        <v>2</v>
      </c>
      <c r="Q567" s="43" t="n">
        <v>4</v>
      </c>
      <c r="R567" s="43" t="n">
        <v>2</v>
      </c>
      <c r="S567" s="45" t="n">
        <v>1650.964869754003</v>
      </c>
      <c r="T567">
        <f>(S566+S567+S568)=R3</f>
        <v/>
      </c>
      <c r="X567" s="84">
        <f>MAX(S564-S567,0)</f>
        <v/>
      </c>
      <c r="Y567" s="83" t="n">
        <v>0</v>
      </c>
      <c r="AA567" s="84" t="n">
        <v>2</v>
      </c>
      <c r="AB567" s="84" t="inlineStr">
        <is>
          <t>B</t>
        </is>
      </c>
      <c r="AC567" s="84" t="inlineStr">
        <is>
          <t>B+</t>
        </is>
      </c>
      <c r="AD567" s="84" t="n">
        <v>25</v>
      </c>
      <c r="AE567" s="84" t="n">
        <v>19</v>
      </c>
      <c r="AF567" s="84" t="n">
        <v>0.76</v>
      </c>
      <c r="AG567" s="84" t="n">
        <v>0.8100000000000001</v>
      </c>
      <c r="AH567" s="84" t="n">
        <v>0</v>
      </c>
      <c r="AI567" s="84" t="n">
        <v>0</v>
      </c>
      <c r="AJ567" s="84">
        <f>SUMIFS(AH$8:AH$1039,$O$8:$O$1039,O567,$AB$8:$AB$1039,AB567,$R$8:$R$1039,R567,$AA$8:$AA$1039,"&lt;="&amp;AA567)</f>
        <v/>
      </c>
      <c r="AK567" s="84">
        <f>D57</f>
        <v/>
      </c>
      <c r="AL567" s="84">
        <f>D63</f>
        <v/>
      </c>
      <c r="AM567" s="84">
        <f>MAX(0,AJ567-AK567)</f>
        <v/>
      </c>
      <c r="AN567" s="84">
        <f>IF(AM567=0,AH567,IF(AM567&gt;=AH567,0,AH567-AM567))</f>
        <v/>
      </c>
      <c r="AO567" s="84">
        <f>IF(AM567&gt;=AH567,AI567,AI567*AM567/AH567)</f>
        <v/>
      </c>
      <c r="AP567">
        <f t="array" ref="AP567">INDEX($AU$8:$BB$25,6*(R567-1)+MATCH(AB567,$AS$8:$AS$13,0),MATCH(O567,$AU$7:$BB$7,0))</f>
        <v/>
      </c>
    </row>
    <row r="568" ht="14.25" customHeight="1">
      <c r="O568" s="43" t="inlineStr">
        <is>
          <t>Q1’27</t>
        </is>
      </c>
      <c r="P568" s="43" t="n">
        <v>2</v>
      </c>
      <c r="Q568" s="43" t="n">
        <v>4</v>
      </c>
      <c r="R568" s="43" t="n">
        <v>3</v>
      </c>
      <c r="S568" s="45" t="n">
        <v>0</v>
      </c>
      <c r="T568">
        <f>(S566+S567+S568)=R3</f>
        <v/>
      </c>
      <c r="X568" s="84">
        <f>MAX(S565-S568,0)</f>
        <v/>
      </c>
      <c r="Y568" s="83" t="n">
        <v>0</v>
      </c>
      <c r="AA568" s="84" t="n">
        <v>2</v>
      </c>
      <c r="AB568" s="84" t="inlineStr">
        <is>
          <t>B</t>
        </is>
      </c>
      <c r="AC568" s="84" t="inlineStr">
        <is>
          <t>B+</t>
        </is>
      </c>
      <c r="AD568" s="84" t="n">
        <v>25</v>
      </c>
      <c r="AE568" s="84" t="n">
        <v>19</v>
      </c>
      <c r="AF568" s="84" t="n">
        <v>0.76</v>
      </c>
      <c r="AG568" s="84" t="n">
        <v>0.8100000000000001</v>
      </c>
      <c r="AH568" s="84" t="n">
        <v>0</v>
      </c>
      <c r="AI568" s="84" t="n">
        <v>0</v>
      </c>
      <c r="AJ568" s="84">
        <f>SUMIFS(AH$8:AH$1039,$O$8:$O$1039,O568,$AB$8:$AB$1039,AB568,$R$8:$R$1039,R568,$AA$8:$AA$1039,"&lt;="&amp;AA568)</f>
        <v/>
      </c>
      <c r="AK568" s="84">
        <f>E57</f>
        <v/>
      </c>
      <c r="AL568" s="84">
        <f>E63</f>
        <v/>
      </c>
      <c r="AM568" s="84">
        <f>MAX(0,AJ568-AK568)</f>
        <v/>
      </c>
      <c r="AN568" s="84">
        <f>IF(AM568=0,AH568,IF(AM568&gt;=AH568,0,AH568-AM568))</f>
        <v/>
      </c>
      <c r="AO568" s="84">
        <f>IF(AM568&gt;=AH568,AI568,AI568*AM568/AH568)</f>
        <v/>
      </c>
      <c r="AP568">
        <f t="array" ref="AP568">INDEX($AU$8:$BB$25,6*(R568-1)+MATCH(AB568,$AS$8:$AS$13,0),MATCH(O568,$AU$7:$BB$7,0))</f>
        <v/>
      </c>
    </row>
    <row r="569" ht="14.25" customHeight="1">
      <c r="O569" s="43" t="inlineStr">
        <is>
          <t>Q1’27</t>
        </is>
      </c>
      <c r="P569" s="43" t="n">
        <v>2</v>
      </c>
      <c r="Q569" s="43" t="n">
        <v>5</v>
      </c>
      <c r="R569" s="43" t="n">
        <v>1</v>
      </c>
      <c r="S569" s="45" t="n">
        <v>4349.035130245997</v>
      </c>
      <c r="T569">
        <f>(S569+S570+S571)=R3</f>
        <v/>
      </c>
      <c r="X569" s="84">
        <f>MAX(S566-S569,0)</f>
        <v/>
      </c>
      <c r="Y569" s="83" t="n">
        <v>0</v>
      </c>
      <c r="AA569" s="84" t="n">
        <v>3</v>
      </c>
      <c r="AB569" s="84" t="inlineStr">
        <is>
          <t>B</t>
        </is>
      </c>
      <c r="AC569" s="84" t="inlineStr">
        <is>
          <t>B+</t>
        </is>
      </c>
      <c r="AD569" s="84" t="n">
        <v>15</v>
      </c>
      <c r="AE569" s="84" t="n">
        <v>11</v>
      </c>
      <c r="AF569" s="84" t="n">
        <v>0.76</v>
      </c>
      <c r="AG569" s="84" t="n">
        <v>0.8100000000000001</v>
      </c>
      <c r="AH569" s="84" t="n">
        <v>0</v>
      </c>
      <c r="AI569" s="84" t="n">
        <v>0</v>
      </c>
      <c r="AJ569" s="84">
        <f>SUMIFS(AH$8:AH$1039,$O$8:$O$1039,O569,$AB$8:$AB$1039,AB569,$R$8:$R$1039,R569,$AA$8:$AA$1039,"&lt;="&amp;AA569)</f>
        <v/>
      </c>
      <c r="AK569" s="84">
        <f>C57</f>
        <v/>
      </c>
      <c r="AL569" s="84">
        <f>C63</f>
        <v/>
      </c>
      <c r="AM569" s="84">
        <f>MAX(0,AJ569-AK569)</f>
        <v/>
      </c>
      <c r="AN569" s="84">
        <f>IF(AM569=0,AH569,IF(AM569&gt;=AH569,0,AH569-AM569))</f>
        <v/>
      </c>
      <c r="AO569" s="84">
        <f>IF(AM569&gt;=AH569,AI569,AI569*AM569/AH569)</f>
        <v/>
      </c>
      <c r="AP569">
        <f t="array" ref="AP569">INDEX($AU$8:$BB$25,6*(R569-1)+MATCH(AB569,$AS$8:$AS$13,0),MATCH(O569,$AU$7:$BB$7,0))</f>
        <v/>
      </c>
    </row>
    <row r="570" ht="14.25" customHeight="1">
      <c r="O570" s="43" t="inlineStr">
        <is>
          <t>Q1’27</t>
        </is>
      </c>
      <c r="P570" s="43" t="n">
        <v>2</v>
      </c>
      <c r="Q570" s="43" t="n">
        <v>5</v>
      </c>
      <c r="R570" s="43" t="n">
        <v>2</v>
      </c>
      <c r="S570" s="45" t="n">
        <v>1650.964869754003</v>
      </c>
      <c r="T570">
        <f>(S569+S570+S571)=R3</f>
        <v/>
      </c>
      <c r="X570" s="84">
        <f>MAX(S567-S570,0)</f>
        <v/>
      </c>
      <c r="Y570" s="83" t="n">
        <v>0</v>
      </c>
      <c r="AA570" s="84" t="n">
        <v>3</v>
      </c>
      <c r="AB570" s="84" t="inlineStr">
        <is>
          <t>B</t>
        </is>
      </c>
      <c r="AC570" s="84" t="inlineStr">
        <is>
          <t>B+</t>
        </is>
      </c>
      <c r="AD570" s="84" t="n">
        <v>15</v>
      </c>
      <c r="AE570" s="84" t="n">
        <v>11</v>
      </c>
      <c r="AF570" s="84" t="n">
        <v>0.76</v>
      </c>
      <c r="AG570" s="84" t="n">
        <v>0.8100000000000001</v>
      </c>
      <c r="AH570" s="84" t="n">
        <v>0</v>
      </c>
      <c r="AI570" s="84" t="n">
        <v>0</v>
      </c>
      <c r="AJ570" s="84">
        <f>SUMIFS(AH$8:AH$1039,$O$8:$O$1039,O570,$AB$8:$AB$1039,AB570,$R$8:$R$1039,R570,$AA$8:$AA$1039,"&lt;="&amp;AA570)</f>
        <v/>
      </c>
      <c r="AK570" s="84">
        <f>D57</f>
        <v/>
      </c>
      <c r="AL570" s="84">
        <f>D63</f>
        <v/>
      </c>
      <c r="AM570" s="84">
        <f>MAX(0,AJ570-AK570)</f>
        <v/>
      </c>
      <c r="AN570" s="84">
        <f>IF(AM570=0,AH570,IF(AM570&gt;=AH570,0,AH570-AM570))</f>
        <v/>
      </c>
      <c r="AO570" s="84">
        <f>IF(AM570&gt;=AH570,AI570,AI570*AM570/AH570)</f>
        <v/>
      </c>
      <c r="AP570">
        <f t="array" ref="AP570">INDEX($AU$8:$BB$25,6*(R570-1)+MATCH(AB570,$AS$8:$AS$13,0),MATCH(O570,$AU$7:$BB$7,0))</f>
        <v/>
      </c>
    </row>
    <row r="571" ht="14.25" customHeight="1">
      <c r="O571" s="43" t="inlineStr">
        <is>
          <t>Q1’27</t>
        </is>
      </c>
      <c r="P571" s="43" t="n">
        <v>2</v>
      </c>
      <c r="Q571" s="43" t="n">
        <v>5</v>
      </c>
      <c r="R571" s="43" t="n">
        <v>3</v>
      </c>
      <c r="S571" s="45" t="n">
        <v>0</v>
      </c>
      <c r="T571">
        <f>(S569+S570+S571)=R3</f>
        <v/>
      </c>
      <c r="X571" s="84">
        <f>MAX(S568-S571,0)</f>
        <v/>
      </c>
      <c r="Y571" s="83" t="n">
        <v>0</v>
      </c>
      <c r="AA571" s="84" t="n">
        <v>3</v>
      </c>
      <c r="AB571" s="84" t="inlineStr">
        <is>
          <t>B</t>
        </is>
      </c>
      <c r="AC571" s="84" t="inlineStr">
        <is>
          <t>B+</t>
        </is>
      </c>
      <c r="AD571" s="84" t="n">
        <v>15</v>
      </c>
      <c r="AE571" s="84" t="n">
        <v>11</v>
      </c>
      <c r="AF571" s="84" t="n">
        <v>0.76</v>
      </c>
      <c r="AG571" s="84" t="n">
        <v>0.8100000000000001</v>
      </c>
      <c r="AH571" s="84" t="n">
        <v>0</v>
      </c>
      <c r="AI571" s="84" t="n">
        <v>0</v>
      </c>
      <c r="AJ571" s="84">
        <f>SUMIFS(AH$8:AH$1039,$O$8:$O$1039,O571,$AB$8:$AB$1039,AB571,$R$8:$R$1039,R571,$AA$8:$AA$1039,"&lt;="&amp;AA571)</f>
        <v/>
      </c>
      <c r="AK571" s="84">
        <f>E57</f>
        <v/>
      </c>
      <c r="AL571" s="84">
        <f>E63</f>
        <v/>
      </c>
      <c r="AM571" s="84">
        <f>MAX(0,AJ571-AK571)</f>
        <v/>
      </c>
      <c r="AN571" s="84">
        <f>IF(AM571=0,AH571,IF(AM571&gt;=AH571,0,AH571-AM571))</f>
        <v/>
      </c>
      <c r="AO571" s="84">
        <f>IF(AM571&gt;=AH571,AI571,AI571*AM571/AH571)</f>
        <v/>
      </c>
      <c r="AP571">
        <f t="array" ref="AP571">INDEX($AU$8:$BB$25,6*(R571-1)+MATCH(AB571,$AS$8:$AS$13,0),MATCH(O571,$AU$7:$BB$7,0))</f>
        <v/>
      </c>
    </row>
    <row r="572" ht="14.25" customHeight="1">
      <c r="O572" s="43" t="inlineStr">
        <is>
          <t>Q1’27</t>
        </is>
      </c>
      <c r="P572" s="43" t="n">
        <v>2</v>
      </c>
      <c r="Q572" s="43" t="n">
        <v>6</v>
      </c>
      <c r="R572" s="43" t="n">
        <v>1</v>
      </c>
      <c r="S572" s="45" t="n">
        <v>4349.035130245997</v>
      </c>
      <c r="T572">
        <f>(S572+S573+S574)=R3</f>
        <v/>
      </c>
      <c r="X572" s="84">
        <f>MAX(S569-S572,0)</f>
        <v/>
      </c>
      <c r="Y572" s="83" t="n">
        <v>0</v>
      </c>
      <c r="AA572" s="84" t="n">
        <v>5</v>
      </c>
      <c r="AB572" s="84" t="inlineStr">
        <is>
          <t>F</t>
        </is>
      </c>
      <c r="AC572" s="84" t="inlineStr">
        <is>
          <t>F+</t>
        </is>
      </c>
      <c r="AD572" s="84" t="n">
        <v>16</v>
      </c>
      <c r="AE572" s="84" t="n">
        <v>14</v>
      </c>
      <c r="AF572" s="84" t="n">
        <v>0.8</v>
      </c>
      <c r="AG572" s="84" t="n">
        <v>0.9</v>
      </c>
      <c r="AH572" s="84" t="n">
        <v>0</v>
      </c>
      <c r="AI572" s="84" t="n">
        <v>0</v>
      </c>
      <c r="AJ572" s="84">
        <f>SUMIFS(AH$8:AH$1039,$O$8:$O$1039,O572,$AB$8:$AB$1039,AB572,$R$8:$R$1039,R572,$AA$8:$AA$1039,"&lt;="&amp;AA572)</f>
        <v/>
      </c>
      <c r="AK572" s="84">
        <f>C61</f>
        <v/>
      </c>
      <c r="AL572" s="84">
        <f>C67</f>
        <v/>
      </c>
      <c r="AM572" s="84">
        <f>MAX(0,AJ572-AK572)</f>
        <v/>
      </c>
      <c r="AN572" s="84">
        <f>IF(AM572=0,AH572,IF(AM572&gt;=AH572,0,AH572-AM572))</f>
        <v/>
      </c>
      <c r="AO572" s="84">
        <f>IF(AM572&gt;=AH572,AI572,AI572*AM572/AH572)</f>
        <v/>
      </c>
      <c r="AP572">
        <f t="array" ref="AP572">INDEX($AU$8:$BB$25,6*(R572-1)+MATCH(AB572,$AS$8:$AS$13,0),MATCH(O572,$AU$7:$BB$7,0))</f>
        <v/>
      </c>
    </row>
    <row r="573" ht="14.25" customHeight="1">
      <c r="O573" s="43" t="inlineStr">
        <is>
          <t>Q1’27</t>
        </is>
      </c>
      <c r="P573" s="43" t="n">
        <v>2</v>
      </c>
      <c r="Q573" s="43" t="n">
        <v>6</v>
      </c>
      <c r="R573" s="43" t="n">
        <v>2</v>
      </c>
      <c r="S573" s="45" t="n">
        <v>1650.964869754003</v>
      </c>
      <c r="T573">
        <f>(S572+S573+S574)=R3</f>
        <v/>
      </c>
      <c r="X573" s="84">
        <f>MAX(S570-S573,0)</f>
        <v/>
      </c>
      <c r="Y573" s="83" t="n">
        <v>0</v>
      </c>
      <c r="AA573" s="84" t="n">
        <v>5</v>
      </c>
      <c r="AB573" s="84" t="inlineStr">
        <is>
          <t>F</t>
        </is>
      </c>
      <c r="AC573" s="84" t="inlineStr">
        <is>
          <t>F+</t>
        </is>
      </c>
      <c r="AD573" s="84" t="n">
        <v>16</v>
      </c>
      <c r="AE573" s="84" t="n">
        <v>14</v>
      </c>
      <c r="AF573" s="84" t="n">
        <v>0.8</v>
      </c>
      <c r="AG573" s="84" t="n">
        <v>0.9</v>
      </c>
      <c r="AH573" s="84" t="n">
        <v>0</v>
      </c>
      <c r="AI573" s="84" t="n">
        <v>0</v>
      </c>
      <c r="AJ573" s="84">
        <f>SUMIFS(AH$8:AH$1039,$O$8:$O$1039,O573,$AB$8:$AB$1039,AB573,$R$8:$R$1039,R573,$AA$8:$AA$1039,"&lt;="&amp;AA573)</f>
        <v/>
      </c>
      <c r="AK573" s="84">
        <f>D61</f>
        <v/>
      </c>
      <c r="AL573" s="84">
        <f>D67</f>
        <v/>
      </c>
      <c r="AM573" s="84">
        <f>MAX(0,AJ573-AK573)</f>
        <v/>
      </c>
      <c r="AN573" s="84">
        <f>IF(AM573=0,AH573,IF(AM573&gt;=AH573,0,AH573-AM573))</f>
        <v/>
      </c>
      <c r="AO573" s="84">
        <f>IF(AM573&gt;=AH573,AI573,AI573*AM573/AH573)</f>
        <v/>
      </c>
      <c r="AP573">
        <f t="array" ref="AP573">INDEX($AU$8:$BB$25,6*(R573-1)+MATCH(AB573,$AS$8:$AS$13,0),MATCH(O573,$AU$7:$BB$7,0))</f>
        <v/>
      </c>
    </row>
    <row r="574" ht="14.25" customHeight="1">
      <c r="O574" s="43" t="inlineStr">
        <is>
          <t>Q1’27</t>
        </is>
      </c>
      <c r="P574" s="43" t="n">
        <v>2</v>
      </c>
      <c r="Q574" s="43" t="n">
        <v>6</v>
      </c>
      <c r="R574" s="43" t="n">
        <v>3</v>
      </c>
      <c r="S574" s="45" t="n">
        <v>0</v>
      </c>
      <c r="T574">
        <f>(S572+S573+S574)=R3</f>
        <v/>
      </c>
      <c r="X574" s="84">
        <f>MAX(S571-S574,0)</f>
        <v/>
      </c>
      <c r="Y574" s="83" t="n">
        <v>0</v>
      </c>
      <c r="AA574" s="84" t="n">
        <v>5</v>
      </c>
      <c r="AB574" s="84" t="inlineStr">
        <is>
          <t>F</t>
        </is>
      </c>
      <c r="AC574" s="84" t="inlineStr">
        <is>
          <t>F+</t>
        </is>
      </c>
      <c r="AD574" s="84" t="n">
        <v>16</v>
      </c>
      <c r="AE574" s="84" t="n">
        <v>14</v>
      </c>
      <c r="AF574" s="84" t="n">
        <v>0.8</v>
      </c>
      <c r="AG574" s="84" t="n">
        <v>0.9</v>
      </c>
      <c r="AH574" s="84" t="n">
        <v>0</v>
      </c>
      <c r="AI574" s="84" t="n">
        <v>0</v>
      </c>
      <c r="AJ574" s="84">
        <f>SUMIFS(AH$8:AH$1039,$O$8:$O$1039,O574,$AB$8:$AB$1039,AB574,$R$8:$R$1039,R574,$AA$8:$AA$1039,"&lt;="&amp;AA574)</f>
        <v/>
      </c>
      <c r="AK574" s="84">
        <f>E61</f>
        <v/>
      </c>
      <c r="AL574" s="84">
        <f>E67</f>
        <v/>
      </c>
      <c r="AM574" s="84">
        <f>MAX(0,AJ574-AK574)</f>
        <v/>
      </c>
      <c r="AN574" s="84">
        <f>IF(AM574=0,AH574,IF(AM574&gt;=AH574,0,AH574-AM574))</f>
        <v/>
      </c>
      <c r="AO574" s="84">
        <f>IF(AM574&gt;=AH574,AI574,AI574*AM574/AH574)</f>
        <v/>
      </c>
      <c r="AP574">
        <f t="array" ref="AP574">INDEX($AU$8:$BB$25,6*(R574-1)+MATCH(AB574,$AS$8:$AS$13,0),MATCH(O574,$AU$7:$BB$7,0))</f>
        <v/>
      </c>
    </row>
    <row r="575" ht="14.25" customHeight="1">
      <c r="O575" s="43" t="inlineStr">
        <is>
          <t>Q1’27</t>
        </is>
      </c>
      <c r="P575" s="43" t="n">
        <v>2</v>
      </c>
      <c r="Q575" s="43" t="n">
        <v>7</v>
      </c>
      <c r="R575" s="43" t="n">
        <v>1</v>
      </c>
      <c r="S575" s="45" t="n">
        <v>4349.035130245997</v>
      </c>
      <c r="T575">
        <f>(S575+S576+S577)=R3</f>
        <v/>
      </c>
      <c r="X575" s="84">
        <f>MAX(S572-S575,0)</f>
        <v/>
      </c>
      <c r="Y575" s="83" t="n">
        <v>0</v>
      </c>
      <c r="AA575" s="84" t="n">
        <v>4</v>
      </c>
      <c r="AB575" s="84" t="inlineStr">
        <is>
          <t>F</t>
        </is>
      </c>
      <c r="AC575" s="84" t="inlineStr">
        <is>
          <t>F+</t>
        </is>
      </c>
      <c r="AD575" s="84" t="n">
        <v>17</v>
      </c>
      <c r="AE575" s="84" t="n">
        <v>15</v>
      </c>
      <c r="AF575" s="84" t="n">
        <v>0.8</v>
      </c>
      <c r="AG575" s="84" t="n">
        <v>0.9</v>
      </c>
      <c r="AH575" s="84" t="n">
        <v>0</v>
      </c>
      <c r="AI575" s="84" t="n">
        <v>0</v>
      </c>
      <c r="AJ575" s="84">
        <f>SUMIFS(AH$8:AH$1039,$O$8:$O$1039,O575,$AB$8:$AB$1039,AB575,$R$8:$R$1039,R575,$AA$8:$AA$1039,"&lt;="&amp;AA575)</f>
        <v/>
      </c>
      <c r="AK575" s="84">
        <f>C61</f>
        <v/>
      </c>
      <c r="AL575" s="84">
        <f>C67</f>
        <v/>
      </c>
      <c r="AM575" s="84">
        <f>MAX(0,AJ575-AK575)</f>
        <v/>
      </c>
      <c r="AN575" s="84">
        <f>IF(AM575=0,AH575,IF(AM575&gt;=AH575,0,AH575-AM575))</f>
        <v/>
      </c>
      <c r="AO575" s="84">
        <f>IF(AM575&gt;=AH575,AI575,AI575*AM575/AH575)</f>
        <v/>
      </c>
      <c r="AP575">
        <f t="array" ref="AP575">INDEX($AU$8:$BB$25,6*(R575-1)+MATCH(AB575,$AS$8:$AS$13,0),MATCH(O575,$AU$7:$BB$7,0))</f>
        <v/>
      </c>
    </row>
    <row r="576" ht="14.25" customHeight="1">
      <c r="O576" s="43" t="inlineStr">
        <is>
          <t>Q1’27</t>
        </is>
      </c>
      <c r="P576" s="43" t="n">
        <v>2</v>
      </c>
      <c r="Q576" s="43" t="n">
        <v>7</v>
      </c>
      <c r="R576" s="43" t="n">
        <v>2</v>
      </c>
      <c r="S576" s="45" t="n">
        <v>1650.964869754003</v>
      </c>
      <c r="T576">
        <f>(S575+S576+S577)=R3</f>
        <v/>
      </c>
      <c r="X576" s="84">
        <f>MAX(S573-S576,0)</f>
        <v/>
      </c>
      <c r="Y576" s="83" t="n">
        <v>0</v>
      </c>
      <c r="AA576" s="84" t="n">
        <v>4</v>
      </c>
      <c r="AB576" s="84" t="inlineStr">
        <is>
          <t>F</t>
        </is>
      </c>
      <c r="AC576" s="84" t="inlineStr">
        <is>
          <t>F+</t>
        </is>
      </c>
      <c r="AD576" s="84" t="n">
        <v>17</v>
      </c>
      <c r="AE576" s="84" t="n">
        <v>15</v>
      </c>
      <c r="AF576" s="84" t="n">
        <v>0.8</v>
      </c>
      <c r="AG576" s="84" t="n">
        <v>0.9</v>
      </c>
      <c r="AH576" s="84" t="n">
        <v>0</v>
      </c>
      <c r="AI576" s="84" t="n">
        <v>0</v>
      </c>
      <c r="AJ576" s="84">
        <f>SUMIFS(AH$8:AH$1039,$O$8:$O$1039,O576,$AB$8:$AB$1039,AB576,$R$8:$R$1039,R576,$AA$8:$AA$1039,"&lt;="&amp;AA576)</f>
        <v/>
      </c>
      <c r="AK576" s="84">
        <f>D61</f>
        <v/>
      </c>
      <c r="AL576" s="84">
        <f>D67</f>
        <v/>
      </c>
      <c r="AM576" s="84">
        <f>MAX(0,AJ576-AK576)</f>
        <v/>
      </c>
      <c r="AN576" s="84">
        <f>IF(AM576=0,AH576,IF(AM576&gt;=AH576,0,AH576-AM576))</f>
        <v/>
      </c>
      <c r="AO576" s="84">
        <f>IF(AM576&gt;=AH576,AI576,AI576*AM576/AH576)</f>
        <v/>
      </c>
      <c r="AP576">
        <f t="array" ref="AP576">INDEX($AU$8:$BB$25,6*(R576-1)+MATCH(AB576,$AS$8:$AS$13,0),MATCH(O576,$AU$7:$BB$7,0))</f>
        <v/>
      </c>
    </row>
    <row r="577" ht="14.25" customHeight="1">
      <c r="O577" s="43" t="inlineStr">
        <is>
          <t>Q1’27</t>
        </is>
      </c>
      <c r="P577" s="43" t="n">
        <v>2</v>
      </c>
      <c r="Q577" s="43" t="n">
        <v>7</v>
      </c>
      <c r="R577" s="43" t="n">
        <v>3</v>
      </c>
      <c r="S577" s="45" t="n">
        <v>0</v>
      </c>
      <c r="T577">
        <f>(S575+S576+S577)=R3</f>
        <v/>
      </c>
      <c r="X577" s="84">
        <f>MAX(S574-S577,0)</f>
        <v/>
      </c>
      <c r="Y577" s="83" t="n">
        <v>0</v>
      </c>
      <c r="AA577" s="84" t="n">
        <v>4</v>
      </c>
      <c r="AB577" s="84" t="inlineStr">
        <is>
          <t>F</t>
        </is>
      </c>
      <c r="AC577" s="84" t="inlineStr">
        <is>
          <t>F+</t>
        </is>
      </c>
      <c r="AD577" s="84" t="n">
        <v>17</v>
      </c>
      <c r="AE577" s="84" t="n">
        <v>15</v>
      </c>
      <c r="AF577" s="84" t="n">
        <v>0.8</v>
      </c>
      <c r="AG577" s="84" t="n">
        <v>0.9</v>
      </c>
      <c r="AH577" s="84" t="n">
        <v>0</v>
      </c>
      <c r="AI577" s="84" t="n">
        <v>0</v>
      </c>
      <c r="AJ577" s="84">
        <f>SUMIFS(AH$8:AH$1039,$O$8:$O$1039,O577,$AB$8:$AB$1039,AB577,$R$8:$R$1039,R577,$AA$8:$AA$1039,"&lt;="&amp;AA577)</f>
        <v/>
      </c>
      <c r="AK577" s="84">
        <f>E61</f>
        <v/>
      </c>
      <c r="AL577" s="84">
        <f>E67</f>
        <v/>
      </c>
      <c r="AM577" s="84">
        <f>MAX(0,AJ577-AK577)</f>
        <v/>
      </c>
      <c r="AN577" s="84">
        <f>IF(AM577=0,AH577,IF(AM577&gt;=AH577,0,AH577-AM577))</f>
        <v/>
      </c>
      <c r="AO577" s="84">
        <f>IF(AM577&gt;=AH577,AI577,AI577*AM577/AH577)</f>
        <v/>
      </c>
      <c r="AP577">
        <f t="array" ref="AP577">INDEX($AU$8:$BB$25,6*(R577-1)+MATCH(AB577,$AS$8:$AS$13,0),MATCH(O577,$AU$7:$BB$7,0))</f>
        <v/>
      </c>
    </row>
    <row r="578" ht="14.25" customHeight="1">
      <c r="O578" s="43" t="inlineStr">
        <is>
          <t>Q1’27</t>
        </is>
      </c>
      <c r="P578" s="43" t="n">
        <v>2</v>
      </c>
      <c r="Q578" s="43" t="n">
        <v>8</v>
      </c>
      <c r="R578" s="43" t="n">
        <v>1</v>
      </c>
      <c r="S578" s="45" t="n">
        <v>4349.035130245997</v>
      </c>
      <c r="T578">
        <f>(S578+S579+S580)=R3</f>
        <v/>
      </c>
      <c r="X578" s="84">
        <f>MAX(S575-S578,0)</f>
        <v/>
      </c>
      <c r="Y578" s="83" t="n">
        <v>0</v>
      </c>
      <c r="AA578" s="84" t="n">
        <v>4</v>
      </c>
      <c r="AB578" s="84" t="inlineStr">
        <is>
          <t>B</t>
        </is>
      </c>
      <c r="AC578" s="84" t="inlineStr">
        <is>
          <t>B+</t>
        </is>
      </c>
      <c r="AD578" s="84" t="n">
        <v>22</v>
      </c>
      <c r="AE578" s="84" t="n">
        <v>16</v>
      </c>
      <c r="AF578" s="84" t="n">
        <v>0.76</v>
      </c>
      <c r="AG578" s="84" t="n">
        <v>0.8100000000000001</v>
      </c>
      <c r="AH578" s="84" t="n">
        <v>0</v>
      </c>
      <c r="AI578" s="84" t="n">
        <v>0</v>
      </c>
      <c r="AJ578" s="84">
        <f>SUMIFS(AH$8:AH$1039,$O$8:$O$1039,O578,$AB$8:$AB$1039,AB578,$R$8:$R$1039,R578,$AA$8:$AA$1039,"&lt;="&amp;AA578)</f>
        <v/>
      </c>
      <c r="AK578" s="84">
        <f>C57</f>
        <v/>
      </c>
      <c r="AL578" s="84">
        <f>C63</f>
        <v/>
      </c>
      <c r="AM578" s="84">
        <f>MAX(0,AJ578-AK578)</f>
        <v/>
      </c>
      <c r="AN578" s="84">
        <f>IF(AM578=0,AH578,IF(AM578&gt;=AH578,0,AH578-AM578))</f>
        <v/>
      </c>
      <c r="AO578" s="84">
        <f>IF(AM578&gt;=AH578,AI578,AI578*AM578/AH578)</f>
        <v/>
      </c>
      <c r="AP578">
        <f t="array" ref="AP578">INDEX($AU$8:$BB$25,6*(R578-1)+MATCH(AB578,$AS$8:$AS$13,0),MATCH(O578,$AU$7:$BB$7,0))</f>
        <v/>
      </c>
    </row>
    <row r="579" ht="14.25" customHeight="1">
      <c r="O579" s="43" t="inlineStr">
        <is>
          <t>Q1’27</t>
        </is>
      </c>
      <c r="P579" s="43" t="n">
        <v>2</v>
      </c>
      <c r="Q579" s="43" t="n">
        <v>8</v>
      </c>
      <c r="R579" s="43" t="n">
        <v>2</v>
      </c>
      <c r="S579" s="45" t="n">
        <v>1650.964869754003</v>
      </c>
      <c r="T579">
        <f>(S578+S579+S580)=R3</f>
        <v/>
      </c>
      <c r="X579" s="84">
        <f>MAX(S576-S579,0)</f>
        <v/>
      </c>
      <c r="Y579" s="83" t="n">
        <v>0</v>
      </c>
      <c r="AA579" s="84" t="n">
        <v>4</v>
      </c>
      <c r="AB579" s="84" t="inlineStr">
        <is>
          <t>B</t>
        </is>
      </c>
      <c r="AC579" s="84" t="inlineStr">
        <is>
          <t>B+</t>
        </is>
      </c>
      <c r="AD579" s="84" t="n">
        <v>22</v>
      </c>
      <c r="AE579" s="84" t="n">
        <v>16</v>
      </c>
      <c r="AF579" s="84" t="n">
        <v>0.76</v>
      </c>
      <c r="AG579" s="84" t="n">
        <v>0.8100000000000001</v>
      </c>
      <c r="AH579" s="84" t="n">
        <v>0</v>
      </c>
      <c r="AI579" s="84" t="n">
        <v>0</v>
      </c>
      <c r="AJ579" s="84">
        <f>SUMIFS(AH$8:AH$1039,$O$8:$O$1039,O579,$AB$8:$AB$1039,AB579,$R$8:$R$1039,R579,$AA$8:$AA$1039,"&lt;="&amp;AA579)</f>
        <v/>
      </c>
      <c r="AK579" s="84">
        <f>D57</f>
        <v/>
      </c>
      <c r="AL579" s="84">
        <f>D63</f>
        <v/>
      </c>
      <c r="AM579" s="84">
        <f>MAX(0,AJ579-AK579)</f>
        <v/>
      </c>
      <c r="AN579" s="84">
        <f>IF(AM579=0,AH579,IF(AM579&gt;=AH579,0,AH579-AM579))</f>
        <v/>
      </c>
      <c r="AO579" s="84">
        <f>IF(AM579&gt;=AH579,AI579,AI579*AM579/AH579)</f>
        <v/>
      </c>
      <c r="AP579">
        <f t="array" ref="AP579">INDEX($AU$8:$BB$25,6*(R579-1)+MATCH(AB579,$AS$8:$AS$13,0),MATCH(O579,$AU$7:$BB$7,0))</f>
        <v/>
      </c>
    </row>
    <row r="580" ht="14.25" customHeight="1">
      <c r="O580" s="43" t="inlineStr">
        <is>
          <t>Q1’27</t>
        </is>
      </c>
      <c r="P580" s="43" t="n">
        <v>2</v>
      </c>
      <c r="Q580" s="43" t="n">
        <v>8</v>
      </c>
      <c r="R580" s="43" t="n">
        <v>3</v>
      </c>
      <c r="S580" s="45" t="n">
        <v>0</v>
      </c>
      <c r="T580">
        <f>(S578+S579+S580)=R3</f>
        <v/>
      </c>
      <c r="X580" s="84">
        <f>MAX(S577-S580,0)</f>
        <v/>
      </c>
      <c r="Y580" s="83" t="n">
        <v>0</v>
      </c>
      <c r="AA580" s="84" t="n">
        <v>4</v>
      </c>
      <c r="AB580" s="84" t="inlineStr">
        <is>
          <t>B</t>
        </is>
      </c>
      <c r="AC580" s="84" t="inlineStr">
        <is>
          <t>B+</t>
        </is>
      </c>
      <c r="AD580" s="84" t="n">
        <v>22</v>
      </c>
      <c r="AE580" s="84" t="n">
        <v>16</v>
      </c>
      <c r="AF580" s="84" t="n">
        <v>0.76</v>
      </c>
      <c r="AG580" s="84" t="n">
        <v>0.8100000000000001</v>
      </c>
      <c r="AH580" s="84" t="n">
        <v>0</v>
      </c>
      <c r="AI580" s="84" t="n">
        <v>0</v>
      </c>
      <c r="AJ580" s="84">
        <f>SUMIFS(AH$8:AH$1039,$O$8:$O$1039,O580,$AB$8:$AB$1039,AB580,$R$8:$R$1039,R580,$AA$8:$AA$1039,"&lt;="&amp;AA580)</f>
        <v/>
      </c>
      <c r="AK580" s="84">
        <f>E57</f>
        <v/>
      </c>
      <c r="AL580" s="84">
        <f>E63</f>
        <v/>
      </c>
      <c r="AM580" s="84">
        <f>MAX(0,AJ580-AK580)</f>
        <v/>
      </c>
      <c r="AN580" s="84">
        <f>IF(AM580=0,AH580,IF(AM580&gt;=AH580,0,AH580-AM580))</f>
        <v/>
      </c>
      <c r="AO580" s="84">
        <f>IF(AM580&gt;=AH580,AI580,AI580*AM580/AH580)</f>
        <v/>
      </c>
      <c r="AP580">
        <f t="array" ref="AP580">INDEX($AU$8:$BB$25,6*(R580-1)+MATCH(AB580,$AS$8:$AS$13,0),MATCH(O580,$AU$7:$BB$7,0))</f>
        <v/>
      </c>
    </row>
    <row r="581" ht="14.25" customHeight="1">
      <c r="O581" s="43" t="inlineStr">
        <is>
          <t>Q1’27</t>
        </is>
      </c>
      <c r="P581" s="43" t="n">
        <v>2</v>
      </c>
      <c r="Q581" s="43" t="n">
        <v>9</v>
      </c>
      <c r="R581" s="43" t="n">
        <v>1</v>
      </c>
      <c r="S581" s="45" t="n">
        <v>4349.035130245997</v>
      </c>
      <c r="T581">
        <f>(S581+S582+S583)=R3</f>
        <v/>
      </c>
      <c r="X581" s="84">
        <f>MAX(S578-S581,0)</f>
        <v/>
      </c>
      <c r="Y581" s="83" t="n">
        <v>0</v>
      </c>
      <c r="AA581" s="84" t="n">
        <v>4</v>
      </c>
      <c r="AB581" s="84" t="inlineStr">
        <is>
          <t>E</t>
        </is>
      </c>
      <c r="AC581" s="84" t="inlineStr">
        <is>
          <t>E+</t>
        </is>
      </c>
      <c r="AD581" s="84" t="n">
        <v>7</v>
      </c>
      <c r="AE581" s="84" t="n">
        <v>6</v>
      </c>
      <c r="AF581" s="84" t="n">
        <v>0.76</v>
      </c>
      <c r="AG581" s="84" t="n">
        <v>0.84</v>
      </c>
      <c r="AH581" s="84" t="n">
        <v>0</v>
      </c>
      <c r="AI581" s="84" t="n">
        <v>0</v>
      </c>
      <c r="AJ581" s="84">
        <f>SUMIFS(AH$8:AH$1039,$O$8:$O$1039,O581,$AB$8:$AB$1039,AB581,$R$8:$R$1039,R581,$AA$8:$AA$1039,"&lt;="&amp;AA581)</f>
        <v/>
      </c>
      <c r="AK581" s="84">
        <f>C60</f>
        <v/>
      </c>
      <c r="AL581" s="84">
        <f>C66</f>
        <v/>
      </c>
      <c r="AM581" s="84">
        <f>MAX(0,AJ581-AK581)</f>
        <v/>
      </c>
      <c r="AN581" s="84">
        <f>IF(AM581=0,AH581,IF(AM581&gt;=AH581,0,AH581-AM581))</f>
        <v/>
      </c>
      <c r="AO581" s="84">
        <f>IF(AM581&gt;=AH581,AI581,AI581*AM581/AH581)</f>
        <v/>
      </c>
      <c r="AP581">
        <f t="array" ref="AP581">INDEX($AU$8:$BB$25,6*(R581-1)+MATCH(AB581,$AS$8:$AS$13,0),MATCH(O581,$AU$7:$BB$7,0))</f>
        <v/>
      </c>
    </row>
    <row r="582" ht="14.25" customHeight="1">
      <c r="O582" s="43" t="inlineStr">
        <is>
          <t>Q1’27</t>
        </is>
      </c>
      <c r="P582" s="43" t="n">
        <v>2</v>
      </c>
      <c r="Q582" s="43" t="n">
        <v>9</v>
      </c>
      <c r="R582" s="43" t="n">
        <v>2</v>
      </c>
      <c r="S582" s="45" t="n">
        <v>1650.964869754003</v>
      </c>
      <c r="T582">
        <f>(S581+S582+S583)=R3</f>
        <v/>
      </c>
      <c r="X582" s="84">
        <f>MAX(S579-S582,0)</f>
        <v/>
      </c>
      <c r="Y582" s="83" t="n">
        <v>0</v>
      </c>
      <c r="AA582" s="84" t="n">
        <v>4</v>
      </c>
      <c r="AB582" s="84" t="inlineStr">
        <is>
          <t>E</t>
        </is>
      </c>
      <c r="AC582" s="84" t="inlineStr">
        <is>
          <t>E+</t>
        </is>
      </c>
      <c r="AD582" s="84" t="n">
        <v>7</v>
      </c>
      <c r="AE582" s="84" t="n">
        <v>6</v>
      </c>
      <c r="AF582" s="84" t="n">
        <v>0.76</v>
      </c>
      <c r="AG582" s="84" t="n">
        <v>0.84</v>
      </c>
      <c r="AH582" s="84" t="n">
        <v>0</v>
      </c>
      <c r="AI582" s="84" t="n">
        <v>0</v>
      </c>
      <c r="AJ582" s="84">
        <f>SUMIFS(AH$8:AH$1039,$O$8:$O$1039,O582,$AB$8:$AB$1039,AB582,$R$8:$R$1039,R582,$AA$8:$AA$1039,"&lt;="&amp;AA582)</f>
        <v/>
      </c>
      <c r="AK582" s="84">
        <f>D60</f>
        <v/>
      </c>
      <c r="AL582" s="84">
        <f>D66</f>
        <v/>
      </c>
      <c r="AM582" s="84">
        <f>MAX(0,AJ582-AK582)</f>
        <v/>
      </c>
      <c r="AN582" s="84">
        <f>IF(AM582=0,AH582,IF(AM582&gt;=AH582,0,AH582-AM582))</f>
        <v/>
      </c>
      <c r="AO582" s="84">
        <f>IF(AM582&gt;=AH582,AI582,AI582*AM582/AH582)</f>
        <v/>
      </c>
      <c r="AP582">
        <f t="array" ref="AP582">INDEX($AU$8:$BB$25,6*(R582-1)+MATCH(AB582,$AS$8:$AS$13,0),MATCH(O582,$AU$7:$BB$7,0))</f>
        <v/>
      </c>
    </row>
    <row r="583" ht="14.25" customHeight="1">
      <c r="O583" s="43" t="inlineStr">
        <is>
          <t>Q1’27</t>
        </is>
      </c>
      <c r="P583" s="43" t="n">
        <v>2</v>
      </c>
      <c r="Q583" s="43" t="n">
        <v>9</v>
      </c>
      <c r="R583" s="43" t="n">
        <v>3</v>
      </c>
      <c r="S583" s="45" t="n">
        <v>0</v>
      </c>
      <c r="T583">
        <f>(S581+S582+S583)=R3</f>
        <v/>
      </c>
      <c r="X583" s="84">
        <f>MAX(S580-S583,0)</f>
        <v/>
      </c>
      <c r="Y583" s="83" t="n">
        <v>0</v>
      </c>
      <c r="AA583" s="84" t="n">
        <v>4</v>
      </c>
      <c r="AB583" s="84" t="inlineStr">
        <is>
          <t>E</t>
        </is>
      </c>
      <c r="AC583" s="84" t="inlineStr">
        <is>
          <t>E+</t>
        </is>
      </c>
      <c r="AD583" s="84" t="n">
        <v>7</v>
      </c>
      <c r="AE583" s="84" t="n">
        <v>6</v>
      </c>
      <c r="AF583" s="84" t="n">
        <v>0.76</v>
      </c>
      <c r="AG583" s="84" t="n">
        <v>0.84</v>
      </c>
      <c r="AH583" s="84" t="n">
        <v>0</v>
      </c>
      <c r="AI583" s="84" t="n">
        <v>0</v>
      </c>
      <c r="AJ583" s="84">
        <f>SUMIFS(AH$8:AH$1039,$O$8:$O$1039,O583,$AB$8:$AB$1039,AB583,$R$8:$R$1039,R583,$AA$8:$AA$1039,"&lt;="&amp;AA583)</f>
        <v/>
      </c>
      <c r="AK583" s="84">
        <f>E60</f>
        <v/>
      </c>
      <c r="AL583" s="84">
        <f>E66</f>
        <v/>
      </c>
      <c r="AM583" s="84">
        <f>MAX(0,AJ583-AK583)</f>
        <v/>
      </c>
      <c r="AN583" s="84">
        <f>IF(AM583=0,AH583,IF(AM583&gt;=AH583,0,AH583-AM583))</f>
        <v/>
      </c>
      <c r="AO583" s="84">
        <f>IF(AM583&gt;=AH583,AI583,AI583*AM583/AH583)</f>
        <v/>
      </c>
      <c r="AP583">
        <f t="array" ref="AP583">INDEX($AU$8:$BB$25,6*(R583-1)+MATCH(AB583,$AS$8:$AS$13,0),MATCH(O583,$AU$7:$BB$7,0))</f>
        <v/>
      </c>
    </row>
    <row r="584" ht="14.25" customHeight="1">
      <c r="O584" s="43" t="inlineStr">
        <is>
          <t>Q1’27</t>
        </is>
      </c>
      <c r="P584" s="43" t="n">
        <v>2</v>
      </c>
      <c r="Q584" s="43" t="n">
        <v>10</v>
      </c>
      <c r="R584" s="43" t="n">
        <v>1</v>
      </c>
      <c r="S584" s="45" t="n">
        <v>4349.035130245997</v>
      </c>
      <c r="T584">
        <f>(S584+S585+S586)=R3</f>
        <v/>
      </c>
      <c r="X584" s="84">
        <f>MAX(S581-S584,0)</f>
        <v/>
      </c>
      <c r="Y584" s="83" t="n">
        <v>0</v>
      </c>
      <c r="AA584" s="84" t="n">
        <v>6</v>
      </c>
      <c r="AB584" s="84" t="inlineStr">
        <is>
          <t>E</t>
        </is>
      </c>
      <c r="AC584" s="84" t="inlineStr">
        <is>
          <t>E+</t>
        </is>
      </c>
      <c r="AD584" s="84" t="n">
        <v>9</v>
      </c>
      <c r="AE584" s="84" t="n">
        <v>7</v>
      </c>
      <c r="AF584" s="84" t="n">
        <v>0.76</v>
      </c>
      <c r="AG584" s="84" t="n">
        <v>0.84</v>
      </c>
      <c r="AH584" s="84" t="n">
        <v>0</v>
      </c>
      <c r="AI584" s="84" t="n">
        <v>0</v>
      </c>
      <c r="AJ584" s="84">
        <f>SUMIFS(AH$8:AH$1039,$O$8:$O$1039,O584,$AB$8:$AB$1039,AB584,$R$8:$R$1039,R584,$AA$8:$AA$1039,"&lt;="&amp;AA584)</f>
        <v/>
      </c>
      <c r="AK584" s="84">
        <f>C60</f>
        <v/>
      </c>
      <c r="AL584" s="84">
        <f>C66</f>
        <v/>
      </c>
      <c r="AM584" s="84">
        <f>MAX(0,AJ584-AK584)</f>
        <v/>
      </c>
      <c r="AN584" s="84">
        <f>IF(AM584=0,AH584,IF(AM584&gt;=AH584,0,AH584-AM584))</f>
        <v/>
      </c>
      <c r="AO584" s="84">
        <f>IF(AM584&gt;=AH584,AI584,AI584*AM584/AH584)</f>
        <v/>
      </c>
      <c r="AP584">
        <f t="array" ref="AP584">INDEX($AU$8:$BB$25,6*(R584-1)+MATCH(AB584,$AS$8:$AS$13,0),MATCH(O584,$AU$7:$BB$7,0))</f>
        <v/>
      </c>
    </row>
    <row r="585" ht="14.25" customHeight="1">
      <c r="O585" s="43" t="inlineStr">
        <is>
          <t>Q1’27</t>
        </is>
      </c>
      <c r="P585" s="43" t="n">
        <v>2</v>
      </c>
      <c r="Q585" s="43" t="n">
        <v>10</v>
      </c>
      <c r="R585" s="43" t="n">
        <v>2</v>
      </c>
      <c r="S585" s="45" t="n">
        <v>1650.964869754003</v>
      </c>
      <c r="T585">
        <f>(S584+S585+S586)=R3</f>
        <v/>
      </c>
      <c r="X585" s="84">
        <f>MAX(S582-S585,0)</f>
        <v/>
      </c>
      <c r="Y585" s="83" t="n">
        <v>0</v>
      </c>
      <c r="AA585" s="84" t="n">
        <v>6</v>
      </c>
      <c r="AB585" s="84" t="inlineStr">
        <is>
          <t>E</t>
        </is>
      </c>
      <c r="AC585" s="84" t="inlineStr">
        <is>
          <t>E+</t>
        </is>
      </c>
      <c r="AD585" s="84" t="n">
        <v>9</v>
      </c>
      <c r="AE585" s="84" t="n">
        <v>7</v>
      </c>
      <c r="AF585" s="84" t="n">
        <v>0.76</v>
      </c>
      <c r="AG585" s="84" t="n">
        <v>0.84</v>
      </c>
      <c r="AH585" s="84" t="n">
        <v>0</v>
      </c>
      <c r="AI585" s="84" t="n">
        <v>0</v>
      </c>
      <c r="AJ585" s="84">
        <f>SUMIFS(AH$8:AH$1039,$O$8:$O$1039,O585,$AB$8:$AB$1039,AB585,$R$8:$R$1039,R585,$AA$8:$AA$1039,"&lt;="&amp;AA585)</f>
        <v/>
      </c>
      <c r="AK585" s="84">
        <f>D60</f>
        <v/>
      </c>
      <c r="AL585" s="84">
        <f>D66</f>
        <v/>
      </c>
      <c r="AM585" s="84">
        <f>MAX(0,AJ585-AK585)</f>
        <v/>
      </c>
      <c r="AN585" s="84">
        <f>IF(AM585=0,AH585,IF(AM585&gt;=AH585,0,AH585-AM585))</f>
        <v/>
      </c>
      <c r="AO585" s="84">
        <f>IF(AM585&gt;=AH585,AI585,AI585*AM585/AH585)</f>
        <v/>
      </c>
      <c r="AP585">
        <f t="array" ref="AP585">INDEX($AU$8:$BB$25,6*(R585-1)+MATCH(AB585,$AS$8:$AS$13,0),MATCH(O585,$AU$7:$BB$7,0))</f>
        <v/>
      </c>
    </row>
    <row r="586" ht="14.25" customHeight="1">
      <c r="O586" s="43" t="inlineStr">
        <is>
          <t>Q1’27</t>
        </is>
      </c>
      <c r="P586" s="43" t="n">
        <v>2</v>
      </c>
      <c r="Q586" s="43" t="n">
        <v>10</v>
      </c>
      <c r="R586" s="43" t="n">
        <v>3</v>
      </c>
      <c r="S586" s="45" t="n">
        <v>0</v>
      </c>
      <c r="T586">
        <f>(S584+S585+S586)=R3</f>
        <v/>
      </c>
      <c r="X586" s="84">
        <f>MAX(S583-S586,0)</f>
        <v/>
      </c>
      <c r="Y586" s="83" t="n">
        <v>0</v>
      </c>
      <c r="AA586" s="84" t="n">
        <v>6</v>
      </c>
      <c r="AB586" s="84" t="inlineStr">
        <is>
          <t>E</t>
        </is>
      </c>
      <c r="AC586" s="84" t="inlineStr">
        <is>
          <t>E+</t>
        </is>
      </c>
      <c r="AD586" s="84" t="n">
        <v>9</v>
      </c>
      <c r="AE586" s="84" t="n">
        <v>7</v>
      </c>
      <c r="AF586" s="84" t="n">
        <v>0.76</v>
      </c>
      <c r="AG586" s="84" t="n">
        <v>0.84</v>
      </c>
      <c r="AH586" s="84" t="n">
        <v>0</v>
      </c>
      <c r="AI586" s="84" t="n">
        <v>0</v>
      </c>
      <c r="AJ586" s="84">
        <f>SUMIFS(AH$8:AH$1039,$O$8:$O$1039,O586,$AB$8:$AB$1039,AB586,$R$8:$R$1039,R586,$AA$8:$AA$1039,"&lt;="&amp;AA586)</f>
        <v/>
      </c>
      <c r="AK586" s="84">
        <f>E60</f>
        <v/>
      </c>
      <c r="AL586" s="84">
        <f>E66</f>
        <v/>
      </c>
      <c r="AM586" s="84">
        <f>MAX(0,AJ586-AK586)</f>
        <v/>
      </c>
      <c r="AN586" s="84">
        <f>IF(AM586=0,AH586,IF(AM586&gt;=AH586,0,AH586-AM586))</f>
        <v/>
      </c>
      <c r="AO586" s="84">
        <f>IF(AM586&gt;=AH586,AI586,AI586*AM586/AH586)</f>
        <v/>
      </c>
      <c r="AP586">
        <f t="array" ref="AP586">INDEX($AU$8:$BB$25,6*(R586-1)+MATCH(AB586,$AS$8:$AS$13,0),MATCH(O586,$AU$7:$BB$7,0))</f>
        <v/>
      </c>
    </row>
    <row r="587" ht="14.25" customHeight="1">
      <c r="O587" s="43" t="inlineStr">
        <is>
          <t>Q1’27</t>
        </is>
      </c>
      <c r="P587" s="43" t="n">
        <v>2</v>
      </c>
      <c r="Q587" s="43" t="n">
        <v>11</v>
      </c>
      <c r="R587" s="43" t="n">
        <v>1</v>
      </c>
      <c r="S587" s="45" t="n">
        <v>4349.035130245997</v>
      </c>
      <c r="T587">
        <f>(S587+S588+S589)=R3</f>
        <v/>
      </c>
      <c r="X587" s="84">
        <f>MAX(S584-S587,0)</f>
        <v/>
      </c>
      <c r="Y587" s="83" t="n">
        <v>0</v>
      </c>
      <c r="AA587" s="84" t="n">
        <v>2</v>
      </c>
      <c r="AB587" s="84" t="inlineStr">
        <is>
          <t>E</t>
        </is>
      </c>
      <c r="AC587" s="84" t="inlineStr">
        <is>
          <t>E+</t>
        </is>
      </c>
      <c r="AD587" s="84" t="n">
        <v>20</v>
      </c>
      <c r="AE587" s="84" t="n">
        <v>19</v>
      </c>
      <c r="AF587" s="84" t="n">
        <v>0.76</v>
      </c>
      <c r="AG587" s="84" t="n">
        <v>0.84</v>
      </c>
      <c r="AH587" s="84" t="n">
        <v>0</v>
      </c>
      <c r="AI587" s="84" t="n">
        <v>0</v>
      </c>
      <c r="AJ587" s="84">
        <f>SUMIFS(AH$8:AH$1039,$O$8:$O$1039,O587,$AB$8:$AB$1039,AB587,$R$8:$R$1039,R587,$AA$8:$AA$1039,"&lt;="&amp;AA587)</f>
        <v/>
      </c>
      <c r="AK587" s="84">
        <f>C60</f>
        <v/>
      </c>
      <c r="AL587" s="84">
        <f>C66</f>
        <v/>
      </c>
      <c r="AM587" s="84">
        <f>MAX(0,AJ587-AK587)</f>
        <v/>
      </c>
      <c r="AN587" s="84">
        <f>IF(AM587=0,AH587,IF(AM587&gt;=AH587,0,AH587-AM587))</f>
        <v/>
      </c>
      <c r="AO587" s="84">
        <f>IF(AM587&gt;=AH587,AI587,AI587*AM587/AH587)</f>
        <v/>
      </c>
      <c r="AP587">
        <f t="array" ref="AP587">INDEX($AU$8:$BB$25,6*(R587-1)+MATCH(AB587,$AS$8:$AS$13,0),MATCH(O587,$AU$7:$BB$7,0))</f>
        <v/>
      </c>
    </row>
    <row r="588" ht="14.25" customHeight="1">
      <c r="O588" s="43" t="inlineStr">
        <is>
          <t>Q1’27</t>
        </is>
      </c>
      <c r="P588" s="43" t="n">
        <v>2</v>
      </c>
      <c r="Q588" s="43" t="n">
        <v>11</v>
      </c>
      <c r="R588" s="43" t="n">
        <v>2</v>
      </c>
      <c r="S588" s="45" t="n">
        <v>1650.964869754003</v>
      </c>
      <c r="T588">
        <f>(S587+S588+S589)=R3</f>
        <v/>
      </c>
      <c r="X588" s="84">
        <f>MAX(S585-S588,0)</f>
        <v/>
      </c>
      <c r="Y588" s="83" t="n">
        <v>0</v>
      </c>
      <c r="AA588" s="84" t="n">
        <v>2</v>
      </c>
      <c r="AB588" s="84" t="inlineStr">
        <is>
          <t>E</t>
        </is>
      </c>
      <c r="AC588" s="84" t="inlineStr">
        <is>
          <t>E+</t>
        </is>
      </c>
      <c r="AD588" s="84" t="n">
        <v>20</v>
      </c>
      <c r="AE588" s="84" t="n">
        <v>19</v>
      </c>
      <c r="AF588" s="84" t="n">
        <v>0.76</v>
      </c>
      <c r="AG588" s="84" t="n">
        <v>0.84</v>
      </c>
      <c r="AH588" s="84" t="n">
        <v>0</v>
      </c>
      <c r="AI588" s="84" t="n">
        <v>0</v>
      </c>
      <c r="AJ588" s="84">
        <f>SUMIFS(AH$8:AH$1039,$O$8:$O$1039,O588,$AB$8:$AB$1039,AB588,$R$8:$R$1039,R588,$AA$8:$AA$1039,"&lt;="&amp;AA588)</f>
        <v/>
      </c>
      <c r="AK588" s="84">
        <f>D60</f>
        <v/>
      </c>
      <c r="AL588" s="84">
        <f>D66</f>
        <v/>
      </c>
      <c r="AM588" s="84">
        <f>MAX(0,AJ588-AK588)</f>
        <v/>
      </c>
      <c r="AN588" s="84">
        <f>IF(AM588=0,AH588,IF(AM588&gt;=AH588,0,AH588-AM588))</f>
        <v/>
      </c>
      <c r="AO588" s="84">
        <f>IF(AM588&gt;=AH588,AI588,AI588*AM588/AH588)</f>
        <v/>
      </c>
      <c r="AP588">
        <f t="array" ref="AP588">INDEX($AU$8:$BB$25,6*(R588-1)+MATCH(AB588,$AS$8:$AS$13,0),MATCH(O588,$AU$7:$BB$7,0))</f>
        <v/>
      </c>
    </row>
    <row r="589" ht="14.25" customHeight="1">
      <c r="O589" s="43" t="inlineStr">
        <is>
          <t>Q1’27</t>
        </is>
      </c>
      <c r="P589" s="43" t="n">
        <v>2</v>
      </c>
      <c r="Q589" s="43" t="n">
        <v>11</v>
      </c>
      <c r="R589" s="43" t="n">
        <v>3</v>
      </c>
      <c r="S589" s="45" t="n">
        <v>0</v>
      </c>
      <c r="T589">
        <f>(S587+S588+S589)=R3</f>
        <v/>
      </c>
      <c r="X589" s="84">
        <f>MAX(S586-S589,0)</f>
        <v/>
      </c>
      <c r="Y589" s="83" t="n">
        <v>0</v>
      </c>
      <c r="AA589" s="84" t="n">
        <v>2</v>
      </c>
      <c r="AB589" s="84" t="inlineStr">
        <is>
          <t>E</t>
        </is>
      </c>
      <c r="AC589" s="84" t="inlineStr">
        <is>
          <t>E+</t>
        </is>
      </c>
      <c r="AD589" s="84" t="n">
        <v>20</v>
      </c>
      <c r="AE589" s="84" t="n">
        <v>19</v>
      </c>
      <c r="AF589" s="84" t="n">
        <v>0.76</v>
      </c>
      <c r="AG589" s="84" t="n">
        <v>0.84</v>
      </c>
      <c r="AH589" s="84" t="n">
        <v>0</v>
      </c>
      <c r="AI589" s="84" t="n">
        <v>0</v>
      </c>
      <c r="AJ589" s="84">
        <f>SUMIFS(AH$8:AH$1039,$O$8:$O$1039,O589,$AB$8:$AB$1039,AB589,$R$8:$R$1039,R589,$AA$8:$AA$1039,"&lt;="&amp;AA589)</f>
        <v/>
      </c>
      <c r="AK589" s="84">
        <f>E60</f>
        <v/>
      </c>
      <c r="AL589" s="84">
        <f>E66</f>
        <v/>
      </c>
      <c r="AM589" s="84">
        <f>MAX(0,AJ589-AK589)</f>
        <v/>
      </c>
      <c r="AN589" s="84">
        <f>IF(AM589=0,AH589,IF(AM589&gt;=AH589,0,AH589-AM589))</f>
        <v/>
      </c>
      <c r="AO589" s="84">
        <f>IF(AM589&gt;=AH589,AI589,AI589*AM589/AH589)</f>
        <v/>
      </c>
      <c r="AP589">
        <f t="array" ref="AP589">INDEX($AU$8:$BB$25,6*(R589-1)+MATCH(AB589,$AS$8:$AS$13,0),MATCH(O589,$AU$7:$BB$7,0))</f>
        <v/>
      </c>
    </row>
    <row r="590" ht="14.25" customHeight="1">
      <c r="O590" s="43" t="inlineStr">
        <is>
          <t>Q1’27</t>
        </is>
      </c>
      <c r="P590" s="43" t="n">
        <v>2</v>
      </c>
      <c r="Q590" s="43" t="n">
        <v>12</v>
      </c>
      <c r="R590" s="43" t="n">
        <v>1</v>
      </c>
      <c r="S590" s="45" t="n">
        <v>4349.035130245997</v>
      </c>
      <c r="T590">
        <f>(S590+S591+S592)=R3</f>
        <v/>
      </c>
      <c r="X590" s="84">
        <f>MAX(S587-S590,0)</f>
        <v/>
      </c>
      <c r="Y590" s="83" t="n">
        <v>0</v>
      </c>
      <c r="AA590" s="84" t="n">
        <v>7</v>
      </c>
      <c r="AB590" s="84" t="inlineStr">
        <is>
          <t>F</t>
        </is>
      </c>
      <c r="AC590" s="84" t="inlineStr">
        <is>
          <t>F+</t>
        </is>
      </c>
      <c r="AD590" s="84" t="n">
        <v>21</v>
      </c>
      <c r="AE590" s="84" t="n">
        <v>18</v>
      </c>
      <c r="AF590" s="84" t="n">
        <v>0.8</v>
      </c>
      <c r="AG590" s="84" t="n">
        <v>0.9</v>
      </c>
      <c r="AH590" s="84" t="n">
        <v>0</v>
      </c>
      <c r="AI590" s="84" t="n">
        <v>0</v>
      </c>
      <c r="AJ590" s="84">
        <f>SUMIFS(AH$8:AH$1039,$O$8:$O$1039,O590,$AB$8:$AB$1039,AB590,$R$8:$R$1039,R590,$AA$8:$AA$1039,"&lt;="&amp;AA590)</f>
        <v/>
      </c>
      <c r="AK590" s="84">
        <f>C61</f>
        <v/>
      </c>
      <c r="AL590" s="84">
        <f>C67</f>
        <v/>
      </c>
      <c r="AM590" s="84">
        <f>MAX(0,AJ590-AK590)</f>
        <v/>
      </c>
      <c r="AN590" s="84">
        <f>IF(AM590=0,AH590,IF(AM590&gt;=AH590,0,AH590-AM590))</f>
        <v/>
      </c>
      <c r="AO590" s="84">
        <f>IF(AM590&gt;=AH590,AI590,AI590*AM590/AH590)</f>
        <v/>
      </c>
      <c r="AP590">
        <f t="array" ref="AP590">INDEX($AU$8:$BB$25,6*(R590-1)+MATCH(AB590,$AS$8:$AS$13,0),MATCH(O590,$AU$7:$BB$7,0))</f>
        <v/>
      </c>
    </row>
    <row r="591" ht="14.25" customHeight="1">
      <c r="O591" s="43" t="inlineStr">
        <is>
          <t>Q1’27</t>
        </is>
      </c>
      <c r="P591" s="43" t="n">
        <v>2</v>
      </c>
      <c r="Q591" s="43" t="n">
        <v>12</v>
      </c>
      <c r="R591" s="43" t="n">
        <v>2</v>
      </c>
      <c r="S591" s="45" t="n">
        <v>1650.964869754003</v>
      </c>
      <c r="T591">
        <f>(S590+S591+S592)=R3</f>
        <v/>
      </c>
      <c r="X591" s="84">
        <f>MAX(S588-S591,0)</f>
        <v/>
      </c>
      <c r="Y591" s="83" t="n">
        <v>0</v>
      </c>
      <c r="AA591" s="84" t="n">
        <v>7</v>
      </c>
      <c r="AB591" s="84" t="inlineStr">
        <is>
          <t>F</t>
        </is>
      </c>
      <c r="AC591" s="84" t="inlineStr">
        <is>
          <t>F+</t>
        </is>
      </c>
      <c r="AD591" s="84" t="n">
        <v>21</v>
      </c>
      <c r="AE591" s="84" t="n">
        <v>18</v>
      </c>
      <c r="AF591" s="84" t="n">
        <v>0.8</v>
      </c>
      <c r="AG591" s="84" t="n">
        <v>0.9</v>
      </c>
      <c r="AH591" s="84" t="n">
        <v>0</v>
      </c>
      <c r="AI591" s="84" t="n">
        <v>0</v>
      </c>
      <c r="AJ591" s="84">
        <f>SUMIFS(AH$8:AH$1039,$O$8:$O$1039,O591,$AB$8:$AB$1039,AB591,$R$8:$R$1039,R591,$AA$8:$AA$1039,"&lt;="&amp;AA591)</f>
        <v/>
      </c>
      <c r="AK591" s="84">
        <f>D61</f>
        <v/>
      </c>
      <c r="AL591" s="84">
        <f>D67</f>
        <v/>
      </c>
      <c r="AM591" s="84">
        <f>MAX(0,AJ591-AK591)</f>
        <v/>
      </c>
      <c r="AN591" s="84">
        <f>IF(AM591=0,AH591,IF(AM591&gt;=AH591,0,AH591-AM591))</f>
        <v/>
      </c>
      <c r="AO591" s="84">
        <f>IF(AM591&gt;=AH591,AI591,AI591*AM591/AH591)</f>
        <v/>
      </c>
      <c r="AP591">
        <f t="array" ref="AP591">INDEX($AU$8:$BB$25,6*(R591-1)+MATCH(AB591,$AS$8:$AS$13,0),MATCH(O591,$AU$7:$BB$7,0))</f>
        <v/>
      </c>
    </row>
    <row r="592" ht="14.25" customHeight="1">
      <c r="O592" s="43" t="inlineStr">
        <is>
          <t>Q1’27</t>
        </is>
      </c>
      <c r="P592" s="43" t="n">
        <v>2</v>
      </c>
      <c r="Q592" s="43" t="n">
        <v>12</v>
      </c>
      <c r="R592" s="43" t="n">
        <v>3</v>
      </c>
      <c r="S592" s="45" t="n">
        <v>0</v>
      </c>
      <c r="T592">
        <f>(S590+S591+S592)=R3</f>
        <v/>
      </c>
      <c r="X592" s="84">
        <f>MAX(S589-S592,0)</f>
        <v/>
      </c>
      <c r="Y592" s="83" t="n">
        <v>0</v>
      </c>
      <c r="AA592" s="84" t="n">
        <v>7</v>
      </c>
      <c r="AB592" s="84" t="inlineStr">
        <is>
          <t>F</t>
        </is>
      </c>
      <c r="AC592" s="84" t="inlineStr">
        <is>
          <t>F+</t>
        </is>
      </c>
      <c r="AD592" s="84" t="n">
        <v>21</v>
      </c>
      <c r="AE592" s="84" t="n">
        <v>18</v>
      </c>
      <c r="AF592" s="84" t="n">
        <v>0.8</v>
      </c>
      <c r="AG592" s="84" t="n">
        <v>0.9</v>
      </c>
      <c r="AH592" s="84" t="n">
        <v>0</v>
      </c>
      <c r="AI592" s="84" t="n">
        <v>0</v>
      </c>
      <c r="AJ592" s="84">
        <f>SUMIFS(AH$8:AH$1039,$O$8:$O$1039,O592,$AB$8:$AB$1039,AB592,$R$8:$R$1039,R592,$AA$8:$AA$1039,"&lt;="&amp;AA592)</f>
        <v/>
      </c>
      <c r="AK592" s="84">
        <f>E61</f>
        <v/>
      </c>
      <c r="AL592" s="84">
        <f>E67</f>
        <v/>
      </c>
      <c r="AM592" s="84">
        <f>MAX(0,AJ592-AK592)</f>
        <v/>
      </c>
      <c r="AN592" s="84">
        <f>IF(AM592=0,AH592,IF(AM592&gt;=AH592,0,AH592-AM592))</f>
        <v/>
      </c>
      <c r="AO592" s="84">
        <f>IF(AM592&gt;=AH592,AI592,AI592*AM592/AH592)</f>
        <v/>
      </c>
      <c r="AP592">
        <f t="array" ref="AP592">INDEX($AU$8:$BB$25,6*(R592-1)+MATCH(AB592,$AS$8:$AS$13,0),MATCH(O592,$AU$7:$BB$7,0))</f>
        <v/>
      </c>
    </row>
    <row r="593" ht="14.25" customHeight="1">
      <c r="O593" s="43" t="inlineStr">
        <is>
          <t>Q1’27</t>
        </is>
      </c>
      <c r="P593" s="43" t="n">
        <v>2</v>
      </c>
      <c r="Q593" s="43" t="n">
        <v>13</v>
      </c>
      <c r="R593" s="43" t="n">
        <v>1</v>
      </c>
      <c r="S593" s="45" t="n">
        <v>4349.035130245997</v>
      </c>
      <c r="T593">
        <f>(S593+S594+S595)=R3</f>
        <v/>
      </c>
      <c r="X593" s="84">
        <f>MAX(S590-S593,0)</f>
        <v/>
      </c>
      <c r="Y593" s="83" t="n">
        <v>0</v>
      </c>
      <c r="AA593" s="84" t="n">
        <v>8</v>
      </c>
      <c r="AB593" s="84" t="inlineStr">
        <is>
          <t>E</t>
        </is>
      </c>
      <c r="AC593" s="84" t="inlineStr">
        <is>
          <t>E+</t>
        </is>
      </c>
      <c r="AD593" s="84" t="n">
        <v>12</v>
      </c>
      <c r="AE593" s="84" t="n">
        <v>9</v>
      </c>
      <c r="AF593" s="84" t="n">
        <v>0.76</v>
      </c>
      <c r="AG593" s="84" t="n">
        <v>0.84</v>
      </c>
      <c r="AH593" s="84" t="n">
        <v>0</v>
      </c>
      <c r="AI593" s="84" t="n">
        <v>0</v>
      </c>
      <c r="AJ593" s="84">
        <f>SUMIFS(AH$8:AH$1039,$O$8:$O$1039,O593,$AB$8:$AB$1039,AB593,$R$8:$R$1039,R593,$AA$8:$AA$1039,"&lt;="&amp;AA593)</f>
        <v/>
      </c>
      <c r="AK593" s="84">
        <f>C60</f>
        <v/>
      </c>
      <c r="AL593" s="84">
        <f>C66</f>
        <v/>
      </c>
      <c r="AM593" s="84">
        <f>MAX(0,AJ593-AK593)</f>
        <v/>
      </c>
      <c r="AN593" s="84">
        <f>IF(AM593=0,AH593,IF(AM593&gt;=AH593,0,AH593-AM593))</f>
        <v/>
      </c>
      <c r="AO593" s="84">
        <f>IF(AM593&gt;=AH593,AI593,AI593*AM593/AH593)</f>
        <v/>
      </c>
      <c r="AP593">
        <f t="array" ref="AP593">INDEX($AU$8:$BB$25,6*(R593-1)+MATCH(AB593,$AS$8:$AS$13,0),MATCH(O593,$AU$7:$BB$7,0))</f>
        <v/>
      </c>
    </row>
    <row r="594" ht="14.25" customHeight="1">
      <c r="O594" s="43" t="inlineStr">
        <is>
          <t>Q1’27</t>
        </is>
      </c>
      <c r="P594" s="43" t="n">
        <v>2</v>
      </c>
      <c r="Q594" s="43" t="n">
        <v>13</v>
      </c>
      <c r="R594" s="43" t="n">
        <v>2</v>
      </c>
      <c r="S594" s="45" t="n">
        <v>1650.964869754003</v>
      </c>
      <c r="T594">
        <f>(S593+S594+S595)=R3</f>
        <v/>
      </c>
      <c r="X594" s="84">
        <f>MAX(S591-S594,0)</f>
        <v/>
      </c>
      <c r="Y594" s="83" t="n">
        <v>0</v>
      </c>
      <c r="AA594" s="84" t="n">
        <v>8</v>
      </c>
      <c r="AB594" s="84" t="inlineStr">
        <is>
          <t>E</t>
        </is>
      </c>
      <c r="AC594" s="84" t="inlineStr">
        <is>
          <t>E+</t>
        </is>
      </c>
      <c r="AD594" s="84" t="n">
        <v>12</v>
      </c>
      <c r="AE594" s="84" t="n">
        <v>9</v>
      </c>
      <c r="AF594" s="84" t="n">
        <v>0.76</v>
      </c>
      <c r="AG594" s="84" t="n">
        <v>0.84</v>
      </c>
      <c r="AH594" s="84" t="n">
        <v>0</v>
      </c>
      <c r="AI594" s="84" t="n">
        <v>0</v>
      </c>
      <c r="AJ594" s="84">
        <f>SUMIFS(AH$8:AH$1039,$O$8:$O$1039,O594,$AB$8:$AB$1039,AB594,$R$8:$R$1039,R594,$AA$8:$AA$1039,"&lt;="&amp;AA594)</f>
        <v/>
      </c>
      <c r="AK594" s="84">
        <f>D60</f>
        <v/>
      </c>
      <c r="AL594" s="84">
        <f>D66</f>
        <v/>
      </c>
      <c r="AM594" s="84">
        <f>MAX(0,AJ594-AK594)</f>
        <v/>
      </c>
      <c r="AN594" s="84">
        <f>IF(AM594=0,AH594,IF(AM594&gt;=AH594,0,AH594-AM594))</f>
        <v/>
      </c>
      <c r="AO594" s="84">
        <f>IF(AM594&gt;=AH594,AI594,AI594*AM594/AH594)</f>
        <v/>
      </c>
      <c r="AP594">
        <f t="array" ref="AP594">INDEX($AU$8:$BB$25,6*(R594-1)+MATCH(AB594,$AS$8:$AS$13,0),MATCH(O594,$AU$7:$BB$7,0))</f>
        <v/>
      </c>
    </row>
    <row r="595" ht="14.25" customHeight="1">
      <c r="O595" s="43" t="inlineStr">
        <is>
          <t>Q1’27</t>
        </is>
      </c>
      <c r="P595" s="43" t="n">
        <v>2</v>
      </c>
      <c r="Q595" s="43" t="n">
        <v>13</v>
      </c>
      <c r="R595" s="43" t="n">
        <v>3</v>
      </c>
      <c r="S595" s="45" t="n">
        <v>0</v>
      </c>
      <c r="T595">
        <f>(S593+S594+S595)=R3</f>
        <v/>
      </c>
      <c r="X595" s="84">
        <f>MAX(S592-S595,0)</f>
        <v/>
      </c>
      <c r="Y595" s="83" t="n">
        <v>0</v>
      </c>
      <c r="AA595" s="84" t="n">
        <v>8</v>
      </c>
      <c r="AB595" s="84" t="inlineStr">
        <is>
          <t>E</t>
        </is>
      </c>
      <c r="AC595" s="84" t="inlineStr">
        <is>
          <t>E+</t>
        </is>
      </c>
      <c r="AD595" s="84" t="n">
        <v>12</v>
      </c>
      <c r="AE595" s="84" t="n">
        <v>9</v>
      </c>
      <c r="AF595" s="84" t="n">
        <v>0.76</v>
      </c>
      <c r="AG595" s="84" t="n">
        <v>0.84</v>
      </c>
      <c r="AH595" s="84" t="n">
        <v>0</v>
      </c>
      <c r="AI595" s="84" t="n">
        <v>0</v>
      </c>
      <c r="AJ595" s="84">
        <f>SUMIFS(AH$8:AH$1039,$O$8:$O$1039,O595,$AB$8:$AB$1039,AB595,$R$8:$R$1039,R595,$AA$8:$AA$1039,"&lt;="&amp;AA595)</f>
        <v/>
      </c>
      <c r="AK595" s="84">
        <f>E60</f>
        <v/>
      </c>
      <c r="AL595" s="84">
        <f>E66</f>
        <v/>
      </c>
      <c r="AM595" s="84">
        <f>MAX(0,AJ595-AK595)</f>
        <v/>
      </c>
      <c r="AN595" s="84">
        <f>IF(AM595=0,AH595,IF(AM595&gt;=AH595,0,AH595-AM595))</f>
        <v/>
      </c>
      <c r="AO595" s="84">
        <f>IF(AM595&gt;=AH595,AI595,AI595*AM595/AH595)</f>
        <v/>
      </c>
      <c r="AP595">
        <f t="array" ref="AP595">INDEX($AU$8:$BB$25,6*(R595-1)+MATCH(AB595,$AS$8:$AS$13,0),MATCH(O595,$AU$7:$BB$7,0))</f>
        <v/>
      </c>
    </row>
    <row r="596" ht="14.25" customHeight="1">
      <c r="O596" s="43" t="inlineStr">
        <is>
          <t>Q1’27</t>
        </is>
      </c>
      <c r="P596" s="43" t="n">
        <v>2</v>
      </c>
      <c r="Q596" s="43" t="n">
        <v>14</v>
      </c>
      <c r="R596" s="43" t="n">
        <v>1</v>
      </c>
      <c r="S596" s="45" t="n">
        <v>4349.035130245997</v>
      </c>
      <c r="T596">
        <f>(S596+S597+S598)=R3</f>
        <v/>
      </c>
      <c r="X596" s="84">
        <f>MAX(S593-S596,0)</f>
        <v/>
      </c>
      <c r="Y596" s="83" t="n">
        <v>0</v>
      </c>
      <c r="AA596" s="84" t="n">
        <v>5</v>
      </c>
      <c r="AB596" s="84" t="inlineStr">
        <is>
          <t>E</t>
        </is>
      </c>
      <c r="AC596" s="84" t="inlineStr">
        <is>
          <t>E+</t>
        </is>
      </c>
      <c r="AD596" s="84" t="n">
        <v>15</v>
      </c>
      <c r="AE596" s="84" t="n">
        <v>12</v>
      </c>
      <c r="AF596" s="84" t="n">
        <v>0.76</v>
      </c>
      <c r="AG596" s="84" t="n">
        <v>0.84</v>
      </c>
      <c r="AH596" s="84" t="n">
        <v>0</v>
      </c>
      <c r="AI596" s="84" t="n">
        <v>0</v>
      </c>
      <c r="AJ596" s="84">
        <f>SUMIFS(AH$8:AH$1039,$O$8:$O$1039,O596,$AB$8:$AB$1039,AB596,$R$8:$R$1039,R596,$AA$8:$AA$1039,"&lt;="&amp;AA596)</f>
        <v/>
      </c>
      <c r="AK596" s="84">
        <f>C60</f>
        <v/>
      </c>
      <c r="AL596" s="84">
        <f>C66</f>
        <v/>
      </c>
      <c r="AM596" s="84">
        <f>MAX(0,AJ596-AK596)</f>
        <v/>
      </c>
      <c r="AN596" s="84">
        <f>IF(AM596=0,AH596,IF(AM596&gt;=AH596,0,AH596-AM596))</f>
        <v/>
      </c>
      <c r="AO596" s="84">
        <f>IF(AM596&gt;=AH596,AI596,AI596*AM596/AH596)</f>
        <v/>
      </c>
      <c r="AP596">
        <f t="array" ref="AP596">INDEX($AU$8:$BB$25,6*(R596-1)+MATCH(AB596,$AS$8:$AS$13,0),MATCH(O596,$AU$7:$BB$7,0))</f>
        <v/>
      </c>
    </row>
    <row r="597" ht="14.25" customHeight="1">
      <c r="O597" s="43" t="inlineStr">
        <is>
          <t>Q1’27</t>
        </is>
      </c>
      <c r="P597" s="43" t="n">
        <v>2</v>
      </c>
      <c r="Q597" s="43" t="n">
        <v>14</v>
      </c>
      <c r="R597" s="43" t="n">
        <v>2</v>
      </c>
      <c r="S597" s="45" t="n">
        <v>1650.964869754003</v>
      </c>
      <c r="T597">
        <f>(S596+S597+S598)=R3</f>
        <v/>
      </c>
      <c r="X597" s="84">
        <f>MAX(S594-S597,0)</f>
        <v/>
      </c>
      <c r="Y597" s="83" t="n">
        <v>0</v>
      </c>
      <c r="AA597" s="84" t="n">
        <v>5</v>
      </c>
      <c r="AB597" s="84" t="inlineStr">
        <is>
          <t>E</t>
        </is>
      </c>
      <c r="AC597" s="84" t="inlineStr">
        <is>
          <t>E+</t>
        </is>
      </c>
      <c r="AD597" s="84" t="n">
        <v>15</v>
      </c>
      <c r="AE597" s="84" t="n">
        <v>12</v>
      </c>
      <c r="AF597" s="84" t="n">
        <v>0.76</v>
      </c>
      <c r="AG597" s="84" t="n">
        <v>0.84</v>
      </c>
      <c r="AH597" s="84" t="n">
        <v>0</v>
      </c>
      <c r="AI597" s="84" t="n">
        <v>0</v>
      </c>
      <c r="AJ597" s="84">
        <f>SUMIFS(AH$8:AH$1039,$O$8:$O$1039,O597,$AB$8:$AB$1039,AB597,$R$8:$R$1039,R597,$AA$8:$AA$1039,"&lt;="&amp;AA597)</f>
        <v/>
      </c>
      <c r="AK597" s="84">
        <f>D60</f>
        <v/>
      </c>
      <c r="AL597" s="84">
        <f>D66</f>
        <v/>
      </c>
      <c r="AM597" s="84">
        <f>MAX(0,AJ597-AK597)</f>
        <v/>
      </c>
      <c r="AN597" s="84">
        <f>IF(AM597=0,AH597,IF(AM597&gt;=AH597,0,AH597-AM597))</f>
        <v/>
      </c>
      <c r="AO597" s="84">
        <f>IF(AM597&gt;=AH597,AI597,AI597*AM597/AH597)</f>
        <v/>
      </c>
      <c r="AP597">
        <f t="array" ref="AP597">INDEX($AU$8:$BB$25,6*(R597-1)+MATCH(AB597,$AS$8:$AS$13,0),MATCH(O597,$AU$7:$BB$7,0))</f>
        <v/>
      </c>
    </row>
    <row r="598" ht="14.25" customHeight="1">
      <c r="O598" s="43" t="inlineStr">
        <is>
          <t>Q1’27</t>
        </is>
      </c>
      <c r="P598" s="43" t="n">
        <v>2</v>
      </c>
      <c r="Q598" s="43" t="n">
        <v>14</v>
      </c>
      <c r="R598" s="43" t="n">
        <v>3</v>
      </c>
      <c r="S598" s="45" t="n">
        <v>0</v>
      </c>
      <c r="T598">
        <f>(S596+S597+S598)=R3</f>
        <v/>
      </c>
      <c r="X598" s="84">
        <f>MAX(S595-S598,0)</f>
        <v/>
      </c>
      <c r="Y598" s="83" t="n">
        <v>0</v>
      </c>
      <c r="AA598" s="84" t="n">
        <v>5</v>
      </c>
      <c r="AB598" s="84" t="inlineStr">
        <is>
          <t>E</t>
        </is>
      </c>
      <c r="AC598" s="84" t="inlineStr">
        <is>
          <t>E+</t>
        </is>
      </c>
      <c r="AD598" s="84" t="n">
        <v>15</v>
      </c>
      <c r="AE598" s="84" t="n">
        <v>12</v>
      </c>
      <c r="AF598" s="84" t="n">
        <v>0.76</v>
      </c>
      <c r="AG598" s="84" t="n">
        <v>0.84</v>
      </c>
      <c r="AH598" s="84" t="n">
        <v>0</v>
      </c>
      <c r="AI598" s="84" t="n">
        <v>0</v>
      </c>
      <c r="AJ598" s="84">
        <f>SUMIFS(AH$8:AH$1039,$O$8:$O$1039,O598,$AB$8:$AB$1039,AB598,$R$8:$R$1039,R598,$AA$8:$AA$1039,"&lt;="&amp;AA598)</f>
        <v/>
      </c>
      <c r="AK598" s="84">
        <f>E60</f>
        <v/>
      </c>
      <c r="AL598" s="84">
        <f>E66</f>
        <v/>
      </c>
      <c r="AM598" s="84">
        <f>MAX(0,AJ598-AK598)</f>
        <v/>
      </c>
      <c r="AN598" s="84">
        <f>IF(AM598=0,AH598,IF(AM598&gt;=AH598,0,AH598-AM598))</f>
        <v/>
      </c>
      <c r="AO598" s="84">
        <f>IF(AM598&gt;=AH598,AI598,AI598*AM598/AH598)</f>
        <v/>
      </c>
      <c r="AP598">
        <f t="array" ref="AP598">INDEX($AU$8:$BB$25,6*(R598-1)+MATCH(AB598,$AS$8:$AS$13,0),MATCH(O598,$AU$7:$BB$7,0))</f>
        <v/>
      </c>
    </row>
    <row r="599" ht="14.25" customHeight="1">
      <c r="O599" s="43" t="inlineStr">
        <is>
          <t>Q1’27</t>
        </is>
      </c>
      <c r="P599" s="43" t="n">
        <v>2</v>
      </c>
      <c r="Q599" s="43" t="n">
        <v>15</v>
      </c>
      <c r="R599" s="43" t="n">
        <v>1</v>
      </c>
      <c r="S599" s="45" t="n">
        <v>4349.035130245997</v>
      </c>
      <c r="T599">
        <f>(S599+S600+S601)=R3</f>
        <v/>
      </c>
      <c r="X599" s="84">
        <f>MAX(S596-S599,0)</f>
        <v/>
      </c>
      <c r="Y599" s="83" t="n">
        <v>0</v>
      </c>
      <c r="AA599" s="84" t="n">
        <v>7</v>
      </c>
      <c r="AB599" s="84" t="inlineStr">
        <is>
          <t>E</t>
        </is>
      </c>
      <c r="AC599" s="84" t="inlineStr">
        <is>
          <t>E+</t>
        </is>
      </c>
      <c r="AD599" s="84" t="n">
        <v>13</v>
      </c>
      <c r="AE599" s="84" t="n">
        <v>10</v>
      </c>
      <c r="AF599" s="84" t="n">
        <v>0.76</v>
      </c>
      <c r="AG599" s="84" t="n">
        <v>0.84</v>
      </c>
      <c r="AH599" s="84" t="n">
        <v>0</v>
      </c>
      <c r="AI599" s="84" t="n">
        <v>0</v>
      </c>
      <c r="AJ599" s="84">
        <f>SUMIFS(AH$8:AH$1039,$O$8:$O$1039,O599,$AB$8:$AB$1039,AB599,$R$8:$R$1039,R599,$AA$8:$AA$1039,"&lt;="&amp;AA599)</f>
        <v/>
      </c>
      <c r="AK599" s="84">
        <f>C60</f>
        <v/>
      </c>
      <c r="AL599" s="84">
        <f>C66</f>
        <v/>
      </c>
      <c r="AM599" s="84">
        <f>MAX(0,AJ599-AK599)</f>
        <v/>
      </c>
      <c r="AN599" s="84">
        <f>IF(AM599=0,AH599,IF(AM599&gt;=AH599,0,AH599-AM599))</f>
        <v/>
      </c>
      <c r="AO599" s="84">
        <f>IF(AM599&gt;=AH599,AI599,AI599*AM599/AH599)</f>
        <v/>
      </c>
      <c r="AP599">
        <f t="array" ref="AP599">INDEX($AU$8:$BB$25,6*(R599-1)+MATCH(AB599,$AS$8:$AS$13,0),MATCH(O599,$AU$7:$BB$7,0))</f>
        <v/>
      </c>
    </row>
    <row r="600" ht="14.25" customHeight="1">
      <c r="O600" s="43" t="inlineStr">
        <is>
          <t>Q1’27</t>
        </is>
      </c>
      <c r="P600" s="43" t="n">
        <v>2</v>
      </c>
      <c r="Q600" s="43" t="n">
        <v>15</v>
      </c>
      <c r="R600" s="43" t="n">
        <v>2</v>
      </c>
      <c r="S600" s="45" t="n">
        <v>1650.964869754003</v>
      </c>
      <c r="T600">
        <f>(S599+S600+S601)=R3</f>
        <v/>
      </c>
      <c r="X600" s="84">
        <f>MAX(S597-S600,0)</f>
        <v/>
      </c>
      <c r="Y600" s="83" t="n">
        <v>0</v>
      </c>
      <c r="AA600" s="84" t="n">
        <v>7</v>
      </c>
      <c r="AB600" s="84" t="inlineStr">
        <is>
          <t>E</t>
        </is>
      </c>
      <c r="AC600" s="84" t="inlineStr">
        <is>
          <t>E+</t>
        </is>
      </c>
      <c r="AD600" s="84" t="n">
        <v>13</v>
      </c>
      <c r="AE600" s="84" t="n">
        <v>10</v>
      </c>
      <c r="AF600" s="84" t="n">
        <v>0.76</v>
      </c>
      <c r="AG600" s="84" t="n">
        <v>0.84</v>
      </c>
      <c r="AH600" s="84" t="n">
        <v>0</v>
      </c>
      <c r="AI600" s="84" t="n">
        <v>0</v>
      </c>
      <c r="AJ600" s="84">
        <f>SUMIFS(AH$8:AH$1039,$O$8:$O$1039,O600,$AB$8:$AB$1039,AB600,$R$8:$R$1039,R600,$AA$8:$AA$1039,"&lt;="&amp;AA600)</f>
        <v/>
      </c>
      <c r="AK600" s="84">
        <f>D60</f>
        <v/>
      </c>
      <c r="AL600" s="84">
        <f>D66</f>
        <v/>
      </c>
      <c r="AM600" s="84">
        <f>MAX(0,AJ600-AK600)</f>
        <v/>
      </c>
      <c r="AN600" s="84">
        <f>IF(AM600=0,AH600,IF(AM600&gt;=AH600,0,AH600-AM600))</f>
        <v/>
      </c>
      <c r="AO600" s="84">
        <f>IF(AM600&gt;=AH600,AI600,AI600*AM600/AH600)</f>
        <v/>
      </c>
      <c r="AP600">
        <f t="array" ref="AP600">INDEX($AU$8:$BB$25,6*(R600-1)+MATCH(AB600,$AS$8:$AS$13,0),MATCH(O600,$AU$7:$BB$7,0))</f>
        <v/>
      </c>
    </row>
    <row r="601" ht="14.25" customHeight="1">
      <c r="O601" s="43" t="inlineStr">
        <is>
          <t>Q1’27</t>
        </is>
      </c>
      <c r="P601" s="43" t="n">
        <v>2</v>
      </c>
      <c r="Q601" s="43" t="n">
        <v>15</v>
      </c>
      <c r="R601" s="43" t="n">
        <v>3</v>
      </c>
      <c r="S601" s="45" t="n">
        <v>0</v>
      </c>
      <c r="T601">
        <f>(S599+S600+S601)=R3</f>
        <v/>
      </c>
      <c r="X601" s="84">
        <f>MAX(S598-S601,0)</f>
        <v/>
      </c>
      <c r="Y601" s="83" t="n">
        <v>0</v>
      </c>
      <c r="AA601" s="84" t="n">
        <v>7</v>
      </c>
      <c r="AB601" s="84" t="inlineStr">
        <is>
          <t>E</t>
        </is>
      </c>
      <c r="AC601" s="84" t="inlineStr">
        <is>
          <t>E+</t>
        </is>
      </c>
      <c r="AD601" s="84" t="n">
        <v>13</v>
      </c>
      <c r="AE601" s="84" t="n">
        <v>10</v>
      </c>
      <c r="AF601" s="84" t="n">
        <v>0.76</v>
      </c>
      <c r="AG601" s="84" t="n">
        <v>0.84</v>
      </c>
      <c r="AH601" s="84" t="n">
        <v>0</v>
      </c>
      <c r="AI601" s="84" t="n">
        <v>0</v>
      </c>
      <c r="AJ601" s="84">
        <f>SUMIFS(AH$8:AH$1039,$O$8:$O$1039,O601,$AB$8:$AB$1039,AB601,$R$8:$R$1039,R601,$AA$8:$AA$1039,"&lt;="&amp;AA601)</f>
        <v/>
      </c>
      <c r="AK601" s="84">
        <f>E60</f>
        <v/>
      </c>
      <c r="AL601" s="84">
        <f>E66</f>
        <v/>
      </c>
      <c r="AM601" s="84">
        <f>MAX(0,AJ601-AK601)</f>
        <v/>
      </c>
      <c r="AN601" s="84">
        <f>IF(AM601=0,AH601,IF(AM601&gt;=AH601,0,AH601-AM601))</f>
        <v/>
      </c>
      <c r="AO601" s="84">
        <f>IF(AM601&gt;=AH601,AI601,AI601*AM601/AH601)</f>
        <v/>
      </c>
      <c r="AP601">
        <f t="array" ref="AP601">INDEX($AU$8:$BB$25,6*(R601-1)+MATCH(AB601,$AS$8:$AS$13,0),MATCH(O601,$AU$7:$BB$7,0))</f>
        <v/>
      </c>
    </row>
    <row r="602" ht="14.25" customHeight="1">
      <c r="O602" s="43" t="inlineStr">
        <is>
          <t>Q1’27</t>
        </is>
      </c>
      <c r="P602" s="43" t="n">
        <v>3</v>
      </c>
      <c r="Q602" s="43" t="n">
        <v>1</v>
      </c>
      <c r="R602" s="43" t="n">
        <v>1</v>
      </c>
      <c r="S602" s="45" t="n">
        <v>2141.703529411765</v>
      </c>
      <c r="T602">
        <f>(S602+S603+S604)=R4</f>
        <v/>
      </c>
      <c r="X602" s="84" t="n">
        <v>0</v>
      </c>
      <c r="Y602" s="83" t="n">
        <v>0</v>
      </c>
      <c r="AA602" s="84" t="n">
        <v>1</v>
      </c>
      <c r="AB602" s="84" t="inlineStr">
        <is>
          <t>C</t>
        </is>
      </c>
      <c r="AC602" s="84" t="inlineStr">
        <is>
          <t>C+</t>
        </is>
      </c>
      <c r="AD602" s="84" t="n">
        <v>21</v>
      </c>
      <c r="AE602" s="84" t="n">
        <v>20</v>
      </c>
      <c r="AF602" s="84" t="n">
        <v>0.8</v>
      </c>
      <c r="AG602" s="84" t="n">
        <v>0.86</v>
      </c>
      <c r="AH602" s="84" t="n">
        <v>0</v>
      </c>
      <c r="AI602" s="84" t="n">
        <v>0</v>
      </c>
      <c r="AJ602" s="84">
        <f>SUMIFS(AH$8:AH$1039,$O$8:$O$1039,O602,$AB$8:$AB$1039,AB602,$R$8:$R$1039,R602,$AA$8:$AA$1039,"&lt;="&amp;AA602)</f>
        <v/>
      </c>
      <c r="AK602" s="84">
        <f>C58</f>
        <v/>
      </c>
      <c r="AL602" s="84">
        <f>C64</f>
        <v/>
      </c>
      <c r="AM602" s="84">
        <f>MAX(0,AJ602-AK602)</f>
        <v/>
      </c>
      <c r="AN602" s="84">
        <f>IF(AM602=0,AH602,IF(AM602&gt;=AH602,0,AH602-AM602))</f>
        <v/>
      </c>
      <c r="AO602" s="84">
        <f>IF(AM602&gt;=AH602,AI602,AI602*AM602/AH602)</f>
        <v/>
      </c>
      <c r="AP602">
        <f t="array" ref="AP602">INDEX($AU$8:$BB$25,6*(R602-1)+MATCH(AB602,$AS$8:$AS$13,0),MATCH(O602,$AU$7:$BB$7,0))</f>
        <v/>
      </c>
    </row>
    <row r="603" ht="14.25" customHeight="1">
      <c r="O603" s="43" t="inlineStr">
        <is>
          <t>Q1’27</t>
        </is>
      </c>
      <c r="P603" s="43" t="n">
        <v>3</v>
      </c>
      <c r="Q603" s="43" t="n">
        <v>1</v>
      </c>
      <c r="R603" s="43" t="n">
        <v>2</v>
      </c>
      <c r="S603" s="45" t="n">
        <v>2950.448963256856</v>
      </c>
      <c r="T603">
        <f>(S602+S603+S604)=R4</f>
        <v/>
      </c>
      <c r="X603" s="84" t="n">
        <v>0</v>
      </c>
      <c r="Y603" s="83" t="n">
        <v>0</v>
      </c>
      <c r="AA603" s="84" t="n">
        <v>1</v>
      </c>
      <c r="AB603" s="84" t="inlineStr">
        <is>
          <t>C</t>
        </is>
      </c>
      <c r="AC603" s="84" t="inlineStr">
        <is>
          <t>C+</t>
        </is>
      </c>
      <c r="AD603" s="84" t="n">
        <v>21</v>
      </c>
      <c r="AE603" s="84" t="n">
        <v>20</v>
      </c>
      <c r="AF603" s="84" t="n">
        <v>0.8</v>
      </c>
      <c r="AG603" s="84" t="n">
        <v>0.86</v>
      </c>
      <c r="AH603" s="84" t="n">
        <v>0</v>
      </c>
      <c r="AI603" s="84" t="n">
        <v>0</v>
      </c>
      <c r="AJ603" s="84">
        <f>SUMIFS(AH$8:AH$1039,$O$8:$O$1039,O603,$AB$8:$AB$1039,AB603,$R$8:$R$1039,R603,$AA$8:$AA$1039,"&lt;="&amp;AA603)</f>
        <v/>
      </c>
      <c r="AK603" s="84">
        <f>D58</f>
        <v/>
      </c>
      <c r="AL603" s="84">
        <f>D64</f>
        <v/>
      </c>
      <c r="AM603" s="84">
        <f>MAX(0,AJ603-AK603)</f>
        <v/>
      </c>
      <c r="AN603" s="84">
        <f>IF(AM603=0,AH603,IF(AM603&gt;=AH603,0,AH603-AM603))</f>
        <v/>
      </c>
      <c r="AO603" s="84">
        <f>IF(AM603&gt;=AH603,AI603,AI603*AM603/AH603)</f>
        <v/>
      </c>
      <c r="AP603">
        <f t="array" ref="AP603">INDEX($AU$8:$BB$25,6*(R603-1)+MATCH(AB603,$AS$8:$AS$13,0),MATCH(O603,$AU$7:$BB$7,0))</f>
        <v/>
      </c>
    </row>
    <row r="604" ht="14.25" customHeight="1">
      <c r="O604" s="43" t="inlineStr">
        <is>
          <t>Q1’27</t>
        </is>
      </c>
      <c r="P604" s="43" t="n">
        <v>3</v>
      </c>
      <c r="Q604" s="43" t="n">
        <v>1</v>
      </c>
      <c r="R604" s="43" t="n">
        <v>3</v>
      </c>
      <c r="S604" s="45" t="n">
        <v>3907.847507331378</v>
      </c>
      <c r="T604">
        <f>(S602+S603+S604)=R4</f>
        <v/>
      </c>
      <c r="X604" s="84" t="n">
        <v>0</v>
      </c>
      <c r="Y604" s="83" t="n">
        <v>0</v>
      </c>
      <c r="AA604" s="84" t="n">
        <v>1</v>
      </c>
      <c r="AB604" s="84" t="inlineStr">
        <is>
          <t>C</t>
        </is>
      </c>
      <c r="AC604" s="84" t="inlineStr">
        <is>
          <t>C+</t>
        </is>
      </c>
      <c r="AD604" s="84" t="n">
        <v>21</v>
      </c>
      <c r="AE604" s="84" t="n">
        <v>20</v>
      </c>
      <c r="AF604" s="84" t="n">
        <v>0.8</v>
      </c>
      <c r="AG604" s="84" t="n">
        <v>0.86</v>
      </c>
      <c r="AH604" s="84" t="n">
        <v>0</v>
      </c>
      <c r="AI604" s="84" t="n">
        <v>0</v>
      </c>
      <c r="AJ604" s="84">
        <f>SUMIFS(AH$8:AH$1039,$O$8:$O$1039,O604,$AB$8:$AB$1039,AB604,$R$8:$R$1039,R604,$AA$8:$AA$1039,"&lt;="&amp;AA604)</f>
        <v/>
      </c>
      <c r="AK604" s="84">
        <f>E58</f>
        <v/>
      </c>
      <c r="AL604" s="84">
        <f>E64</f>
        <v/>
      </c>
      <c r="AM604" s="84">
        <f>MAX(0,AJ604-AK604)</f>
        <v/>
      </c>
      <c r="AN604" s="84">
        <f>IF(AM604=0,AH604,IF(AM604&gt;=AH604,0,AH604-AM604))</f>
        <v/>
      </c>
      <c r="AO604" s="84">
        <f>IF(AM604&gt;=AH604,AI604,AI604*AM604/AH604)</f>
        <v/>
      </c>
      <c r="AP604">
        <f t="array" ref="AP604">INDEX($AU$8:$BB$25,6*(R604-1)+MATCH(AB604,$AS$8:$AS$13,0),MATCH(O604,$AU$7:$BB$7,0))</f>
        <v/>
      </c>
    </row>
    <row r="605" ht="14.25" customHeight="1">
      <c r="O605" s="43" t="inlineStr">
        <is>
          <t>Q1’27</t>
        </is>
      </c>
      <c r="P605" s="43" t="n">
        <v>3</v>
      </c>
      <c r="Q605" s="43" t="n">
        <v>2</v>
      </c>
      <c r="R605" s="43" t="n">
        <v>1</v>
      </c>
      <c r="S605" s="45" t="n">
        <v>2141.703529411765</v>
      </c>
      <c r="T605">
        <f>(S605+S606+S607)=R4</f>
        <v/>
      </c>
      <c r="X605" s="84">
        <f>MAX(S602-S605,0)</f>
        <v/>
      </c>
      <c r="Y605" s="83" t="n">
        <v>0</v>
      </c>
      <c r="AA605" s="84" t="n">
        <v>8</v>
      </c>
      <c r="AB605" s="84" t="inlineStr">
        <is>
          <t>D</t>
        </is>
      </c>
      <c r="AC605" s="84" t="inlineStr">
        <is>
          <t>D+</t>
        </is>
      </c>
      <c r="AD605" s="84" t="n">
        <v>9</v>
      </c>
      <c r="AE605" s="84" t="n">
        <v>7</v>
      </c>
      <c r="AF605" s="84" t="n">
        <v>0.8</v>
      </c>
      <c r="AG605" s="84" t="n">
        <v>0.88</v>
      </c>
      <c r="AH605" s="84" t="n">
        <v>0</v>
      </c>
      <c r="AI605" s="84" t="n">
        <v>0</v>
      </c>
      <c r="AJ605" s="84">
        <f>SUMIFS(AH$8:AH$1039,$O$8:$O$1039,O605,$AB$8:$AB$1039,AB605,$R$8:$R$1039,R605,$AA$8:$AA$1039,"&lt;="&amp;AA605)</f>
        <v/>
      </c>
      <c r="AK605" s="84">
        <f>C59</f>
        <v/>
      </c>
      <c r="AL605" s="84">
        <f>C65</f>
        <v/>
      </c>
      <c r="AM605" s="84">
        <f>MAX(0,AJ605-AK605)</f>
        <v/>
      </c>
      <c r="AN605" s="84">
        <f>IF(AM605=0,AH605,IF(AM605&gt;=AH605,0,AH605-AM605))</f>
        <v/>
      </c>
      <c r="AO605" s="84">
        <f>IF(AM605&gt;=AH605,AI605,AI605*AM605/AH605)</f>
        <v/>
      </c>
      <c r="AP605">
        <f t="array" ref="AP605">INDEX($AU$8:$BB$25,6*(R605-1)+MATCH(AB605,$AS$8:$AS$13,0),MATCH(O605,$AU$7:$BB$7,0))</f>
        <v/>
      </c>
    </row>
    <row r="606" ht="14.25" customHeight="1">
      <c r="O606" s="43" t="inlineStr">
        <is>
          <t>Q1’27</t>
        </is>
      </c>
      <c r="P606" s="43" t="n">
        <v>3</v>
      </c>
      <c r="Q606" s="43" t="n">
        <v>2</v>
      </c>
      <c r="R606" s="43" t="n">
        <v>2</v>
      </c>
      <c r="S606" s="45" t="n">
        <v>2950.448963256856</v>
      </c>
      <c r="T606">
        <f>(S605+S606+S607)=R4</f>
        <v/>
      </c>
      <c r="X606" s="84">
        <f>MAX(S603-S606,0)</f>
        <v/>
      </c>
      <c r="Y606" s="83" t="n">
        <v>0</v>
      </c>
      <c r="AA606" s="84" t="n">
        <v>8</v>
      </c>
      <c r="AB606" s="84" t="inlineStr">
        <is>
          <t>D</t>
        </is>
      </c>
      <c r="AC606" s="84" t="inlineStr">
        <is>
          <t>D+</t>
        </is>
      </c>
      <c r="AD606" s="84" t="n">
        <v>9</v>
      </c>
      <c r="AE606" s="84" t="n">
        <v>7</v>
      </c>
      <c r="AF606" s="84" t="n">
        <v>0.8</v>
      </c>
      <c r="AG606" s="84" t="n">
        <v>0.88</v>
      </c>
      <c r="AH606" s="84" t="n">
        <v>0</v>
      </c>
      <c r="AI606" s="84" t="n">
        <v>0</v>
      </c>
      <c r="AJ606" s="84">
        <f>SUMIFS(AH$8:AH$1039,$O$8:$O$1039,O606,$AB$8:$AB$1039,AB606,$R$8:$R$1039,R606,$AA$8:$AA$1039,"&lt;="&amp;AA606)</f>
        <v/>
      </c>
      <c r="AK606" s="84">
        <f>D59</f>
        <v/>
      </c>
      <c r="AL606" s="84">
        <f>D65</f>
        <v/>
      </c>
      <c r="AM606" s="84">
        <f>MAX(0,AJ606-AK606)</f>
        <v/>
      </c>
      <c r="AN606" s="84">
        <f>IF(AM606=0,AH606,IF(AM606&gt;=AH606,0,AH606-AM606))</f>
        <v/>
      </c>
      <c r="AO606" s="84">
        <f>IF(AM606&gt;=AH606,AI606,AI606*AM606/AH606)</f>
        <v/>
      </c>
      <c r="AP606">
        <f t="array" ref="AP606">INDEX($AU$8:$BB$25,6*(R606-1)+MATCH(AB606,$AS$8:$AS$13,0),MATCH(O606,$AU$7:$BB$7,0))</f>
        <v/>
      </c>
    </row>
    <row r="607" ht="14.25" customHeight="1">
      <c r="O607" s="43" t="inlineStr">
        <is>
          <t>Q1’27</t>
        </is>
      </c>
      <c r="P607" s="43" t="n">
        <v>3</v>
      </c>
      <c r="Q607" s="43" t="n">
        <v>2</v>
      </c>
      <c r="R607" s="43" t="n">
        <v>3</v>
      </c>
      <c r="S607" s="45" t="n">
        <v>3907.847507331378</v>
      </c>
      <c r="T607">
        <f>(S605+S606+S607)=R4</f>
        <v/>
      </c>
      <c r="X607" s="84">
        <f>MAX(S604-S607,0)</f>
        <v/>
      </c>
      <c r="Y607" s="83" t="n">
        <v>0</v>
      </c>
      <c r="AA607" s="84" t="n">
        <v>8</v>
      </c>
      <c r="AB607" s="84" t="inlineStr">
        <is>
          <t>D</t>
        </is>
      </c>
      <c r="AC607" s="84" t="inlineStr">
        <is>
          <t>D+</t>
        </is>
      </c>
      <c r="AD607" s="84" t="n">
        <v>9</v>
      </c>
      <c r="AE607" s="84" t="n">
        <v>7</v>
      </c>
      <c r="AF607" s="84" t="n">
        <v>0.8</v>
      </c>
      <c r="AG607" s="84" t="n">
        <v>0.88</v>
      </c>
      <c r="AH607" s="84" t="n">
        <v>0</v>
      </c>
      <c r="AI607" s="84" t="n">
        <v>0</v>
      </c>
      <c r="AJ607" s="84">
        <f>SUMIFS(AH$8:AH$1039,$O$8:$O$1039,O607,$AB$8:$AB$1039,AB607,$R$8:$R$1039,R607,$AA$8:$AA$1039,"&lt;="&amp;AA607)</f>
        <v/>
      </c>
      <c r="AK607" s="84">
        <f>E59</f>
        <v/>
      </c>
      <c r="AL607" s="84">
        <f>E65</f>
        <v/>
      </c>
      <c r="AM607" s="84">
        <f>MAX(0,AJ607-AK607)</f>
        <v/>
      </c>
      <c r="AN607" s="84">
        <f>IF(AM607=0,AH607,IF(AM607&gt;=AH607,0,AH607-AM607))</f>
        <v/>
      </c>
      <c r="AO607" s="84">
        <f>IF(AM607&gt;=AH607,AI607,AI607*AM607/AH607)</f>
        <v/>
      </c>
      <c r="AP607">
        <f t="array" ref="AP607">INDEX($AU$8:$BB$25,6*(R607-1)+MATCH(AB607,$AS$8:$AS$13,0),MATCH(O607,$AU$7:$BB$7,0))</f>
        <v/>
      </c>
    </row>
    <row r="608" ht="14.25" customHeight="1">
      <c r="O608" s="43" t="inlineStr">
        <is>
          <t>Q1’27</t>
        </is>
      </c>
      <c r="P608" s="43" t="n">
        <v>3</v>
      </c>
      <c r="Q608" s="43" t="n">
        <v>3</v>
      </c>
      <c r="R608" s="43" t="n">
        <v>1</v>
      </c>
      <c r="S608" s="45" t="n">
        <v>2141.703529411765</v>
      </c>
      <c r="T608">
        <f>(S608+S609+S610)=R4</f>
        <v/>
      </c>
      <c r="X608" s="84">
        <f>MAX(S605-S608,0)</f>
        <v/>
      </c>
      <c r="Y608" s="83" t="n">
        <v>0</v>
      </c>
      <c r="AA608" s="84" t="n">
        <v>1</v>
      </c>
      <c r="AB608" s="84" t="inlineStr">
        <is>
          <t>E</t>
        </is>
      </c>
      <c r="AC608" s="84" t="inlineStr">
        <is>
          <t>E+</t>
        </is>
      </c>
      <c r="AD608" s="84" t="n">
        <v>24</v>
      </c>
      <c r="AE608" s="84" t="n">
        <v>23</v>
      </c>
      <c r="AF608" s="84" t="n">
        <v>0.76</v>
      </c>
      <c r="AG608" s="84" t="n">
        <v>0.84</v>
      </c>
      <c r="AH608" s="84" t="n">
        <v>0</v>
      </c>
      <c r="AI608" s="84" t="n">
        <v>0</v>
      </c>
      <c r="AJ608" s="84">
        <f>SUMIFS(AH$8:AH$1039,$O$8:$O$1039,O608,$AB$8:$AB$1039,AB608,$R$8:$R$1039,R608,$AA$8:$AA$1039,"&lt;="&amp;AA608)</f>
        <v/>
      </c>
      <c r="AK608" s="84">
        <f>C60</f>
        <v/>
      </c>
      <c r="AL608" s="84">
        <f>C66</f>
        <v/>
      </c>
      <c r="AM608" s="84">
        <f>MAX(0,AJ608-AK608)</f>
        <v/>
      </c>
      <c r="AN608" s="84">
        <f>IF(AM608=0,AH608,IF(AM608&gt;=AH608,0,AH608-AM608))</f>
        <v/>
      </c>
      <c r="AO608" s="84">
        <f>IF(AM608&gt;=AH608,AI608,AI608*AM608/AH608)</f>
        <v/>
      </c>
      <c r="AP608">
        <f t="array" ref="AP608">INDEX($AU$8:$BB$25,6*(R608-1)+MATCH(AB608,$AS$8:$AS$13,0),MATCH(O608,$AU$7:$BB$7,0))</f>
        <v/>
      </c>
    </row>
    <row r="609" ht="14.25" customHeight="1">
      <c r="O609" s="43" t="inlineStr">
        <is>
          <t>Q1’27</t>
        </is>
      </c>
      <c r="P609" s="43" t="n">
        <v>3</v>
      </c>
      <c r="Q609" s="43" t="n">
        <v>3</v>
      </c>
      <c r="R609" s="43" t="n">
        <v>2</v>
      </c>
      <c r="S609" s="45" t="n">
        <v>2950.448963256856</v>
      </c>
      <c r="T609">
        <f>(S608+S609+S610)=R4</f>
        <v/>
      </c>
      <c r="X609" s="84">
        <f>MAX(S606-S609,0)</f>
        <v/>
      </c>
      <c r="Y609" s="83" t="n">
        <v>0</v>
      </c>
      <c r="AA609" s="84" t="n">
        <v>1</v>
      </c>
      <c r="AB609" s="84" t="inlineStr">
        <is>
          <t>E</t>
        </is>
      </c>
      <c r="AC609" s="84" t="inlineStr">
        <is>
          <t>E+</t>
        </is>
      </c>
      <c r="AD609" s="84" t="n">
        <v>24</v>
      </c>
      <c r="AE609" s="84" t="n">
        <v>23</v>
      </c>
      <c r="AF609" s="84" t="n">
        <v>0.76</v>
      </c>
      <c r="AG609" s="84" t="n">
        <v>0.84</v>
      </c>
      <c r="AH609" s="84" t="n">
        <v>0</v>
      </c>
      <c r="AI609" s="84" t="n">
        <v>0</v>
      </c>
      <c r="AJ609" s="84">
        <f>SUMIFS(AH$8:AH$1039,$O$8:$O$1039,O609,$AB$8:$AB$1039,AB609,$R$8:$R$1039,R609,$AA$8:$AA$1039,"&lt;="&amp;AA609)</f>
        <v/>
      </c>
      <c r="AK609" s="84">
        <f>D60</f>
        <v/>
      </c>
      <c r="AL609" s="84">
        <f>D66</f>
        <v/>
      </c>
      <c r="AM609" s="84">
        <f>MAX(0,AJ609-AK609)</f>
        <v/>
      </c>
      <c r="AN609" s="84">
        <f>IF(AM609=0,AH609,IF(AM609&gt;=AH609,0,AH609-AM609))</f>
        <v/>
      </c>
      <c r="AO609" s="84">
        <f>IF(AM609&gt;=AH609,AI609,AI609*AM609/AH609)</f>
        <v/>
      </c>
      <c r="AP609">
        <f t="array" ref="AP609">INDEX($AU$8:$BB$25,6*(R609-1)+MATCH(AB609,$AS$8:$AS$13,0),MATCH(O609,$AU$7:$BB$7,0))</f>
        <v/>
      </c>
    </row>
    <row r="610" ht="14.25" customHeight="1">
      <c r="O610" s="43" t="inlineStr">
        <is>
          <t>Q1’27</t>
        </is>
      </c>
      <c r="P610" s="43" t="n">
        <v>3</v>
      </c>
      <c r="Q610" s="43" t="n">
        <v>3</v>
      </c>
      <c r="R610" s="43" t="n">
        <v>3</v>
      </c>
      <c r="S610" s="45" t="n">
        <v>3907.847507331378</v>
      </c>
      <c r="T610">
        <f>(S608+S609+S610)=R4</f>
        <v/>
      </c>
      <c r="X610" s="84">
        <f>MAX(S607-S610,0)</f>
        <v/>
      </c>
      <c r="Y610" s="83" t="n">
        <v>0</v>
      </c>
      <c r="AA610" s="84" t="n">
        <v>1</v>
      </c>
      <c r="AB610" s="84" t="inlineStr">
        <is>
          <t>E</t>
        </is>
      </c>
      <c r="AC610" s="84" t="inlineStr">
        <is>
          <t>E+</t>
        </is>
      </c>
      <c r="AD610" s="84" t="n">
        <v>24</v>
      </c>
      <c r="AE610" s="84" t="n">
        <v>23</v>
      </c>
      <c r="AF610" s="84" t="n">
        <v>0.76</v>
      </c>
      <c r="AG610" s="84" t="n">
        <v>0.84</v>
      </c>
      <c r="AH610" s="84" t="n">
        <v>0</v>
      </c>
      <c r="AI610" s="84" t="n">
        <v>0</v>
      </c>
      <c r="AJ610" s="84">
        <f>SUMIFS(AH$8:AH$1039,$O$8:$O$1039,O610,$AB$8:$AB$1039,AB610,$R$8:$R$1039,R610,$AA$8:$AA$1039,"&lt;="&amp;AA610)</f>
        <v/>
      </c>
      <c r="AK610" s="84">
        <f>E60</f>
        <v/>
      </c>
      <c r="AL610" s="84">
        <f>E66</f>
        <v/>
      </c>
      <c r="AM610" s="84">
        <f>MAX(0,AJ610-AK610)</f>
        <v/>
      </c>
      <c r="AN610" s="84">
        <f>IF(AM610=0,AH610,IF(AM610&gt;=AH610,0,AH610-AM610))</f>
        <v/>
      </c>
      <c r="AO610" s="84">
        <f>IF(AM610&gt;=AH610,AI610,AI610*AM610/AH610)</f>
        <v/>
      </c>
      <c r="AP610">
        <f t="array" ref="AP610">INDEX($AU$8:$BB$25,6*(R610-1)+MATCH(AB610,$AS$8:$AS$13,0),MATCH(O610,$AU$7:$BB$7,0))</f>
        <v/>
      </c>
    </row>
    <row r="611" ht="14.25" customHeight="1">
      <c r="O611" s="43" t="inlineStr">
        <is>
          <t>Q1’27</t>
        </is>
      </c>
      <c r="P611" s="43" t="n">
        <v>3</v>
      </c>
      <c r="Q611" s="43" t="n">
        <v>4</v>
      </c>
      <c r="R611" s="43" t="n">
        <v>1</v>
      </c>
      <c r="S611" s="45" t="n">
        <v>2141.703529411766</v>
      </c>
      <c r="T611">
        <f>(S611+S612+S613)=R4</f>
        <v/>
      </c>
      <c r="X611" s="84">
        <f>MAX(S608-S611,0)</f>
        <v/>
      </c>
      <c r="Y611" s="83" t="n">
        <v>0</v>
      </c>
      <c r="AA611" s="84" t="n">
        <v>9</v>
      </c>
      <c r="AB611" s="84" t="inlineStr">
        <is>
          <t>E</t>
        </is>
      </c>
      <c r="AC611" s="84" t="inlineStr">
        <is>
          <t>E+</t>
        </is>
      </c>
      <c r="AD611" s="84" t="n">
        <v>15</v>
      </c>
      <c r="AE611" s="84" t="n">
        <v>11</v>
      </c>
      <c r="AF611" s="84" t="n">
        <v>0.76</v>
      </c>
      <c r="AG611" s="84" t="n">
        <v>0.84</v>
      </c>
      <c r="AH611" s="84" t="n">
        <v>0</v>
      </c>
      <c r="AI611" s="84" t="n">
        <v>0</v>
      </c>
      <c r="AJ611" s="84">
        <f>SUMIFS(AH$8:AH$1039,$O$8:$O$1039,O611,$AB$8:$AB$1039,AB611,$R$8:$R$1039,R611,$AA$8:$AA$1039,"&lt;="&amp;AA611)</f>
        <v/>
      </c>
      <c r="AK611" s="84">
        <f>C60</f>
        <v/>
      </c>
      <c r="AL611" s="84">
        <f>C66</f>
        <v/>
      </c>
      <c r="AM611" s="84">
        <f>MAX(0,AJ611-AK611)</f>
        <v/>
      </c>
      <c r="AN611" s="84">
        <f>IF(AM611=0,AH611,IF(AM611&gt;=AH611,0,AH611-AM611))</f>
        <v/>
      </c>
      <c r="AO611" s="84">
        <f>IF(AM611&gt;=AH611,AI611,AI611*AM611/AH611)</f>
        <v/>
      </c>
      <c r="AP611">
        <f t="array" ref="AP611">INDEX($AU$8:$BB$25,6*(R611-1)+MATCH(AB611,$AS$8:$AS$13,0),MATCH(O611,$AU$7:$BB$7,0))</f>
        <v/>
      </c>
    </row>
    <row r="612" ht="14.25" customHeight="1">
      <c r="O612" s="43" t="inlineStr">
        <is>
          <t>Q1’27</t>
        </is>
      </c>
      <c r="P612" s="43" t="n">
        <v>3</v>
      </c>
      <c r="Q612" s="43" t="n">
        <v>4</v>
      </c>
      <c r="R612" s="43" t="n">
        <v>2</v>
      </c>
      <c r="S612" s="45" t="n">
        <v>2950.448963256856</v>
      </c>
      <c r="T612">
        <f>(S611+S612+S613)=R4</f>
        <v/>
      </c>
      <c r="X612" s="84">
        <f>MAX(S609-S612,0)</f>
        <v/>
      </c>
      <c r="Y612" s="83" t="n">
        <v>0</v>
      </c>
      <c r="AA612" s="84" t="n">
        <v>9</v>
      </c>
      <c r="AB612" s="84" t="inlineStr">
        <is>
          <t>E</t>
        </is>
      </c>
      <c r="AC612" s="84" t="inlineStr">
        <is>
          <t>E+</t>
        </is>
      </c>
      <c r="AD612" s="84" t="n">
        <v>15</v>
      </c>
      <c r="AE612" s="84" t="n">
        <v>11</v>
      </c>
      <c r="AF612" s="84" t="n">
        <v>0.76</v>
      </c>
      <c r="AG612" s="84" t="n">
        <v>0.84</v>
      </c>
      <c r="AH612" s="84" t="n">
        <v>0</v>
      </c>
      <c r="AI612" s="84" t="n">
        <v>0</v>
      </c>
      <c r="AJ612" s="84">
        <f>SUMIFS(AH$8:AH$1039,$O$8:$O$1039,O612,$AB$8:$AB$1039,AB612,$R$8:$R$1039,R612,$AA$8:$AA$1039,"&lt;="&amp;AA612)</f>
        <v/>
      </c>
      <c r="AK612" s="84">
        <f>D60</f>
        <v/>
      </c>
      <c r="AL612" s="84">
        <f>D66</f>
        <v/>
      </c>
      <c r="AM612" s="84">
        <f>MAX(0,AJ612-AK612)</f>
        <v/>
      </c>
      <c r="AN612" s="84">
        <f>IF(AM612=0,AH612,IF(AM612&gt;=AH612,0,AH612-AM612))</f>
        <v/>
      </c>
      <c r="AO612" s="84">
        <f>IF(AM612&gt;=AH612,AI612,AI612*AM612/AH612)</f>
        <v/>
      </c>
      <c r="AP612">
        <f t="array" ref="AP612">INDEX($AU$8:$BB$25,6*(R612-1)+MATCH(AB612,$AS$8:$AS$13,0),MATCH(O612,$AU$7:$BB$7,0))</f>
        <v/>
      </c>
    </row>
    <row r="613" ht="14.25" customHeight="1">
      <c r="O613" s="43" t="inlineStr">
        <is>
          <t>Q1’27</t>
        </is>
      </c>
      <c r="P613" s="43" t="n">
        <v>3</v>
      </c>
      <c r="Q613" s="43" t="n">
        <v>4</v>
      </c>
      <c r="R613" s="43" t="n">
        <v>3</v>
      </c>
      <c r="S613" s="45" t="n">
        <v>3907.847507331378</v>
      </c>
      <c r="T613">
        <f>(S611+S612+S613)=R4</f>
        <v/>
      </c>
      <c r="X613" s="84">
        <f>MAX(S610-S613,0)</f>
        <v/>
      </c>
      <c r="Y613" s="83" t="n">
        <v>0</v>
      </c>
      <c r="AA613" s="84" t="n">
        <v>9</v>
      </c>
      <c r="AB613" s="84" t="inlineStr">
        <is>
          <t>E</t>
        </is>
      </c>
      <c r="AC613" s="84" t="inlineStr">
        <is>
          <t>E+</t>
        </is>
      </c>
      <c r="AD613" s="84" t="n">
        <v>15</v>
      </c>
      <c r="AE613" s="84" t="n">
        <v>11</v>
      </c>
      <c r="AF613" s="84" t="n">
        <v>0.76</v>
      </c>
      <c r="AG613" s="84" t="n">
        <v>0.84</v>
      </c>
      <c r="AH613" s="84" t="n">
        <v>0</v>
      </c>
      <c r="AI613" s="84" t="n">
        <v>0</v>
      </c>
      <c r="AJ613" s="84">
        <f>SUMIFS(AH$8:AH$1039,$O$8:$O$1039,O613,$AB$8:$AB$1039,AB613,$R$8:$R$1039,R613,$AA$8:$AA$1039,"&lt;="&amp;AA613)</f>
        <v/>
      </c>
      <c r="AK613" s="84">
        <f>E60</f>
        <v/>
      </c>
      <c r="AL613" s="84">
        <f>E66</f>
        <v/>
      </c>
      <c r="AM613" s="84">
        <f>MAX(0,AJ613-AK613)</f>
        <v/>
      </c>
      <c r="AN613" s="84">
        <f>IF(AM613=0,AH613,IF(AM613&gt;=AH613,0,AH613-AM613))</f>
        <v/>
      </c>
      <c r="AO613" s="84">
        <f>IF(AM613&gt;=AH613,AI613,AI613*AM613/AH613)</f>
        <v/>
      </c>
      <c r="AP613">
        <f t="array" ref="AP613">INDEX($AU$8:$BB$25,6*(R613-1)+MATCH(AB613,$AS$8:$AS$13,0),MATCH(O613,$AU$7:$BB$7,0))</f>
        <v/>
      </c>
    </row>
    <row r="614" ht="14.25" customHeight="1">
      <c r="O614" s="43" t="inlineStr">
        <is>
          <t>Q1’27</t>
        </is>
      </c>
      <c r="P614" s="43" t="n">
        <v>3</v>
      </c>
      <c r="Q614" s="43" t="n">
        <v>5</v>
      </c>
      <c r="R614" s="43" t="n">
        <v>1</v>
      </c>
      <c r="S614" s="45" t="n">
        <v>2141.703529411766</v>
      </c>
      <c r="T614">
        <f>(S614+S615+S616)=R4</f>
        <v/>
      </c>
      <c r="X614" s="84">
        <f>MAX(S611-S614,0)</f>
        <v/>
      </c>
      <c r="Y614" s="83" t="n">
        <v>0</v>
      </c>
      <c r="AA614" s="84" t="n">
        <v>6</v>
      </c>
      <c r="AB614" s="84" t="inlineStr">
        <is>
          <t>F</t>
        </is>
      </c>
      <c r="AC614" s="84" t="inlineStr">
        <is>
          <t>F+</t>
        </is>
      </c>
      <c r="AD614" s="84" t="n">
        <v>16</v>
      </c>
      <c r="AE614" s="84" t="n">
        <v>14</v>
      </c>
      <c r="AF614" s="84" t="n">
        <v>0.8</v>
      </c>
      <c r="AG614" s="84" t="n">
        <v>0.9</v>
      </c>
      <c r="AH614" s="84" t="n">
        <v>0</v>
      </c>
      <c r="AI614" s="84" t="n">
        <v>0</v>
      </c>
      <c r="AJ614" s="84">
        <f>SUMIFS(AH$8:AH$1039,$O$8:$O$1039,O614,$AB$8:$AB$1039,AB614,$R$8:$R$1039,R614,$AA$8:$AA$1039,"&lt;="&amp;AA614)</f>
        <v/>
      </c>
      <c r="AK614" s="84">
        <f>C61</f>
        <v/>
      </c>
      <c r="AL614" s="84">
        <f>C67</f>
        <v/>
      </c>
      <c r="AM614" s="84">
        <f>MAX(0,AJ614-AK614)</f>
        <v/>
      </c>
      <c r="AN614" s="84">
        <f>IF(AM614=0,AH614,IF(AM614&gt;=AH614,0,AH614-AM614))</f>
        <v/>
      </c>
      <c r="AO614" s="84">
        <f>IF(AM614&gt;=AH614,AI614,AI614*AM614/AH614)</f>
        <v/>
      </c>
      <c r="AP614">
        <f t="array" ref="AP614">INDEX($AU$8:$BB$25,6*(R614-1)+MATCH(AB614,$AS$8:$AS$13,0),MATCH(O614,$AU$7:$BB$7,0))</f>
        <v/>
      </c>
    </row>
    <row r="615" ht="14.25" customHeight="1">
      <c r="O615" s="43" t="inlineStr">
        <is>
          <t>Q1’27</t>
        </is>
      </c>
      <c r="P615" s="43" t="n">
        <v>3</v>
      </c>
      <c r="Q615" s="43" t="n">
        <v>5</v>
      </c>
      <c r="R615" s="43" t="n">
        <v>2</v>
      </c>
      <c r="S615" s="45" t="n">
        <v>2950.448963256856</v>
      </c>
      <c r="T615">
        <f>(S614+S615+S616)=R4</f>
        <v/>
      </c>
      <c r="X615" s="84">
        <f>MAX(S612-S615,0)</f>
        <v/>
      </c>
      <c r="Y615" s="83" t="n">
        <v>0</v>
      </c>
      <c r="AA615" s="84" t="n">
        <v>6</v>
      </c>
      <c r="AB615" s="84" t="inlineStr">
        <is>
          <t>F</t>
        </is>
      </c>
      <c r="AC615" s="84" t="inlineStr">
        <is>
          <t>F+</t>
        </is>
      </c>
      <c r="AD615" s="84" t="n">
        <v>16</v>
      </c>
      <c r="AE615" s="84" t="n">
        <v>14</v>
      </c>
      <c r="AF615" s="84" t="n">
        <v>0.8</v>
      </c>
      <c r="AG615" s="84" t="n">
        <v>0.9</v>
      </c>
      <c r="AH615" s="84" t="n">
        <v>0</v>
      </c>
      <c r="AI615" s="84" t="n">
        <v>0</v>
      </c>
      <c r="AJ615" s="84">
        <f>SUMIFS(AH$8:AH$1039,$O$8:$O$1039,O615,$AB$8:$AB$1039,AB615,$R$8:$R$1039,R615,$AA$8:$AA$1039,"&lt;="&amp;AA615)</f>
        <v/>
      </c>
      <c r="AK615" s="84">
        <f>D61</f>
        <v/>
      </c>
      <c r="AL615" s="84">
        <f>D67</f>
        <v/>
      </c>
      <c r="AM615" s="84">
        <f>MAX(0,AJ615-AK615)</f>
        <v/>
      </c>
      <c r="AN615" s="84">
        <f>IF(AM615=0,AH615,IF(AM615&gt;=AH615,0,AH615-AM615))</f>
        <v/>
      </c>
      <c r="AO615" s="84">
        <f>IF(AM615&gt;=AH615,AI615,AI615*AM615/AH615)</f>
        <v/>
      </c>
      <c r="AP615">
        <f t="array" ref="AP615">INDEX($AU$8:$BB$25,6*(R615-1)+MATCH(AB615,$AS$8:$AS$13,0),MATCH(O615,$AU$7:$BB$7,0))</f>
        <v/>
      </c>
    </row>
    <row r="616" ht="14.25" customHeight="1">
      <c r="O616" s="43" t="inlineStr">
        <is>
          <t>Q1’27</t>
        </is>
      </c>
      <c r="P616" s="43" t="n">
        <v>3</v>
      </c>
      <c r="Q616" s="43" t="n">
        <v>5</v>
      </c>
      <c r="R616" s="43" t="n">
        <v>3</v>
      </c>
      <c r="S616" s="45" t="n">
        <v>3907.847507331378</v>
      </c>
      <c r="T616">
        <f>(S614+S615+S616)=R4</f>
        <v/>
      </c>
      <c r="X616" s="84">
        <f>MAX(S613-S616,0)</f>
        <v/>
      </c>
      <c r="Y616" s="83" t="n">
        <v>0</v>
      </c>
      <c r="AA616" s="84" t="n">
        <v>6</v>
      </c>
      <c r="AB616" s="84" t="inlineStr">
        <is>
          <t>F</t>
        </is>
      </c>
      <c r="AC616" s="84" t="inlineStr">
        <is>
          <t>F+</t>
        </is>
      </c>
      <c r="AD616" s="84" t="n">
        <v>16</v>
      </c>
      <c r="AE616" s="84" t="n">
        <v>14</v>
      </c>
      <c r="AF616" s="84" t="n">
        <v>0.8</v>
      </c>
      <c r="AG616" s="84" t="n">
        <v>0.9</v>
      </c>
      <c r="AH616" s="84" t="n">
        <v>0</v>
      </c>
      <c r="AI616" s="84" t="n">
        <v>0</v>
      </c>
      <c r="AJ616" s="84">
        <f>SUMIFS(AH$8:AH$1039,$O$8:$O$1039,O616,$AB$8:$AB$1039,AB616,$R$8:$R$1039,R616,$AA$8:$AA$1039,"&lt;="&amp;AA616)</f>
        <v/>
      </c>
      <c r="AK616" s="84">
        <f>E61</f>
        <v/>
      </c>
      <c r="AL616" s="84">
        <f>E67</f>
        <v/>
      </c>
      <c r="AM616" s="84">
        <f>MAX(0,AJ616-AK616)</f>
        <v/>
      </c>
      <c r="AN616" s="84">
        <f>IF(AM616=0,AH616,IF(AM616&gt;=AH616,0,AH616-AM616))</f>
        <v/>
      </c>
      <c r="AO616" s="84">
        <f>IF(AM616&gt;=AH616,AI616,AI616*AM616/AH616)</f>
        <v/>
      </c>
      <c r="AP616">
        <f t="array" ref="AP616">INDEX($AU$8:$BB$25,6*(R616-1)+MATCH(AB616,$AS$8:$AS$13,0),MATCH(O616,$AU$7:$BB$7,0))</f>
        <v/>
      </c>
    </row>
    <row r="617" ht="14.25" customHeight="1">
      <c r="O617" s="43" t="inlineStr">
        <is>
          <t>Q1’27</t>
        </is>
      </c>
      <c r="P617" s="43" t="n">
        <v>3</v>
      </c>
      <c r="Q617" s="43" t="n">
        <v>6</v>
      </c>
      <c r="R617" s="43" t="n">
        <v>1</v>
      </c>
      <c r="S617" s="45" t="n">
        <v>2141.703529411766</v>
      </c>
      <c r="T617">
        <f>(S617+S618+S619)=R4</f>
        <v/>
      </c>
      <c r="X617" s="84">
        <f>MAX(S614-S617,0)</f>
        <v/>
      </c>
      <c r="Y617" s="83" t="n">
        <v>0</v>
      </c>
      <c r="AA617" s="84" t="n">
        <v>1</v>
      </c>
      <c r="AB617" s="84" t="inlineStr">
        <is>
          <t>D</t>
        </is>
      </c>
      <c r="AC617" s="84" t="inlineStr">
        <is>
          <t>D+</t>
        </is>
      </c>
      <c r="AD617" s="84" t="n">
        <v>12</v>
      </c>
      <c r="AE617" s="84" t="n">
        <v>11</v>
      </c>
      <c r="AF617" s="84" t="n">
        <v>0.8</v>
      </c>
      <c r="AG617" s="84" t="n">
        <v>0.88</v>
      </c>
      <c r="AH617" s="84" t="n">
        <v>0</v>
      </c>
      <c r="AI617" s="84" t="n">
        <v>0</v>
      </c>
      <c r="AJ617" s="84">
        <f>SUMIFS(AH$8:AH$1039,$O$8:$O$1039,O617,$AB$8:$AB$1039,AB617,$R$8:$R$1039,R617,$AA$8:$AA$1039,"&lt;="&amp;AA617)</f>
        <v/>
      </c>
      <c r="AK617" s="84">
        <f>C59</f>
        <v/>
      </c>
      <c r="AL617" s="84">
        <f>C65</f>
        <v/>
      </c>
      <c r="AM617" s="84">
        <f>MAX(0,AJ617-AK617)</f>
        <v/>
      </c>
      <c r="AN617" s="84">
        <f>IF(AM617=0,AH617,IF(AM617&gt;=AH617,0,AH617-AM617))</f>
        <v/>
      </c>
      <c r="AO617" s="84">
        <f>IF(AM617&gt;=AH617,AI617,AI617*AM617/AH617)</f>
        <v/>
      </c>
      <c r="AP617">
        <f t="array" ref="AP617">INDEX($AU$8:$BB$25,6*(R617-1)+MATCH(AB617,$AS$8:$AS$13,0),MATCH(O617,$AU$7:$BB$7,0))</f>
        <v/>
      </c>
    </row>
    <row r="618" ht="14.25" customHeight="1">
      <c r="O618" s="43" t="inlineStr">
        <is>
          <t>Q1’27</t>
        </is>
      </c>
      <c r="P618" s="43" t="n">
        <v>3</v>
      </c>
      <c r="Q618" s="43" t="n">
        <v>6</v>
      </c>
      <c r="R618" s="43" t="n">
        <v>2</v>
      </c>
      <c r="S618" s="45" t="n">
        <v>2950.448963256856</v>
      </c>
      <c r="T618">
        <f>(S617+S618+S619)=R4</f>
        <v/>
      </c>
      <c r="X618" s="84">
        <f>MAX(S615-S618,0)</f>
        <v/>
      </c>
      <c r="Y618" s="83" t="n">
        <v>0</v>
      </c>
      <c r="AA618" s="84" t="n">
        <v>1</v>
      </c>
      <c r="AB618" s="84" t="inlineStr">
        <is>
          <t>D</t>
        </is>
      </c>
      <c r="AC618" s="84" t="inlineStr">
        <is>
          <t>D+</t>
        </is>
      </c>
      <c r="AD618" s="84" t="n">
        <v>12</v>
      </c>
      <c r="AE618" s="84" t="n">
        <v>11</v>
      </c>
      <c r="AF618" s="84" t="n">
        <v>0.8</v>
      </c>
      <c r="AG618" s="84" t="n">
        <v>0.88</v>
      </c>
      <c r="AH618" s="84" t="n">
        <v>0</v>
      </c>
      <c r="AI618" s="84" t="n">
        <v>0</v>
      </c>
      <c r="AJ618" s="84">
        <f>SUMIFS(AH$8:AH$1039,$O$8:$O$1039,O618,$AB$8:$AB$1039,AB618,$R$8:$R$1039,R618,$AA$8:$AA$1039,"&lt;="&amp;AA618)</f>
        <v/>
      </c>
      <c r="AK618" s="84">
        <f>D59</f>
        <v/>
      </c>
      <c r="AL618" s="84">
        <f>D65</f>
        <v/>
      </c>
      <c r="AM618" s="84">
        <f>MAX(0,AJ618-AK618)</f>
        <v/>
      </c>
      <c r="AN618" s="84">
        <f>IF(AM618=0,AH618,IF(AM618&gt;=AH618,0,AH618-AM618))</f>
        <v/>
      </c>
      <c r="AO618" s="84">
        <f>IF(AM618&gt;=AH618,AI618,AI618*AM618/AH618)</f>
        <v/>
      </c>
      <c r="AP618">
        <f t="array" ref="AP618">INDEX($AU$8:$BB$25,6*(R618-1)+MATCH(AB618,$AS$8:$AS$13,0),MATCH(O618,$AU$7:$BB$7,0))</f>
        <v/>
      </c>
    </row>
    <row r="619" ht="14.25" customHeight="1">
      <c r="O619" s="43" t="inlineStr">
        <is>
          <t>Q1’27</t>
        </is>
      </c>
      <c r="P619" s="43" t="n">
        <v>3</v>
      </c>
      <c r="Q619" s="43" t="n">
        <v>6</v>
      </c>
      <c r="R619" s="43" t="n">
        <v>3</v>
      </c>
      <c r="S619" s="45" t="n">
        <v>3907.847507331378</v>
      </c>
      <c r="T619">
        <f>(S617+S618+S619)=R4</f>
        <v/>
      </c>
      <c r="X619" s="84">
        <f>MAX(S616-S619,0)</f>
        <v/>
      </c>
      <c r="Y619" s="83" t="n">
        <v>0</v>
      </c>
      <c r="AA619" s="84" t="n">
        <v>1</v>
      </c>
      <c r="AB619" s="84" t="inlineStr">
        <is>
          <t>D</t>
        </is>
      </c>
      <c r="AC619" s="84" t="inlineStr">
        <is>
          <t>D+</t>
        </is>
      </c>
      <c r="AD619" s="84" t="n">
        <v>12</v>
      </c>
      <c r="AE619" s="84" t="n">
        <v>11</v>
      </c>
      <c r="AF619" s="84" t="n">
        <v>0.8</v>
      </c>
      <c r="AG619" s="84" t="n">
        <v>0.88</v>
      </c>
      <c r="AH619" s="84" t="n">
        <v>0</v>
      </c>
      <c r="AI619" s="84" t="n">
        <v>0</v>
      </c>
      <c r="AJ619" s="84">
        <f>SUMIFS(AH$8:AH$1039,$O$8:$O$1039,O619,$AB$8:$AB$1039,AB619,$R$8:$R$1039,R619,$AA$8:$AA$1039,"&lt;="&amp;AA619)</f>
        <v/>
      </c>
      <c r="AK619" s="84">
        <f>E59</f>
        <v/>
      </c>
      <c r="AL619" s="84">
        <f>E65</f>
        <v/>
      </c>
      <c r="AM619" s="84">
        <f>MAX(0,AJ619-AK619)</f>
        <v/>
      </c>
      <c r="AN619" s="84">
        <f>IF(AM619=0,AH619,IF(AM619&gt;=AH619,0,AH619-AM619))</f>
        <v/>
      </c>
      <c r="AO619" s="84">
        <f>IF(AM619&gt;=AH619,AI619,AI619*AM619/AH619)</f>
        <v/>
      </c>
      <c r="AP619">
        <f t="array" ref="AP619">INDEX($AU$8:$BB$25,6*(R619-1)+MATCH(AB619,$AS$8:$AS$13,0),MATCH(O619,$AU$7:$BB$7,0))</f>
        <v/>
      </c>
    </row>
    <row r="620" ht="14.25" customHeight="1">
      <c r="O620" s="43" t="inlineStr">
        <is>
          <t>Q1’27</t>
        </is>
      </c>
      <c r="P620" s="43" t="n">
        <v>3</v>
      </c>
      <c r="Q620" s="43" t="n">
        <v>7</v>
      </c>
      <c r="R620" s="43" t="n">
        <v>1</v>
      </c>
      <c r="S620" s="45" t="n">
        <v>2141.703529411766</v>
      </c>
      <c r="T620">
        <f>(S620+S621+S622)=R4</f>
        <v/>
      </c>
      <c r="X620" s="84">
        <f>MAX(S617-S620,0)</f>
        <v/>
      </c>
      <c r="Y620" s="83" t="n">
        <v>0</v>
      </c>
      <c r="AA620" s="84" t="n">
        <v>3</v>
      </c>
      <c r="AB620" s="84" t="inlineStr">
        <is>
          <t>C</t>
        </is>
      </c>
      <c r="AC620" s="84" t="inlineStr">
        <is>
          <t>C+</t>
        </is>
      </c>
      <c r="AD620" s="84" t="n">
        <v>24</v>
      </c>
      <c r="AE620" s="84" t="n">
        <v>21</v>
      </c>
      <c r="AF620" s="84" t="n">
        <v>0.8</v>
      </c>
      <c r="AG620" s="84" t="n">
        <v>0.86</v>
      </c>
      <c r="AH620" s="84" t="n">
        <v>0</v>
      </c>
      <c r="AI620" s="84" t="n">
        <v>0</v>
      </c>
      <c r="AJ620" s="84">
        <f>SUMIFS(AH$8:AH$1039,$O$8:$O$1039,O620,$AB$8:$AB$1039,AB620,$R$8:$R$1039,R620,$AA$8:$AA$1039,"&lt;="&amp;AA620)</f>
        <v/>
      </c>
      <c r="AK620" s="84">
        <f>C58</f>
        <v/>
      </c>
      <c r="AL620" s="84">
        <f>C64</f>
        <v/>
      </c>
      <c r="AM620" s="84">
        <f>MAX(0,AJ620-AK620)</f>
        <v/>
      </c>
      <c r="AN620" s="84">
        <f>IF(AM620=0,AH620,IF(AM620&gt;=AH620,0,AH620-AM620))</f>
        <v/>
      </c>
      <c r="AO620" s="84">
        <f>IF(AM620&gt;=AH620,AI620,AI620*AM620/AH620)</f>
        <v/>
      </c>
      <c r="AP620">
        <f t="array" ref="AP620">INDEX($AU$8:$BB$25,6*(R620-1)+MATCH(AB620,$AS$8:$AS$13,0),MATCH(O620,$AU$7:$BB$7,0))</f>
        <v/>
      </c>
    </row>
    <row r="621" ht="14.25" customHeight="1">
      <c r="O621" s="43" t="inlineStr">
        <is>
          <t>Q1’27</t>
        </is>
      </c>
      <c r="P621" s="43" t="n">
        <v>3</v>
      </c>
      <c r="Q621" s="43" t="n">
        <v>7</v>
      </c>
      <c r="R621" s="43" t="n">
        <v>2</v>
      </c>
      <c r="S621" s="45" t="n">
        <v>2950.448963256856</v>
      </c>
      <c r="T621">
        <f>(S620+S621+S622)=R4</f>
        <v/>
      </c>
      <c r="X621" s="84">
        <f>MAX(S618-S621,0)</f>
        <v/>
      </c>
      <c r="Y621" s="83" t="n">
        <v>0</v>
      </c>
      <c r="AA621" s="84" t="n">
        <v>3</v>
      </c>
      <c r="AB621" s="84" t="inlineStr">
        <is>
          <t>C</t>
        </is>
      </c>
      <c r="AC621" s="84" t="inlineStr">
        <is>
          <t>C+</t>
        </is>
      </c>
      <c r="AD621" s="84" t="n">
        <v>24</v>
      </c>
      <c r="AE621" s="84" t="n">
        <v>21</v>
      </c>
      <c r="AF621" s="84" t="n">
        <v>0.8</v>
      </c>
      <c r="AG621" s="84" t="n">
        <v>0.86</v>
      </c>
      <c r="AH621" s="84" t="n">
        <v>0</v>
      </c>
      <c r="AI621" s="84" t="n">
        <v>0</v>
      </c>
      <c r="AJ621" s="84">
        <f>SUMIFS(AH$8:AH$1039,$O$8:$O$1039,O621,$AB$8:$AB$1039,AB621,$R$8:$R$1039,R621,$AA$8:$AA$1039,"&lt;="&amp;AA621)</f>
        <v/>
      </c>
      <c r="AK621" s="84">
        <f>D58</f>
        <v/>
      </c>
      <c r="AL621" s="84">
        <f>D64</f>
        <v/>
      </c>
      <c r="AM621" s="84">
        <f>MAX(0,AJ621-AK621)</f>
        <v/>
      </c>
      <c r="AN621" s="84">
        <f>IF(AM621=0,AH621,IF(AM621&gt;=AH621,0,AH621-AM621))</f>
        <v/>
      </c>
      <c r="AO621" s="84">
        <f>IF(AM621&gt;=AH621,AI621,AI621*AM621/AH621)</f>
        <v/>
      </c>
      <c r="AP621">
        <f t="array" ref="AP621">INDEX($AU$8:$BB$25,6*(R621-1)+MATCH(AB621,$AS$8:$AS$13,0),MATCH(O621,$AU$7:$BB$7,0))</f>
        <v/>
      </c>
    </row>
    <row r="622" ht="14.25" customHeight="1">
      <c r="O622" s="43" t="inlineStr">
        <is>
          <t>Q1’27</t>
        </is>
      </c>
      <c r="P622" s="43" t="n">
        <v>3</v>
      </c>
      <c r="Q622" s="43" t="n">
        <v>7</v>
      </c>
      <c r="R622" s="43" t="n">
        <v>3</v>
      </c>
      <c r="S622" s="45" t="n">
        <v>3907.847507331378</v>
      </c>
      <c r="T622">
        <f>(S620+S621+S622)=R4</f>
        <v/>
      </c>
      <c r="X622" s="84">
        <f>MAX(S619-S622,0)</f>
        <v/>
      </c>
      <c r="Y622" s="83" t="n">
        <v>0</v>
      </c>
      <c r="AA622" s="84" t="n">
        <v>3</v>
      </c>
      <c r="AB622" s="84" t="inlineStr">
        <is>
          <t>C</t>
        </is>
      </c>
      <c r="AC622" s="84" t="inlineStr">
        <is>
          <t>C+</t>
        </is>
      </c>
      <c r="AD622" s="84" t="n">
        <v>24</v>
      </c>
      <c r="AE622" s="84" t="n">
        <v>21</v>
      </c>
      <c r="AF622" s="84" t="n">
        <v>0.8</v>
      </c>
      <c r="AG622" s="84" t="n">
        <v>0.86</v>
      </c>
      <c r="AH622" s="84" t="n">
        <v>0</v>
      </c>
      <c r="AI622" s="84" t="n">
        <v>0</v>
      </c>
      <c r="AJ622" s="84">
        <f>SUMIFS(AH$8:AH$1039,$O$8:$O$1039,O622,$AB$8:$AB$1039,AB622,$R$8:$R$1039,R622,$AA$8:$AA$1039,"&lt;="&amp;AA622)</f>
        <v/>
      </c>
      <c r="AK622" s="84">
        <f>E58</f>
        <v/>
      </c>
      <c r="AL622" s="84">
        <f>E64</f>
        <v/>
      </c>
      <c r="AM622" s="84">
        <f>MAX(0,AJ622-AK622)</f>
        <v/>
      </c>
      <c r="AN622" s="84">
        <f>IF(AM622=0,AH622,IF(AM622&gt;=AH622,0,AH622-AM622))</f>
        <v/>
      </c>
      <c r="AO622" s="84">
        <f>IF(AM622&gt;=AH622,AI622,AI622*AM622/AH622)</f>
        <v/>
      </c>
      <c r="AP622">
        <f t="array" ref="AP622">INDEX($AU$8:$BB$25,6*(R622-1)+MATCH(AB622,$AS$8:$AS$13,0),MATCH(O622,$AU$7:$BB$7,0))</f>
        <v/>
      </c>
    </row>
    <row r="623" ht="14.25" customHeight="1">
      <c r="O623" s="43" t="inlineStr">
        <is>
          <t>Q1’27</t>
        </is>
      </c>
      <c r="P623" s="43" t="n">
        <v>3</v>
      </c>
      <c r="Q623" s="43" t="n">
        <v>8</v>
      </c>
      <c r="R623" s="43" t="n">
        <v>1</v>
      </c>
      <c r="S623" s="45" t="n">
        <v>2141.703529411758</v>
      </c>
      <c r="T623">
        <f>(S623+S624+S625)=R4</f>
        <v/>
      </c>
      <c r="X623" s="84">
        <f>MAX(S620-S623,0)</f>
        <v/>
      </c>
      <c r="Y623" s="83" t="n">
        <v>0</v>
      </c>
      <c r="AA623" s="84" t="n">
        <v>5</v>
      </c>
      <c r="AB623" s="84" t="inlineStr">
        <is>
          <t>C</t>
        </is>
      </c>
      <c r="AC623" s="84" t="inlineStr">
        <is>
          <t>C+</t>
        </is>
      </c>
      <c r="AD623" s="84" t="n">
        <v>19</v>
      </c>
      <c r="AE623" s="84" t="n">
        <v>13</v>
      </c>
      <c r="AF623" s="84" t="n">
        <v>0.8</v>
      </c>
      <c r="AG623" s="84" t="n">
        <v>0.86</v>
      </c>
      <c r="AH623" s="84" t="n">
        <v>0</v>
      </c>
      <c r="AI623" s="84" t="n">
        <v>0</v>
      </c>
      <c r="AJ623" s="84">
        <f>SUMIFS(AH$8:AH$1039,$O$8:$O$1039,O623,$AB$8:$AB$1039,AB623,$R$8:$R$1039,R623,$AA$8:$AA$1039,"&lt;="&amp;AA623)</f>
        <v/>
      </c>
      <c r="AK623" s="84">
        <f>C58</f>
        <v/>
      </c>
      <c r="AL623" s="84">
        <f>C64</f>
        <v/>
      </c>
      <c r="AM623" s="84">
        <f>MAX(0,AJ623-AK623)</f>
        <v/>
      </c>
      <c r="AN623" s="84">
        <f>IF(AM623=0,AH623,IF(AM623&gt;=AH623,0,AH623-AM623))</f>
        <v/>
      </c>
      <c r="AO623" s="84">
        <f>IF(AM623&gt;=AH623,AI623,AI623*AM623/AH623)</f>
        <v/>
      </c>
      <c r="AP623">
        <f t="array" ref="AP623">INDEX($AU$8:$BB$25,6*(R623-1)+MATCH(AB623,$AS$8:$AS$13,0),MATCH(O623,$AU$7:$BB$7,0))</f>
        <v/>
      </c>
    </row>
    <row r="624" ht="14.25" customHeight="1">
      <c r="O624" s="43" t="inlineStr">
        <is>
          <t>Q1’27</t>
        </is>
      </c>
      <c r="P624" s="43" t="n">
        <v>3</v>
      </c>
      <c r="Q624" s="43" t="n">
        <v>8</v>
      </c>
      <c r="R624" s="43" t="n">
        <v>2</v>
      </c>
      <c r="S624" s="45" t="n">
        <v>2950.448963256864</v>
      </c>
      <c r="T624">
        <f>(S623+S624+S625)=R4</f>
        <v/>
      </c>
      <c r="X624" s="84">
        <f>MAX(S621-S624,0)</f>
        <v/>
      </c>
      <c r="Y624" s="83" t="n">
        <v>0</v>
      </c>
      <c r="AA624" s="84" t="n">
        <v>5</v>
      </c>
      <c r="AB624" s="84" t="inlineStr">
        <is>
          <t>C</t>
        </is>
      </c>
      <c r="AC624" s="84" t="inlineStr">
        <is>
          <t>C+</t>
        </is>
      </c>
      <c r="AD624" s="84" t="n">
        <v>19</v>
      </c>
      <c r="AE624" s="84" t="n">
        <v>13</v>
      </c>
      <c r="AF624" s="84" t="n">
        <v>0.8</v>
      </c>
      <c r="AG624" s="84" t="n">
        <v>0.86</v>
      </c>
      <c r="AH624" s="84" t="n">
        <v>0</v>
      </c>
      <c r="AI624" s="84" t="n">
        <v>0</v>
      </c>
      <c r="AJ624" s="84">
        <f>SUMIFS(AH$8:AH$1039,$O$8:$O$1039,O624,$AB$8:$AB$1039,AB624,$R$8:$R$1039,R624,$AA$8:$AA$1039,"&lt;="&amp;AA624)</f>
        <v/>
      </c>
      <c r="AK624" s="84">
        <f>D58</f>
        <v/>
      </c>
      <c r="AL624" s="84">
        <f>D64</f>
        <v/>
      </c>
      <c r="AM624" s="84">
        <f>MAX(0,AJ624-AK624)</f>
        <v/>
      </c>
      <c r="AN624" s="84">
        <f>IF(AM624=0,AH624,IF(AM624&gt;=AH624,0,AH624-AM624))</f>
        <v/>
      </c>
      <c r="AO624" s="84">
        <f>IF(AM624&gt;=AH624,AI624,AI624*AM624/AH624)</f>
        <v/>
      </c>
      <c r="AP624">
        <f t="array" ref="AP624">INDEX($AU$8:$BB$25,6*(R624-1)+MATCH(AB624,$AS$8:$AS$13,0),MATCH(O624,$AU$7:$BB$7,0))</f>
        <v/>
      </c>
    </row>
    <row r="625" ht="14.25" customHeight="1">
      <c r="O625" s="43" t="inlineStr">
        <is>
          <t>Q1’27</t>
        </is>
      </c>
      <c r="P625" s="43" t="n">
        <v>3</v>
      </c>
      <c r="Q625" s="43" t="n">
        <v>8</v>
      </c>
      <c r="R625" s="43" t="n">
        <v>3</v>
      </c>
      <c r="S625" s="45" t="n">
        <v>3907.847507331378</v>
      </c>
      <c r="T625">
        <f>(S623+S624+S625)=R4</f>
        <v/>
      </c>
      <c r="X625" s="84">
        <f>MAX(S622-S625,0)</f>
        <v/>
      </c>
      <c r="Y625" s="83" t="n">
        <v>0</v>
      </c>
      <c r="AA625" s="84" t="n">
        <v>5</v>
      </c>
      <c r="AB625" s="84" t="inlineStr">
        <is>
          <t>C</t>
        </is>
      </c>
      <c r="AC625" s="84" t="inlineStr">
        <is>
          <t>C+</t>
        </is>
      </c>
      <c r="AD625" s="84" t="n">
        <v>19</v>
      </c>
      <c r="AE625" s="84" t="n">
        <v>13</v>
      </c>
      <c r="AF625" s="84" t="n">
        <v>0.8</v>
      </c>
      <c r="AG625" s="84" t="n">
        <v>0.86</v>
      </c>
      <c r="AH625" s="84" t="n">
        <v>0</v>
      </c>
      <c r="AI625" s="84" t="n">
        <v>0</v>
      </c>
      <c r="AJ625" s="84">
        <f>SUMIFS(AH$8:AH$1039,$O$8:$O$1039,O625,$AB$8:$AB$1039,AB625,$R$8:$R$1039,R625,$AA$8:$AA$1039,"&lt;="&amp;AA625)</f>
        <v/>
      </c>
      <c r="AK625" s="84">
        <f>E58</f>
        <v/>
      </c>
      <c r="AL625" s="84">
        <f>E64</f>
        <v/>
      </c>
      <c r="AM625" s="84">
        <f>MAX(0,AJ625-AK625)</f>
        <v/>
      </c>
      <c r="AN625" s="84">
        <f>IF(AM625=0,AH625,IF(AM625&gt;=AH625,0,AH625-AM625))</f>
        <v/>
      </c>
      <c r="AO625" s="84">
        <f>IF(AM625&gt;=AH625,AI625,AI625*AM625/AH625)</f>
        <v/>
      </c>
      <c r="AP625">
        <f t="array" ref="AP625">INDEX($AU$8:$BB$25,6*(R625-1)+MATCH(AB625,$AS$8:$AS$13,0),MATCH(O625,$AU$7:$BB$7,0))</f>
        <v/>
      </c>
    </row>
    <row r="626" ht="14.25" customHeight="1">
      <c r="O626" s="43" t="inlineStr">
        <is>
          <t>Q1’27</t>
        </is>
      </c>
      <c r="P626" s="43" t="n">
        <v>3</v>
      </c>
      <c r="Q626" s="43" t="n">
        <v>9</v>
      </c>
      <c r="R626" s="43" t="n">
        <v>1</v>
      </c>
      <c r="S626" s="45" t="n">
        <v>2141.703529411766</v>
      </c>
      <c r="T626">
        <f>(S626+S627+S628)=R4</f>
        <v/>
      </c>
      <c r="X626" s="84">
        <f>MAX(S623-S626,0)</f>
        <v/>
      </c>
      <c r="Y626" s="83" t="n">
        <v>0</v>
      </c>
      <c r="AA626" s="84" t="n">
        <v>3</v>
      </c>
      <c r="AB626" s="84" t="inlineStr">
        <is>
          <t>D</t>
        </is>
      </c>
      <c r="AC626" s="84" t="inlineStr">
        <is>
          <t>D+</t>
        </is>
      </c>
      <c r="AD626" s="84" t="n">
        <v>15</v>
      </c>
      <c r="AE626" s="84" t="n">
        <v>13</v>
      </c>
      <c r="AF626" s="84" t="n">
        <v>0.8</v>
      </c>
      <c r="AG626" s="84" t="n">
        <v>0.88</v>
      </c>
      <c r="AH626" s="84" t="n">
        <v>0</v>
      </c>
      <c r="AI626" s="84" t="n">
        <v>0</v>
      </c>
      <c r="AJ626" s="84">
        <f>SUMIFS(AH$8:AH$1039,$O$8:$O$1039,O626,$AB$8:$AB$1039,AB626,$R$8:$R$1039,R626,$AA$8:$AA$1039,"&lt;="&amp;AA626)</f>
        <v/>
      </c>
      <c r="AK626" s="84">
        <f>C59</f>
        <v/>
      </c>
      <c r="AL626" s="84">
        <f>C65</f>
        <v/>
      </c>
      <c r="AM626" s="84">
        <f>MAX(0,AJ626-AK626)</f>
        <v/>
      </c>
      <c r="AN626" s="84">
        <f>IF(AM626=0,AH626,IF(AM626&gt;=AH626,0,AH626-AM626))</f>
        <v/>
      </c>
      <c r="AO626" s="84">
        <f>IF(AM626&gt;=AH626,AI626,AI626*AM626/AH626)</f>
        <v/>
      </c>
      <c r="AP626">
        <f t="array" ref="AP626">INDEX($AU$8:$BB$25,6*(R626-1)+MATCH(AB626,$AS$8:$AS$13,0),MATCH(O626,$AU$7:$BB$7,0))</f>
        <v/>
      </c>
    </row>
    <row r="627" ht="14.25" customHeight="1">
      <c r="O627" s="43" t="inlineStr">
        <is>
          <t>Q1’27</t>
        </is>
      </c>
      <c r="P627" s="43" t="n">
        <v>3</v>
      </c>
      <c r="Q627" s="43" t="n">
        <v>9</v>
      </c>
      <c r="R627" s="43" t="n">
        <v>2</v>
      </c>
      <c r="S627" s="45" t="n">
        <v>2950.448963256856</v>
      </c>
      <c r="T627">
        <f>(S626+S627+S628)=R4</f>
        <v/>
      </c>
      <c r="X627" s="84">
        <f>MAX(S624-S627,0)</f>
        <v/>
      </c>
      <c r="Y627" s="83" t="n">
        <v>0</v>
      </c>
      <c r="AA627" s="84" t="n">
        <v>3</v>
      </c>
      <c r="AB627" s="84" t="inlineStr">
        <is>
          <t>D</t>
        </is>
      </c>
      <c r="AC627" s="84" t="inlineStr">
        <is>
          <t>D+</t>
        </is>
      </c>
      <c r="AD627" s="84" t="n">
        <v>15</v>
      </c>
      <c r="AE627" s="84" t="n">
        <v>13</v>
      </c>
      <c r="AF627" s="84" t="n">
        <v>0.8</v>
      </c>
      <c r="AG627" s="84" t="n">
        <v>0.88</v>
      </c>
      <c r="AH627" s="84" t="n">
        <v>0</v>
      </c>
      <c r="AI627" s="84" t="n">
        <v>0</v>
      </c>
      <c r="AJ627" s="84">
        <f>SUMIFS(AH$8:AH$1039,$O$8:$O$1039,O627,$AB$8:$AB$1039,AB627,$R$8:$R$1039,R627,$AA$8:$AA$1039,"&lt;="&amp;AA627)</f>
        <v/>
      </c>
      <c r="AK627" s="84">
        <f>D59</f>
        <v/>
      </c>
      <c r="AL627" s="84">
        <f>D65</f>
        <v/>
      </c>
      <c r="AM627" s="84">
        <f>MAX(0,AJ627-AK627)</f>
        <v/>
      </c>
      <c r="AN627" s="84">
        <f>IF(AM627=0,AH627,IF(AM627&gt;=AH627,0,AH627-AM627))</f>
        <v/>
      </c>
      <c r="AO627" s="84">
        <f>IF(AM627&gt;=AH627,AI627,AI627*AM627/AH627)</f>
        <v/>
      </c>
      <c r="AP627">
        <f t="array" ref="AP627">INDEX($AU$8:$BB$25,6*(R627-1)+MATCH(AB627,$AS$8:$AS$13,0),MATCH(O627,$AU$7:$BB$7,0))</f>
        <v/>
      </c>
    </row>
    <row r="628" ht="14.25" customHeight="1">
      <c r="O628" s="43" t="inlineStr">
        <is>
          <t>Q1’27</t>
        </is>
      </c>
      <c r="P628" s="43" t="n">
        <v>3</v>
      </c>
      <c r="Q628" s="43" t="n">
        <v>9</v>
      </c>
      <c r="R628" s="43" t="n">
        <v>3</v>
      </c>
      <c r="S628" s="45" t="n">
        <v>3907.847507331378</v>
      </c>
      <c r="T628">
        <f>(S626+S627+S628)=R4</f>
        <v/>
      </c>
      <c r="X628" s="84">
        <f>MAX(S625-S628,0)</f>
        <v/>
      </c>
      <c r="Y628" s="83" t="n">
        <v>0</v>
      </c>
      <c r="AA628" s="84" t="n">
        <v>3</v>
      </c>
      <c r="AB628" s="84" t="inlineStr">
        <is>
          <t>D</t>
        </is>
      </c>
      <c r="AC628" s="84" t="inlineStr">
        <is>
          <t>D+</t>
        </is>
      </c>
      <c r="AD628" s="84" t="n">
        <v>15</v>
      </c>
      <c r="AE628" s="84" t="n">
        <v>13</v>
      </c>
      <c r="AF628" s="84" t="n">
        <v>0.8</v>
      </c>
      <c r="AG628" s="84" t="n">
        <v>0.88</v>
      </c>
      <c r="AH628" s="84" t="n">
        <v>0</v>
      </c>
      <c r="AI628" s="84" t="n">
        <v>0</v>
      </c>
      <c r="AJ628" s="84">
        <f>SUMIFS(AH$8:AH$1039,$O$8:$O$1039,O628,$AB$8:$AB$1039,AB628,$R$8:$R$1039,R628,$AA$8:$AA$1039,"&lt;="&amp;AA628)</f>
        <v/>
      </c>
      <c r="AK628" s="84">
        <f>E59</f>
        <v/>
      </c>
      <c r="AL628" s="84">
        <f>E65</f>
        <v/>
      </c>
      <c r="AM628" s="84">
        <f>MAX(0,AJ628-AK628)</f>
        <v/>
      </c>
      <c r="AN628" s="84">
        <f>IF(AM628=0,AH628,IF(AM628&gt;=AH628,0,AH628-AM628))</f>
        <v/>
      </c>
      <c r="AO628" s="84">
        <f>IF(AM628&gt;=AH628,AI628,AI628*AM628/AH628)</f>
        <v/>
      </c>
      <c r="AP628">
        <f t="array" ref="AP628">INDEX($AU$8:$BB$25,6*(R628-1)+MATCH(AB628,$AS$8:$AS$13,0),MATCH(O628,$AU$7:$BB$7,0))</f>
        <v/>
      </c>
    </row>
    <row r="629" ht="14.25" customHeight="1">
      <c r="O629" s="43" t="inlineStr">
        <is>
          <t>Q1’27</t>
        </is>
      </c>
      <c r="P629" s="43" t="n">
        <v>3</v>
      </c>
      <c r="Q629" s="43" t="n">
        <v>10</v>
      </c>
      <c r="R629" s="43" t="n">
        <v>1</v>
      </c>
      <c r="S629" s="45" t="n">
        <v>2141.703529411766</v>
      </c>
      <c r="T629">
        <f>(S629+S630+S631)=R4</f>
        <v/>
      </c>
      <c r="X629" s="84">
        <f>MAX(S626-S629,0)</f>
        <v/>
      </c>
      <c r="Y629" s="83" t="n">
        <v>0</v>
      </c>
      <c r="AA629" s="84" t="n">
        <v>5</v>
      </c>
      <c r="AB629" s="84" t="inlineStr">
        <is>
          <t>D</t>
        </is>
      </c>
      <c r="AC629" s="84" t="inlineStr">
        <is>
          <t>D+</t>
        </is>
      </c>
      <c r="AD629" s="84" t="n">
        <v>24</v>
      </c>
      <c r="AE629" s="84" t="n">
        <v>20</v>
      </c>
      <c r="AF629" s="84" t="n">
        <v>0.8</v>
      </c>
      <c r="AG629" s="84" t="n">
        <v>0.88</v>
      </c>
      <c r="AH629" s="84" t="n">
        <v>0</v>
      </c>
      <c r="AI629" s="84" t="n">
        <v>0</v>
      </c>
      <c r="AJ629" s="84">
        <f>SUMIFS(AH$8:AH$1039,$O$8:$O$1039,O629,$AB$8:$AB$1039,AB629,$R$8:$R$1039,R629,$AA$8:$AA$1039,"&lt;="&amp;AA629)</f>
        <v/>
      </c>
      <c r="AK629" s="84">
        <f>C59</f>
        <v/>
      </c>
      <c r="AL629" s="84">
        <f>C65</f>
        <v/>
      </c>
      <c r="AM629" s="84">
        <f>MAX(0,AJ629-AK629)</f>
        <v/>
      </c>
      <c r="AN629" s="84">
        <f>IF(AM629=0,AH629,IF(AM629&gt;=AH629,0,AH629-AM629))</f>
        <v/>
      </c>
      <c r="AO629" s="84">
        <f>IF(AM629&gt;=AH629,AI629,AI629*AM629/AH629)</f>
        <v/>
      </c>
      <c r="AP629">
        <f t="array" ref="AP629">INDEX($AU$8:$BB$25,6*(R629-1)+MATCH(AB629,$AS$8:$AS$13,0),MATCH(O629,$AU$7:$BB$7,0))</f>
        <v/>
      </c>
    </row>
    <row r="630" ht="14.25" customHeight="1">
      <c r="O630" s="43" t="inlineStr">
        <is>
          <t>Q1’27</t>
        </is>
      </c>
      <c r="P630" s="43" t="n">
        <v>3</v>
      </c>
      <c r="Q630" s="43" t="n">
        <v>10</v>
      </c>
      <c r="R630" s="43" t="n">
        <v>2</v>
      </c>
      <c r="S630" s="45" t="n">
        <v>2950.448963256856</v>
      </c>
      <c r="T630">
        <f>(S629+S630+S631)=R4</f>
        <v/>
      </c>
      <c r="X630" s="84">
        <f>MAX(S627-S630,0)</f>
        <v/>
      </c>
      <c r="Y630" s="83" t="n">
        <v>0</v>
      </c>
      <c r="AA630" s="84" t="n">
        <v>5</v>
      </c>
      <c r="AB630" s="84" t="inlineStr">
        <is>
          <t>D</t>
        </is>
      </c>
      <c r="AC630" s="84" t="inlineStr">
        <is>
          <t>D+</t>
        </is>
      </c>
      <c r="AD630" s="84" t="n">
        <v>24</v>
      </c>
      <c r="AE630" s="84" t="n">
        <v>20</v>
      </c>
      <c r="AF630" s="84" t="n">
        <v>0.8</v>
      </c>
      <c r="AG630" s="84" t="n">
        <v>0.88</v>
      </c>
      <c r="AH630" s="84" t="n">
        <v>0</v>
      </c>
      <c r="AI630" s="84" t="n">
        <v>0</v>
      </c>
      <c r="AJ630" s="84">
        <f>SUMIFS(AH$8:AH$1039,$O$8:$O$1039,O630,$AB$8:$AB$1039,AB630,$R$8:$R$1039,R630,$AA$8:$AA$1039,"&lt;="&amp;AA630)</f>
        <v/>
      </c>
      <c r="AK630" s="84">
        <f>D59</f>
        <v/>
      </c>
      <c r="AL630" s="84">
        <f>D65</f>
        <v/>
      </c>
      <c r="AM630" s="84">
        <f>MAX(0,AJ630-AK630)</f>
        <v/>
      </c>
      <c r="AN630" s="84">
        <f>IF(AM630=0,AH630,IF(AM630&gt;=AH630,0,AH630-AM630))</f>
        <v/>
      </c>
      <c r="AO630" s="84">
        <f>IF(AM630&gt;=AH630,AI630,AI630*AM630/AH630)</f>
        <v/>
      </c>
      <c r="AP630">
        <f t="array" ref="AP630">INDEX($AU$8:$BB$25,6*(R630-1)+MATCH(AB630,$AS$8:$AS$13,0),MATCH(O630,$AU$7:$BB$7,0))</f>
        <v/>
      </c>
    </row>
    <row r="631" ht="14.25" customHeight="1">
      <c r="O631" s="43" t="inlineStr">
        <is>
          <t>Q1’27</t>
        </is>
      </c>
      <c r="P631" s="43" t="n">
        <v>3</v>
      </c>
      <c r="Q631" s="43" t="n">
        <v>10</v>
      </c>
      <c r="R631" s="43" t="n">
        <v>3</v>
      </c>
      <c r="S631" s="45" t="n">
        <v>3907.847507331378</v>
      </c>
      <c r="T631">
        <f>(S629+S630+S631)=R4</f>
        <v/>
      </c>
      <c r="X631" s="84">
        <f>MAX(S628-S631,0)</f>
        <v/>
      </c>
      <c r="Y631" s="83" t="n">
        <v>0</v>
      </c>
      <c r="AA631" s="84" t="n">
        <v>5</v>
      </c>
      <c r="AB631" s="84" t="inlineStr">
        <is>
          <t>D</t>
        </is>
      </c>
      <c r="AC631" s="84" t="inlineStr">
        <is>
          <t>D+</t>
        </is>
      </c>
      <c r="AD631" s="84" t="n">
        <v>24</v>
      </c>
      <c r="AE631" s="84" t="n">
        <v>20</v>
      </c>
      <c r="AF631" s="84" t="n">
        <v>0.8</v>
      </c>
      <c r="AG631" s="84" t="n">
        <v>0.88</v>
      </c>
      <c r="AH631" s="84" t="n">
        <v>0</v>
      </c>
      <c r="AI631" s="84" t="n">
        <v>0</v>
      </c>
      <c r="AJ631" s="84">
        <f>SUMIFS(AH$8:AH$1039,$O$8:$O$1039,O631,$AB$8:$AB$1039,AB631,$R$8:$R$1039,R631,$AA$8:$AA$1039,"&lt;="&amp;AA631)</f>
        <v/>
      </c>
      <c r="AK631" s="84">
        <f>E59</f>
        <v/>
      </c>
      <c r="AL631" s="84">
        <f>E65</f>
        <v/>
      </c>
      <c r="AM631" s="84">
        <f>MAX(0,AJ631-AK631)</f>
        <v/>
      </c>
      <c r="AN631" s="84">
        <f>IF(AM631=0,AH631,IF(AM631&gt;=AH631,0,AH631-AM631))</f>
        <v/>
      </c>
      <c r="AO631" s="84">
        <f>IF(AM631&gt;=AH631,AI631,AI631*AM631/AH631)</f>
        <v/>
      </c>
      <c r="AP631">
        <f t="array" ref="AP631">INDEX($AU$8:$BB$25,6*(R631-1)+MATCH(AB631,$AS$8:$AS$13,0),MATCH(O631,$AU$7:$BB$7,0))</f>
        <v/>
      </c>
    </row>
    <row r="632" ht="14.25" customHeight="1">
      <c r="O632" s="43" t="inlineStr">
        <is>
          <t>Q1’27</t>
        </is>
      </c>
      <c r="P632" s="43" t="n">
        <v>3</v>
      </c>
      <c r="Q632" s="43" t="n">
        <v>11</v>
      </c>
      <c r="R632" s="43" t="n">
        <v>1</v>
      </c>
      <c r="S632" s="45" t="n">
        <v>2141.703529411766</v>
      </c>
      <c r="T632">
        <f>(S632+S633+S634)=R4</f>
        <v/>
      </c>
      <c r="X632" s="84">
        <f>MAX(S629-S632,0)</f>
        <v/>
      </c>
      <c r="Y632" s="83" t="n">
        <v>0</v>
      </c>
      <c r="AA632" s="84" t="n">
        <v>3</v>
      </c>
      <c r="AB632" s="84" t="inlineStr">
        <is>
          <t>E</t>
        </is>
      </c>
      <c r="AC632" s="84" t="inlineStr">
        <is>
          <t>E+</t>
        </is>
      </c>
      <c r="AD632" s="84" t="n">
        <v>17</v>
      </c>
      <c r="AE632" s="84" t="n">
        <v>15</v>
      </c>
      <c r="AF632" s="84" t="n">
        <v>0.76</v>
      </c>
      <c r="AG632" s="84" t="n">
        <v>0.84</v>
      </c>
      <c r="AH632" s="84" t="n">
        <v>0</v>
      </c>
      <c r="AI632" s="84" t="n">
        <v>0</v>
      </c>
      <c r="AJ632" s="84">
        <f>SUMIFS(AH$8:AH$1039,$O$8:$O$1039,O632,$AB$8:$AB$1039,AB632,$R$8:$R$1039,R632,$AA$8:$AA$1039,"&lt;="&amp;AA632)</f>
        <v/>
      </c>
      <c r="AK632" s="84">
        <f>C60</f>
        <v/>
      </c>
      <c r="AL632" s="84">
        <f>C66</f>
        <v/>
      </c>
      <c r="AM632" s="84">
        <f>MAX(0,AJ632-AK632)</f>
        <v/>
      </c>
      <c r="AN632" s="84">
        <f>IF(AM632=0,AH632,IF(AM632&gt;=AH632,0,AH632-AM632))</f>
        <v/>
      </c>
      <c r="AO632" s="84">
        <f>IF(AM632&gt;=AH632,AI632,AI632*AM632/AH632)</f>
        <v/>
      </c>
      <c r="AP632">
        <f t="array" ref="AP632">INDEX($AU$8:$BB$25,6*(R632-1)+MATCH(AB632,$AS$8:$AS$13,0),MATCH(O632,$AU$7:$BB$7,0))</f>
        <v/>
      </c>
    </row>
    <row r="633" ht="14.25" customHeight="1">
      <c r="O633" s="43" t="inlineStr">
        <is>
          <t>Q1’27</t>
        </is>
      </c>
      <c r="P633" s="43" t="n">
        <v>3</v>
      </c>
      <c r="Q633" s="43" t="n">
        <v>11</v>
      </c>
      <c r="R633" s="43" t="n">
        <v>2</v>
      </c>
      <c r="S633" s="45" t="n">
        <v>2950.448963256857</v>
      </c>
      <c r="T633">
        <f>(S632+S633+S634)=R4</f>
        <v/>
      </c>
      <c r="X633" s="84">
        <f>MAX(S630-S633,0)</f>
        <v/>
      </c>
      <c r="Y633" s="83" t="n">
        <v>0</v>
      </c>
      <c r="AA633" s="84" t="n">
        <v>3</v>
      </c>
      <c r="AB633" s="84" t="inlineStr">
        <is>
          <t>E</t>
        </is>
      </c>
      <c r="AC633" s="84" t="inlineStr">
        <is>
          <t>E+</t>
        </is>
      </c>
      <c r="AD633" s="84" t="n">
        <v>17</v>
      </c>
      <c r="AE633" s="84" t="n">
        <v>15</v>
      </c>
      <c r="AF633" s="84" t="n">
        <v>0.76</v>
      </c>
      <c r="AG633" s="84" t="n">
        <v>0.84</v>
      </c>
      <c r="AH633" s="84" t="n">
        <v>0</v>
      </c>
      <c r="AI633" s="84" t="n">
        <v>0</v>
      </c>
      <c r="AJ633" s="84">
        <f>SUMIFS(AH$8:AH$1039,$O$8:$O$1039,O633,$AB$8:$AB$1039,AB633,$R$8:$R$1039,R633,$AA$8:$AA$1039,"&lt;="&amp;AA633)</f>
        <v/>
      </c>
      <c r="AK633" s="84">
        <f>D60</f>
        <v/>
      </c>
      <c r="AL633" s="84">
        <f>D66</f>
        <v/>
      </c>
      <c r="AM633" s="84">
        <f>MAX(0,AJ633-AK633)</f>
        <v/>
      </c>
      <c r="AN633" s="84">
        <f>IF(AM633=0,AH633,IF(AM633&gt;=AH633,0,AH633-AM633))</f>
        <v/>
      </c>
      <c r="AO633" s="84">
        <f>IF(AM633&gt;=AH633,AI633,AI633*AM633/AH633)</f>
        <v/>
      </c>
      <c r="AP633">
        <f t="array" ref="AP633">INDEX($AU$8:$BB$25,6*(R633-1)+MATCH(AB633,$AS$8:$AS$13,0),MATCH(O633,$AU$7:$BB$7,0))</f>
        <v/>
      </c>
    </row>
    <row r="634" ht="14.25" customHeight="1">
      <c r="O634" s="43" t="inlineStr">
        <is>
          <t>Q1’27</t>
        </is>
      </c>
      <c r="P634" s="43" t="n">
        <v>3</v>
      </c>
      <c r="Q634" s="43" t="n">
        <v>11</v>
      </c>
      <c r="R634" s="43" t="n">
        <v>3</v>
      </c>
      <c r="S634" s="45" t="n">
        <v>3907.847507331377</v>
      </c>
      <c r="T634">
        <f>(S632+S633+S634)=R4</f>
        <v/>
      </c>
      <c r="X634" s="84">
        <f>MAX(S631-S634,0)</f>
        <v/>
      </c>
      <c r="Y634" s="83" t="n">
        <v>0</v>
      </c>
      <c r="AA634" s="84" t="n">
        <v>3</v>
      </c>
      <c r="AB634" s="84" t="inlineStr">
        <is>
          <t>E</t>
        </is>
      </c>
      <c r="AC634" s="84" t="inlineStr">
        <is>
          <t>E+</t>
        </is>
      </c>
      <c r="AD634" s="84" t="n">
        <v>17</v>
      </c>
      <c r="AE634" s="84" t="n">
        <v>15</v>
      </c>
      <c r="AF634" s="84" t="n">
        <v>0.76</v>
      </c>
      <c r="AG634" s="84" t="n">
        <v>0.84</v>
      </c>
      <c r="AH634" s="84" t="n">
        <v>0</v>
      </c>
      <c r="AI634" s="84" t="n">
        <v>0</v>
      </c>
      <c r="AJ634" s="84">
        <f>SUMIFS(AH$8:AH$1039,$O$8:$O$1039,O634,$AB$8:$AB$1039,AB634,$R$8:$R$1039,R634,$AA$8:$AA$1039,"&lt;="&amp;AA634)</f>
        <v/>
      </c>
      <c r="AK634" s="84">
        <f>E60</f>
        <v/>
      </c>
      <c r="AL634" s="84">
        <f>E66</f>
        <v/>
      </c>
      <c r="AM634" s="84">
        <f>MAX(0,AJ634-AK634)</f>
        <v/>
      </c>
      <c r="AN634" s="84">
        <f>IF(AM634=0,AH634,IF(AM634&gt;=AH634,0,AH634-AM634))</f>
        <v/>
      </c>
      <c r="AO634" s="84">
        <f>IF(AM634&gt;=AH634,AI634,AI634*AM634/AH634)</f>
        <v/>
      </c>
      <c r="AP634">
        <f t="array" ref="AP634">INDEX($AU$8:$BB$25,6*(R634-1)+MATCH(AB634,$AS$8:$AS$13,0),MATCH(O634,$AU$7:$BB$7,0))</f>
        <v/>
      </c>
    </row>
    <row r="635" ht="14.25" customHeight="1">
      <c r="O635" s="43" t="inlineStr">
        <is>
          <t>Q1’27</t>
        </is>
      </c>
      <c r="P635" s="43" t="n">
        <v>3</v>
      </c>
      <c r="Q635" s="43" t="n">
        <v>12</v>
      </c>
      <c r="R635" s="43" t="n">
        <v>1</v>
      </c>
      <c r="S635" s="45" t="n">
        <v>2141.703529411766</v>
      </c>
      <c r="T635">
        <f>(S635+S636+S637)=R4</f>
        <v/>
      </c>
      <c r="X635" s="84">
        <f>MAX(S632-S635,0)</f>
        <v/>
      </c>
      <c r="Y635" s="83" t="n">
        <v>0</v>
      </c>
      <c r="AA635" s="84" t="n">
        <v>10</v>
      </c>
      <c r="AB635" s="84" t="inlineStr">
        <is>
          <t>E</t>
        </is>
      </c>
      <c r="AC635" s="84" t="inlineStr">
        <is>
          <t>E+</t>
        </is>
      </c>
      <c r="AD635" s="84" t="n">
        <v>18</v>
      </c>
      <c r="AE635" s="84" t="n">
        <v>13</v>
      </c>
      <c r="AF635" s="84" t="n">
        <v>0.76</v>
      </c>
      <c r="AG635" s="84" t="n">
        <v>0.84</v>
      </c>
      <c r="AH635" s="84" t="n">
        <v>0</v>
      </c>
      <c r="AI635" s="84" t="n">
        <v>0</v>
      </c>
      <c r="AJ635" s="84">
        <f>SUMIFS(AH$8:AH$1039,$O$8:$O$1039,O635,$AB$8:$AB$1039,AB635,$R$8:$R$1039,R635,$AA$8:$AA$1039,"&lt;="&amp;AA635)</f>
        <v/>
      </c>
      <c r="AK635" s="84">
        <f>C60</f>
        <v/>
      </c>
      <c r="AL635" s="84">
        <f>C66</f>
        <v/>
      </c>
      <c r="AM635" s="84">
        <f>MAX(0,AJ635-AK635)</f>
        <v/>
      </c>
      <c r="AN635" s="84">
        <f>IF(AM635=0,AH635,IF(AM635&gt;=AH635,0,AH635-AM635))</f>
        <v/>
      </c>
      <c r="AO635" s="84">
        <f>IF(AM635&gt;=AH635,AI635,AI635*AM635/AH635)</f>
        <v/>
      </c>
      <c r="AP635">
        <f t="array" ref="AP635">INDEX($AU$8:$BB$25,6*(R635-1)+MATCH(AB635,$AS$8:$AS$13,0),MATCH(O635,$AU$7:$BB$7,0))</f>
        <v/>
      </c>
    </row>
    <row r="636" ht="14.25" customHeight="1">
      <c r="O636" s="43" t="inlineStr">
        <is>
          <t>Q1’27</t>
        </is>
      </c>
      <c r="P636" s="43" t="n">
        <v>3</v>
      </c>
      <c r="Q636" s="43" t="n">
        <v>12</v>
      </c>
      <c r="R636" s="43" t="n">
        <v>2</v>
      </c>
      <c r="S636" s="45" t="n">
        <v>2950.448963256857</v>
      </c>
      <c r="T636">
        <f>(S635+S636+S637)=R4</f>
        <v/>
      </c>
      <c r="X636" s="84">
        <f>MAX(S633-S636,0)</f>
        <v/>
      </c>
      <c r="Y636" s="83" t="n">
        <v>0</v>
      </c>
      <c r="AA636" s="84" t="n">
        <v>10</v>
      </c>
      <c r="AB636" s="84" t="inlineStr">
        <is>
          <t>E</t>
        </is>
      </c>
      <c r="AC636" s="84" t="inlineStr">
        <is>
          <t>E+</t>
        </is>
      </c>
      <c r="AD636" s="84" t="n">
        <v>18</v>
      </c>
      <c r="AE636" s="84" t="n">
        <v>13</v>
      </c>
      <c r="AF636" s="84" t="n">
        <v>0.76</v>
      </c>
      <c r="AG636" s="84" t="n">
        <v>0.84</v>
      </c>
      <c r="AH636" s="84" t="n">
        <v>0</v>
      </c>
      <c r="AI636" s="84" t="n">
        <v>0</v>
      </c>
      <c r="AJ636" s="84">
        <f>SUMIFS(AH$8:AH$1039,$O$8:$O$1039,O636,$AB$8:$AB$1039,AB636,$R$8:$R$1039,R636,$AA$8:$AA$1039,"&lt;="&amp;AA636)</f>
        <v/>
      </c>
      <c r="AK636" s="84">
        <f>D60</f>
        <v/>
      </c>
      <c r="AL636" s="84">
        <f>D66</f>
        <v/>
      </c>
      <c r="AM636" s="84">
        <f>MAX(0,AJ636-AK636)</f>
        <v/>
      </c>
      <c r="AN636" s="84">
        <f>IF(AM636=0,AH636,IF(AM636&gt;=AH636,0,AH636-AM636))</f>
        <v/>
      </c>
      <c r="AO636" s="84">
        <f>IF(AM636&gt;=AH636,AI636,AI636*AM636/AH636)</f>
        <v/>
      </c>
      <c r="AP636">
        <f t="array" ref="AP636">INDEX($AU$8:$BB$25,6*(R636-1)+MATCH(AB636,$AS$8:$AS$13,0),MATCH(O636,$AU$7:$BB$7,0))</f>
        <v/>
      </c>
    </row>
    <row r="637" ht="14.25" customHeight="1">
      <c r="O637" s="43" t="inlineStr">
        <is>
          <t>Q1’27</t>
        </is>
      </c>
      <c r="P637" s="43" t="n">
        <v>3</v>
      </c>
      <c r="Q637" s="43" t="n">
        <v>12</v>
      </c>
      <c r="R637" s="43" t="n">
        <v>3</v>
      </c>
      <c r="S637" s="45" t="n">
        <v>3907.847507331377</v>
      </c>
      <c r="T637">
        <f>(S635+S636+S637)=R4</f>
        <v/>
      </c>
      <c r="X637" s="84">
        <f>MAX(S634-S637,0)</f>
        <v/>
      </c>
      <c r="Y637" s="83" t="n">
        <v>0</v>
      </c>
      <c r="AA637" s="84" t="n">
        <v>10</v>
      </c>
      <c r="AB637" s="84" t="inlineStr">
        <is>
          <t>E</t>
        </is>
      </c>
      <c r="AC637" s="84" t="inlineStr">
        <is>
          <t>E+</t>
        </is>
      </c>
      <c r="AD637" s="84" t="n">
        <v>18</v>
      </c>
      <c r="AE637" s="84" t="n">
        <v>13</v>
      </c>
      <c r="AF637" s="84" t="n">
        <v>0.76</v>
      </c>
      <c r="AG637" s="84" t="n">
        <v>0.84</v>
      </c>
      <c r="AH637" s="84" t="n">
        <v>0</v>
      </c>
      <c r="AI637" s="84" t="n">
        <v>0</v>
      </c>
      <c r="AJ637" s="84">
        <f>SUMIFS(AH$8:AH$1039,$O$8:$O$1039,O637,$AB$8:$AB$1039,AB637,$R$8:$R$1039,R637,$AA$8:$AA$1039,"&lt;="&amp;AA637)</f>
        <v/>
      </c>
      <c r="AK637" s="84">
        <f>E60</f>
        <v/>
      </c>
      <c r="AL637" s="84">
        <f>E66</f>
        <v/>
      </c>
      <c r="AM637" s="84">
        <f>MAX(0,AJ637-AK637)</f>
        <v/>
      </c>
      <c r="AN637" s="84">
        <f>IF(AM637=0,AH637,IF(AM637&gt;=AH637,0,AH637-AM637))</f>
        <v/>
      </c>
      <c r="AO637" s="84">
        <f>IF(AM637&gt;=AH637,AI637,AI637*AM637/AH637)</f>
        <v/>
      </c>
      <c r="AP637">
        <f t="array" ref="AP637">INDEX($AU$8:$BB$25,6*(R637-1)+MATCH(AB637,$AS$8:$AS$13,0),MATCH(O637,$AU$7:$BB$7,0))</f>
        <v/>
      </c>
    </row>
    <row r="638" ht="14.25" customHeight="1">
      <c r="O638" s="43" t="inlineStr">
        <is>
          <t>Q1’27</t>
        </is>
      </c>
      <c r="P638" s="43" t="n">
        <v>3</v>
      </c>
      <c r="Q638" s="43" t="n">
        <v>13</v>
      </c>
      <c r="R638" s="43" t="n">
        <v>1</v>
      </c>
      <c r="S638" s="45" t="n">
        <v>2141.703529411766</v>
      </c>
      <c r="T638">
        <f>(S638+S639+S640)=R4</f>
        <v/>
      </c>
      <c r="X638" s="84">
        <f>MAX(S635-S638,0)</f>
        <v/>
      </c>
      <c r="Y638" s="83" t="n">
        <v>0</v>
      </c>
      <c r="AA638" s="84" t="n">
        <v>2</v>
      </c>
      <c r="AB638" s="84" t="inlineStr">
        <is>
          <t>F</t>
        </is>
      </c>
      <c r="AC638" s="84" t="inlineStr">
        <is>
          <t>F+</t>
        </is>
      </c>
      <c r="AD638" s="84" t="n">
        <v>20</v>
      </c>
      <c r="AE638" s="84" t="n">
        <v>18</v>
      </c>
      <c r="AF638" s="84" t="n">
        <v>0.8</v>
      </c>
      <c r="AG638" s="84" t="n">
        <v>0.9</v>
      </c>
      <c r="AH638" s="84" t="n">
        <v>0</v>
      </c>
      <c r="AI638" s="84" t="n">
        <v>0</v>
      </c>
      <c r="AJ638" s="84">
        <f>SUMIFS(AH$8:AH$1039,$O$8:$O$1039,O638,$AB$8:$AB$1039,AB638,$R$8:$R$1039,R638,$AA$8:$AA$1039,"&lt;="&amp;AA638)</f>
        <v/>
      </c>
      <c r="AK638" s="84">
        <f>C61</f>
        <v/>
      </c>
      <c r="AL638" s="84">
        <f>C67</f>
        <v/>
      </c>
      <c r="AM638" s="84">
        <f>MAX(0,AJ638-AK638)</f>
        <v/>
      </c>
      <c r="AN638" s="84">
        <f>IF(AM638=0,AH638,IF(AM638&gt;=AH638,0,AH638-AM638))</f>
        <v/>
      </c>
      <c r="AO638" s="84">
        <f>IF(AM638&gt;=AH638,AI638,AI638*AM638/AH638)</f>
        <v/>
      </c>
      <c r="AP638">
        <f t="array" ref="AP638">INDEX($AU$8:$BB$25,6*(R638-1)+MATCH(AB638,$AS$8:$AS$13,0),MATCH(O638,$AU$7:$BB$7,0))</f>
        <v/>
      </c>
    </row>
    <row r="639" ht="14.25" customHeight="1">
      <c r="O639" s="43" t="inlineStr">
        <is>
          <t>Q1’27</t>
        </is>
      </c>
      <c r="P639" s="43" t="n">
        <v>3</v>
      </c>
      <c r="Q639" s="43" t="n">
        <v>13</v>
      </c>
      <c r="R639" s="43" t="n">
        <v>2</v>
      </c>
      <c r="S639" s="45" t="n">
        <v>2950.448963256856</v>
      </c>
      <c r="T639">
        <f>(S638+S639+S640)=R4</f>
        <v/>
      </c>
      <c r="X639" s="84">
        <f>MAX(S636-S639,0)</f>
        <v/>
      </c>
      <c r="Y639" s="83" t="n">
        <v>0</v>
      </c>
      <c r="AA639" s="84" t="n">
        <v>2</v>
      </c>
      <c r="AB639" s="84" t="inlineStr">
        <is>
          <t>F</t>
        </is>
      </c>
      <c r="AC639" s="84" t="inlineStr">
        <is>
          <t>F+</t>
        </is>
      </c>
      <c r="AD639" s="84" t="n">
        <v>20</v>
      </c>
      <c r="AE639" s="84" t="n">
        <v>18</v>
      </c>
      <c r="AF639" s="84" t="n">
        <v>0.8</v>
      </c>
      <c r="AG639" s="84" t="n">
        <v>0.9</v>
      </c>
      <c r="AH639" s="84" t="n">
        <v>0</v>
      </c>
      <c r="AI639" s="84" t="n">
        <v>0</v>
      </c>
      <c r="AJ639" s="84">
        <f>SUMIFS(AH$8:AH$1039,$O$8:$O$1039,O639,$AB$8:$AB$1039,AB639,$R$8:$R$1039,R639,$AA$8:$AA$1039,"&lt;="&amp;AA639)</f>
        <v/>
      </c>
      <c r="AK639" s="84">
        <f>D61</f>
        <v/>
      </c>
      <c r="AL639" s="84">
        <f>D67</f>
        <v/>
      </c>
      <c r="AM639" s="84">
        <f>MAX(0,AJ639-AK639)</f>
        <v/>
      </c>
      <c r="AN639" s="84">
        <f>IF(AM639=0,AH639,IF(AM639&gt;=AH639,0,AH639-AM639))</f>
        <v/>
      </c>
      <c r="AO639" s="84">
        <f>IF(AM639&gt;=AH639,AI639,AI639*AM639/AH639)</f>
        <v/>
      </c>
      <c r="AP639">
        <f t="array" ref="AP639">INDEX($AU$8:$BB$25,6*(R639-1)+MATCH(AB639,$AS$8:$AS$13,0),MATCH(O639,$AU$7:$BB$7,0))</f>
        <v/>
      </c>
    </row>
    <row r="640" ht="14.25" customHeight="1">
      <c r="O640" s="43" t="inlineStr">
        <is>
          <t>Q1’27</t>
        </is>
      </c>
      <c r="P640" s="43" t="n">
        <v>3</v>
      </c>
      <c r="Q640" s="43" t="n">
        <v>13</v>
      </c>
      <c r="R640" s="43" t="n">
        <v>3</v>
      </c>
      <c r="S640" s="45" t="n">
        <v>3907.847507331378</v>
      </c>
      <c r="T640">
        <f>(S638+S639+S640)=R4</f>
        <v/>
      </c>
      <c r="X640" s="84">
        <f>MAX(S637-S640,0)</f>
        <v/>
      </c>
      <c r="Y640" s="83" t="n">
        <v>0</v>
      </c>
      <c r="AA640" s="84" t="n">
        <v>2</v>
      </c>
      <c r="AB640" s="84" t="inlineStr">
        <is>
          <t>F</t>
        </is>
      </c>
      <c r="AC640" s="84" t="inlineStr">
        <is>
          <t>F+</t>
        </is>
      </c>
      <c r="AD640" s="84" t="n">
        <v>20</v>
      </c>
      <c r="AE640" s="84" t="n">
        <v>18</v>
      </c>
      <c r="AF640" s="84" t="n">
        <v>0.8</v>
      </c>
      <c r="AG640" s="84" t="n">
        <v>0.9</v>
      </c>
      <c r="AH640" s="84" t="n">
        <v>0</v>
      </c>
      <c r="AI640" s="84" t="n">
        <v>0</v>
      </c>
      <c r="AJ640" s="84">
        <f>SUMIFS(AH$8:AH$1039,$O$8:$O$1039,O640,$AB$8:$AB$1039,AB640,$R$8:$R$1039,R640,$AA$8:$AA$1039,"&lt;="&amp;AA640)</f>
        <v/>
      </c>
      <c r="AK640" s="84">
        <f>E61</f>
        <v/>
      </c>
      <c r="AL640" s="84">
        <f>E67</f>
        <v/>
      </c>
      <c r="AM640" s="84">
        <f>MAX(0,AJ640-AK640)</f>
        <v/>
      </c>
      <c r="AN640" s="84">
        <f>IF(AM640=0,AH640,IF(AM640&gt;=AH640,0,AH640-AM640))</f>
        <v/>
      </c>
      <c r="AO640" s="84">
        <f>IF(AM640&gt;=AH640,AI640,AI640*AM640/AH640)</f>
        <v/>
      </c>
      <c r="AP640">
        <f t="array" ref="AP640">INDEX($AU$8:$BB$25,6*(R640-1)+MATCH(AB640,$AS$8:$AS$13,0),MATCH(O640,$AU$7:$BB$7,0))</f>
        <v/>
      </c>
    </row>
    <row r="641" ht="14.25" customHeight="1">
      <c r="O641" s="43" t="inlineStr">
        <is>
          <t>Q1’27</t>
        </is>
      </c>
      <c r="P641" s="43" t="n">
        <v>3</v>
      </c>
      <c r="Q641" s="43" t="n">
        <v>14</v>
      </c>
      <c r="R641" s="43" t="n">
        <v>1</v>
      </c>
      <c r="S641" s="45" t="n">
        <v>2141.703529411766</v>
      </c>
      <c r="T641">
        <f>(S641+S642+S643)=R4</f>
        <v/>
      </c>
      <c r="X641" s="84">
        <f>MAX(S638-S641,0)</f>
        <v/>
      </c>
      <c r="Y641" s="83" t="n">
        <v>0</v>
      </c>
      <c r="AA641" s="84" t="n">
        <v>2</v>
      </c>
      <c r="AB641" s="84" t="inlineStr">
        <is>
          <t>C</t>
        </is>
      </c>
      <c r="AC641" s="84" t="inlineStr">
        <is>
          <t>C+</t>
        </is>
      </c>
      <c r="AD641" s="84" t="n">
        <v>12</v>
      </c>
      <c r="AE641" s="84" t="n">
        <v>11</v>
      </c>
      <c r="AF641" s="84" t="n">
        <v>0.8</v>
      </c>
      <c r="AG641" s="84" t="n">
        <v>0.86</v>
      </c>
      <c r="AH641" s="84" t="n">
        <v>0</v>
      </c>
      <c r="AI641" s="84" t="n">
        <v>0</v>
      </c>
      <c r="AJ641" s="84">
        <f>SUMIFS(AH$8:AH$1039,$O$8:$O$1039,O641,$AB$8:$AB$1039,AB641,$R$8:$R$1039,R641,$AA$8:$AA$1039,"&lt;="&amp;AA641)</f>
        <v/>
      </c>
      <c r="AK641" s="84">
        <f>C58</f>
        <v/>
      </c>
      <c r="AL641" s="84">
        <f>C64</f>
        <v/>
      </c>
      <c r="AM641" s="84">
        <f>MAX(0,AJ641-AK641)</f>
        <v/>
      </c>
      <c r="AN641" s="84">
        <f>IF(AM641=0,AH641,IF(AM641&gt;=AH641,0,AH641-AM641))</f>
        <v/>
      </c>
      <c r="AO641" s="84">
        <f>IF(AM641&gt;=AH641,AI641,AI641*AM641/AH641)</f>
        <v/>
      </c>
      <c r="AP641">
        <f t="array" ref="AP641">INDEX($AU$8:$BB$25,6*(R641-1)+MATCH(AB641,$AS$8:$AS$13,0),MATCH(O641,$AU$7:$BB$7,0))</f>
        <v/>
      </c>
    </row>
    <row r="642" ht="14.25" customHeight="1">
      <c r="O642" s="43" t="inlineStr">
        <is>
          <t>Q1’27</t>
        </is>
      </c>
      <c r="P642" s="43" t="n">
        <v>3</v>
      </c>
      <c r="Q642" s="43" t="n">
        <v>14</v>
      </c>
      <c r="R642" s="43" t="n">
        <v>2</v>
      </c>
      <c r="S642" s="45" t="n">
        <v>2950.448963256856</v>
      </c>
      <c r="T642">
        <f>(S641+S642+S643)=R4</f>
        <v/>
      </c>
      <c r="X642" s="84">
        <f>MAX(S639-S642,0)</f>
        <v/>
      </c>
      <c r="Y642" s="83" t="n">
        <v>0</v>
      </c>
      <c r="AA642" s="84" t="n">
        <v>2</v>
      </c>
      <c r="AB642" s="84" t="inlineStr">
        <is>
          <t>C</t>
        </is>
      </c>
      <c r="AC642" s="84" t="inlineStr">
        <is>
          <t>C+</t>
        </is>
      </c>
      <c r="AD642" s="84" t="n">
        <v>12</v>
      </c>
      <c r="AE642" s="84" t="n">
        <v>11</v>
      </c>
      <c r="AF642" s="84" t="n">
        <v>0.8</v>
      </c>
      <c r="AG642" s="84" t="n">
        <v>0.86</v>
      </c>
      <c r="AH642" s="84" t="n">
        <v>0</v>
      </c>
      <c r="AI642" s="84" t="n">
        <v>0</v>
      </c>
      <c r="AJ642" s="84">
        <f>SUMIFS(AH$8:AH$1039,$O$8:$O$1039,O642,$AB$8:$AB$1039,AB642,$R$8:$R$1039,R642,$AA$8:$AA$1039,"&lt;="&amp;AA642)</f>
        <v/>
      </c>
      <c r="AK642" s="84">
        <f>D58</f>
        <v/>
      </c>
      <c r="AL642" s="84">
        <f>D64</f>
        <v/>
      </c>
      <c r="AM642" s="84">
        <f>MAX(0,AJ642-AK642)</f>
        <v/>
      </c>
      <c r="AN642" s="84">
        <f>IF(AM642=0,AH642,IF(AM642&gt;=AH642,0,AH642-AM642))</f>
        <v/>
      </c>
      <c r="AO642" s="84">
        <f>IF(AM642&gt;=AH642,AI642,AI642*AM642/AH642)</f>
        <v/>
      </c>
      <c r="AP642">
        <f t="array" ref="AP642">INDEX($AU$8:$BB$25,6*(R642-1)+MATCH(AB642,$AS$8:$AS$13,0),MATCH(O642,$AU$7:$BB$7,0))</f>
        <v/>
      </c>
    </row>
    <row r="643" ht="14.25" customHeight="1">
      <c r="O643" s="43" t="inlineStr">
        <is>
          <t>Q1’27</t>
        </is>
      </c>
      <c r="P643" s="43" t="n">
        <v>3</v>
      </c>
      <c r="Q643" s="43" t="n">
        <v>14</v>
      </c>
      <c r="R643" s="43" t="n">
        <v>3</v>
      </c>
      <c r="S643" s="45" t="n">
        <v>3907.847507331378</v>
      </c>
      <c r="T643">
        <f>(S641+S642+S643)=R4</f>
        <v/>
      </c>
      <c r="X643" s="84">
        <f>MAX(S640-S643,0)</f>
        <v/>
      </c>
      <c r="Y643" s="83" t="n">
        <v>0</v>
      </c>
      <c r="AA643" s="84" t="n">
        <v>2</v>
      </c>
      <c r="AB643" s="84" t="inlineStr">
        <is>
          <t>C</t>
        </is>
      </c>
      <c r="AC643" s="84" t="inlineStr">
        <is>
          <t>C+</t>
        </is>
      </c>
      <c r="AD643" s="84" t="n">
        <v>12</v>
      </c>
      <c r="AE643" s="84" t="n">
        <v>11</v>
      </c>
      <c r="AF643" s="84" t="n">
        <v>0.8</v>
      </c>
      <c r="AG643" s="84" t="n">
        <v>0.86</v>
      </c>
      <c r="AH643" s="84" t="n">
        <v>0</v>
      </c>
      <c r="AI643" s="84" t="n">
        <v>0</v>
      </c>
      <c r="AJ643" s="84">
        <f>SUMIFS(AH$8:AH$1039,$O$8:$O$1039,O643,$AB$8:$AB$1039,AB643,$R$8:$R$1039,R643,$AA$8:$AA$1039,"&lt;="&amp;AA643)</f>
        <v/>
      </c>
      <c r="AK643" s="84">
        <f>E58</f>
        <v/>
      </c>
      <c r="AL643" s="84">
        <f>E64</f>
        <v/>
      </c>
      <c r="AM643" s="84">
        <f>MAX(0,AJ643-AK643)</f>
        <v/>
      </c>
      <c r="AN643" s="84">
        <f>IF(AM643=0,AH643,IF(AM643&gt;=AH643,0,AH643-AM643))</f>
        <v/>
      </c>
      <c r="AO643" s="84">
        <f>IF(AM643&gt;=AH643,AI643,AI643*AM643/AH643)</f>
        <v/>
      </c>
      <c r="AP643">
        <f t="array" ref="AP643">INDEX($AU$8:$BB$25,6*(R643-1)+MATCH(AB643,$AS$8:$AS$13,0),MATCH(O643,$AU$7:$BB$7,0))</f>
        <v/>
      </c>
    </row>
    <row r="644" ht="14.25" customHeight="1">
      <c r="O644" s="43" t="inlineStr">
        <is>
          <t>Q1’27</t>
        </is>
      </c>
      <c r="P644" s="43" t="n">
        <v>3</v>
      </c>
      <c r="Q644" s="43" t="n">
        <v>15</v>
      </c>
      <c r="R644" s="43" t="n">
        <v>1</v>
      </c>
      <c r="S644" s="45" t="n">
        <v>2141.703529411766</v>
      </c>
      <c r="T644">
        <f>(S644+S645+S646)=R4</f>
        <v/>
      </c>
      <c r="X644" s="84">
        <f>MAX(S641-S644,0)</f>
        <v/>
      </c>
      <c r="Y644" s="83" t="n">
        <v>0</v>
      </c>
      <c r="AA644" s="84" t="n">
        <v>2</v>
      </c>
      <c r="AB644" s="84" t="inlineStr">
        <is>
          <t>D</t>
        </is>
      </c>
      <c r="AC644" s="84" t="inlineStr">
        <is>
          <t>D+</t>
        </is>
      </c>
      <c r="AD644" s="84" t="n">
        <v>11</v>
      </c>
      <c r="AE644" s="84" t="n">
        <v>10</v>
      </c>
      <c r="AF644" s="84" t="n">
        <v>0.8</v>
      </c>
      <c r="AG644" s="84" t="n">
        <v>0.88</v>
      </c>
      <c r="AH644" s="84" t="n">
        <v>0</v>
      </c>
      <c r="AI644" s="84" t="n">
        <v>0</v>
      </c>
      <c r="AJ644" s="84">
        <f>SUMIFS(AH$8:AH$1039,$O$8:$O$1039,O644,$AB$8:$AB$1039,AB644,$R$8:$R$1039,R644,$AA$8:$AA$1039,"&lt;="&amp;AA644)</f>
        <v/>
      </c>
      <c r="AK644" s="84">
        <f>C59</f>
        <v/>
      </c>
      <c r="AL644" s="84">
        <f>C65</f>
        <v/>
      </c>
      <c r="AM644" s="84">
        <f>MAX(0,AJ644-AK644)</f>
        <v/>
      </c>
      <c r="AN644" s="84">
        <f>IF(AM644=0,AH644,IF(AM644&gt;=AH644,0,AH644-AM644))</f>
        <v/>
      </c>
      <c r="AO644" s="84">
        <f>IF(AM644&gt;=AH644,AI644,AI644*AM644/AH644)</f>
        <v/>
      </c>
      <c r="AP644">
        <f t="array" ref="AP644">INDEX($AU$8:$BB$25,6*(R644-1)+MATCH(AB644,$AS$8:$AS$13,0),MATCH(O644,$AU$7:$BB$7,0))</f>
        <v/>
      </c>
    </row>
    <row r="645" ht="14.25" customHeight="1">
      <c r="O645" s="43" t="inlineStr">
        <is>
          <t>Q1’27</t>
        </is>
      </c>
      <c r="P645" s="43" t="n">
        <v>3</v>
      </c>
      <c r="Q645" s="43" t="n">
        <v>15</v>
      </c>
      <c r="R645" s="43" t="n">
        <v>2</v>
      </c>
      <c r="S645" s="45" t="n">
        <v>2950.448963256856</v>
      </c>
      <c r="T645">
        <f>(S644+S645+S646)=R4</f>
        <v/>
      </c>
      <c r="X645" s="84">
        <f>MAX(S642-S645,0)</f>
        <v/>
      </c>
      <c r="Y645" s="83" t="n">
        <v>0</v>
      </c>
      <c r="AA645" s="84" t="n">
        <v>2</v>
      </c>
      <c r="AB645" s="84" t="inlineStr">
        <is>
          <t>D</t>
        </is>
      </c>
      <c r="AC645" s="84" t="inlineStr">
        <is>
          <t>D+</t>
        </is>
      </c>
      <c r="AD645" s="84" t="n">
        <v>11</v>
      </c>
      <c r="AE645" s="84" t="n">
        <v>10</v>
      </c>
      <c r="AF645" s="84" t="n">
        <v>0.8</v>
      </c>
      <c r="AG645" s="84" t="n">
        <v>0.88</v>
      </c>
      <c r="AH645" s="84" t="n">
        <v>0</v>
      </c>
      <c r="AI645" s="84" t="n">
        <v>0</v>
      </c>
      <c r="AJ645" s="84">
        <f>SUMIFS(AH$8:AH$1039,$O$8:$O$1039,O645,$AB$8:$AB$1039,AB645,$R$8:$R$1039,R645,$AA$8:$AA$1039,"&lt;="&amp;AA645)</f>
        <v/>
      </c>
      <c r="AK645" s="84">
        <f>D59</f>
        <v/>
      </c>
      <c r="AL645" s="84">
        <f>D65</f>
        <v/>
      </c>
      <c r="AM645" s="84">
        <f>MAX(0,AJ645-AK645)</f>
        <v/>
      </c>
      <c r="AN645" s="84">
        <f>IF(AM645=0,AH645,IF(AM645&gt;=AH645,0,AH645-AM645))</f>
        <v/>
      </c>
      <c r="AO645" s="84">
        <f>IF(AM645&gt;=AH645,AI645,AI645*AM645/AH645)</f>
        <v/>
      </c>
      <c r="AP645">
        <f t="array" ref="AP645">INDEX($AU$8:$BB$25,6*(R645-1)+MATCH(AB645,$AS$8:$AS$13,0),MATCH(O645,$AU$7:$BB$7,0))</f>
        <v/>
      </c>
    </row>
    <row r="646" ht="14.25" customHeight="1">
      <c r="O646" s="43" t="inlineStr">
        <is>
          <t>Q1’27</t>
        </is>
      </c>
      <c r="P646" s="43" t="n">
        <v>3</v>
      </c>
      <c r="Q646" s="43" t="n">
        <v>15</v>
      </c>
      <c r="R646" s="43" t="n">
        <v>3</v>
      </c>
      <c r="S646" s="45" t="n">
        <v>3907.847507331378</v>
      </c>
      <c r="T646">
        <f>(S644+S645+S646)=R4</f>
        <v/>
      </c>
      <c r="X646" s="84">
        <f>MAX(S643-S646,0)</f>
        <v/>
      </c>
      <c r="Y646" s="83" t="n">
        <v>0</v>
      </c>
      <c r="AA646" s="84" t="n">
        <v>2</v>
      </c>
      <c r="AB646" s="84" t="inlineStr">
        <is>
          <t>D</t>
        </is>
      </c>
      <c r="AC646" s="84" t="inlineStr">
        <is>
          <t>D+</t>
        </is>
      </c>
      <c r="AD646" s="84" t="n">
        <v>11</v>
      </c>
      <c r="AE646" s="84" t="n">
        <v>10</v>
      </c>
      <c r="AF646" s="84" t="n">
        <v>0.8</v>
      </c>
      <c r="AG646" s="84" t="n">
        <v>0.88</v>
      </c>
      <c r="AH646" s="84" t="n">
        <v>0</v>
      </c>
      <c r="AI646" s="84" t="n">
        <v>0</v>
      </c>
      <c r="AJ646" s="84">
        <f>SUMIFS(AH$8:AH$1039,$O$8:$O$1039,O646,$AB$8:$AB$1039,AB646,$R$8:$R$1039,R646,$AA$8:$AA$1039,"&lt;="&amp;AA646)</f>
        <v/>
      </c>
      <c r="AK646" s="84">
        <f>E59</f>
        <v/>
      </c>
      <c r="AL646" s="84">
        <f>E65</f>
        <v/>
      </c>
      <c r="AM646" s="84">
        <f>MAX(0,AJ646-AK646)</f>
        <v/>
      </c>
      <c r="AN646" s="84">
        <f>IF(AM646=0,AH646,IF(AM646&gt;=AH646,0,AH646-AM646))</f>
        <v/>
      </c>
      <c r="AO646" s="84">
        <f>IF(AM646&gt;=AH646,AI646,AI646*AM646/AH646)</f>
        <v/>
      </c>
      <c r="AP646">
        <f t="array" ref="AP646">INDEX($AU$8:$BB$25,6*(R646-1)+MATCH(AB646,$AS$8:$AS$13,0),MATCH(O646,$AU$7:$BB$7,0))</f>
        <v/>
      </c>
    </row>
    <row r="647" ht="14.25" customHeight="1">
      <c r="O647" s="43" t="inlineStr">
        <is>
          <t>Q1’27</t>
        </is>
      </c>
      <c r="P647" s="43" t="n">
        <v>3</v>
      </c>
      <c r="Q647" s="43" t="n">
        <v>16</v>
      </c>
      <c r="R647" s="43" t="n">
        <v>1</v>
      </c>
      <c r="S647" s="45" t="n">
        <v>2141.703529411766</v>
      </c>
      <c r="T647">
        <f>(S647+S648+S649)=R4</f>
        <v/>
      </c>
      <c r="X647" s="84">
        <f>MAX(S644-S647,0)</f>
        <v/>
      </c>
      <c r="Y647" s="83" t="n">
        <v>0</v>
      </c>
      <c r="AA647" s="84" t="n">
        <v>4</v>
      </c>
      <c r="AB647" s="84" t="inlineStr">
        <is>
          <t>C</t>
        </is>
      </c>
      <c r="AC647" s="84" t="inlineStr">
        <is>
          <t>C+</t>
        </is>
      </c>
      <c r="AD647" s="84" t="n">
        <v>25</v>
      </c>
      <c r="AE647" s="84" t="n">
        <v>20</v>
      </c>
      <c r="AF647" s="84" t="n">
        <v>0.8</v>
      </c>
      <c r="AG647" s="84" t="n">
        <v>0.86</v>
      </c>
      <c r="AH647" s="84" t="n">
        <v>0</v>
      </c>
      <c r="AI647" s="84" t="n">
        <v>0</v>
      </c>
      <c r="AJ647" s="84">
        <f>SUMIFS(AH$8:AH$1039,$O$8:$O$1039,O647,$AB$8:$AB$1039,AB647,$R$8:$R$1039,R647,$AA$8:$AA$1039,"&lt;="&amp;AA647)</f>
        <v/>
      </c>
      <c r="AK647" s="84">
        <f>C58</f>
        <v/>
      </c>
      <c r="AL647" s="84">
        <f>C64</f>
        <v/>
      </c>
      <c r="AM647" s="84">
        <f>MAX(0,AJ647-AK647)</f>
        <v/>
      </c>
      <c r="AN647" s="84">
        <f>IF(AM647=0,AH647,IF(AM647&gt;=AH647,0,AH647-AM647))</f>
        <v/>
      </c>
      <c r="AO647" s="84">
        <f>IF(AM647&gt;=AH647,AI647,AI647*AM647/AH647)</f>
        <v/>
      </c>
      <c r="AP647">
        <f t="array" ref="AP647">INDEX($AU$8:$BB$25,6*(R647-1)+MATCH(AB647,$AS$8:$AS$13,0),MATCH(O647,$AU$7:$BB$7,0))</f>
        <v/>
      </c>
    </row>
    <row r="648" ht="14.25" customHeight="1">
      <c r="O648" s="43" t="inlineStr">
        <is>
          <t>Q1’27</t>
        </is>
      </c>
      <c r="P648" s="43" t="n">
        <v>3</v>
      </c>
      <c r="Q648" s="43" t="n">
        <v>16</v>
      </c>
      <c r="R648" s="43" t="n">
        <v>2</v>
      </c>
      <c r="S648" s="45" t="n">
        <v>2950.448963256856</v>
      </c>
      <c r="T648">
        <f>(S647+S648+S649)=R4</f>
        <v/>
      </c>
      <c r="X648" s="84">
        <f>MAX(S645-S648,0)</f>
        <v/>
      </c>
      <c r="Y648" s="83" t="n">
        <v>0</v>
      </c>
      <c r="AA648" s="84" t="n">
        <v>4</v>
      </c>
      <c r="AB648" s="84" t="inlineStr">
        <is>
          <t>C</t>
        </is>
      </c>
      <c r="AC648" s="84" t="inlineStr">
        <is>
          <t>C+</t>
        </is>
      </c>
      <c r="AD648" s="84" t="n">
        <v>25</v>
      </c>
      <c r="AE648" s="84" t="n">
        <v>20</v>
      </c>
      <c r="AF648" s="84" t="n">
        <v>0.8</v>
      </c>
      <c r="AG648" s="84" t="n">
        <v>0.86</v>
      </c>
      <c r="AH648" s="84" t="n">
        <v>0</v>
      </c>
      <c r="AI648" s="84" t="n">
        <v>0</v>
      </c>
      <c r="AJ648" s="84">
        <f>SUMIFS(AH$8:AH$1039,$O$8:$O$1039,O648,$AB$8:$AB$1039,AB648,$R$8:$R$1039,R648,$AA$8:$AA$1039,"&lt;="&amp;AA648)</f>
        <v/>
      </c>
      <c r="AK648" s="84">
        <f>D58</f>
        <v/>
      </c>
      <c r="AL648" s="84">
        <f>D64</f>
        <v/>
      </c>
      <c r="AM648" s="84">
        <f>MAX(0,AJ648-AK648)</f>
        <v/>
      </c>
      <c r="AN648" s="84">
        <f>IF(AM648=0,AH648,IF(AM648&gt;=AH648,0,AH648-AM648))</f>
        <v/>
      </c>
      <c r="AO648" s="84">
        <f>IF(AM648&gt;=AH648,AI648,AI648*AM648/AH648)</f>
        <v/>
      </c>
      <c r="AP648">
        <f t="array" ref="AP648">INDEX($AU$8:$BB$25,6*(R648-1)+MATCH(AB648,$AS$8:$AS$13,0),MATCH(O648,$AU$7:$BB$7,0))</f>
        <v/>
      </c>
    </row>
    <row r="649" ht="14.25" customHeight="1">
      <c r="O649" s="43" t="inlineStr">
        <is>
          <t>Q1’27</t>
        </is>
      </c>
      <c r="P649" s="43" t="n">
        <v>3</v>
      </c>
      <c r="Q649" s="43" t="n">
        <v>16</v>
      </c>
      <c r="R649" s="43" t="n">
        <v>3</v>
      </c>
      <c r="S649" s="45" t="n">
        <v>3907.847507331378</v>
      </c>
      <c r="T649">
        <f>(S647+S648+S649)=R4</f>
        <v/>
      </c>
      <c r="X649" s="84">
        <f>MAX(S646-S649,0)</f>
        <v/>
      </c>
      <c r="Y649" s="83" t="n">
        <v>0</v>
      </c>
      <c r="AA649" s="84" t="n">
        <v>4</v>
      </c>
      <c r="AB649" s="84" t="inlineStr">
        <is>
          <t>C</t>
        </is>
      </c>
      <c r="AC649" s="84" t="inlineStr">
        <is>
          <t>C+</t>
        </is>
      </c>
      <c r="AD649" s="84" t="n">
        <v>25</v>
      </c>
      <c r="AE649" s="84" t="n">
        <v>20</v>
      </c>
      <c r="AF649" s="84" t="n">
        <v>0.8</v>
      </c>
      <c r="AG649" s="84" t="n">
        <v>0.86</v>
      </c>
      <c r="AH649" s="84" t="n">
        <v>0</v>
      </c>
      <c r="AI649" s="84" t="n">
        <v>0</v>
      </c>
      <c r="AJ649" s="84">
        <f>SUMIFS(AH$8:AH$1039,$O$8:$O$1039,O649,$AB$8:$AB$1039,AB649,$R$8:$R$1039,R649,$AA$8:$AA$1039,"&lt;="&amp;AA649)</f>
        <v/>
      </c>
      <c r="AK649" s="84">
        <f>E58</f>
        <v/>
      </c>
      <c r="AL649" s="84">
        <f>E64</f>
        <v/>
      </c>
      <c r="AM649" s="84">
        <f>MAX(0,AJ649-AK649)</f>
        <v/>
      </c>
      <c r="AN649" s="84">
        <f>IF(AM649=0,AH649,IF(AM649&gt;=AH649,0,AH649-AM649))</f>
        <v/>
      </c>
      <c r="AO649" s="84">
        <f>IF(AM649&gt;=AH649,AI649,AI649*AM649/AH649)</f>
        <v/>
      </c>
      <c r="AP649">
        <f t="array" ref="AP649">INDEX($AU$8:$BB$25,6*(R649-1)+MATCH(AB649,$AS$8:$AS$13,0),MATCH(O649,$AU$7:$BB$7,0))</f>
        <v/>
      </c>
    </row>
    <row r="650" ht="14.25" customHeight="1">
      <c r="O650" s="43" t="inlineStr">
        <is>
          <t>Q1’27</t>
        </is>
      </c>
      <c r="P650" s="43" t="n">
        <v>3</v>
      </c>
      <c r="Q650" s="43" t="n">
        <v>17</v>
      </c>
      <c r="R650" s="43" t="n">
        <v>1</v>
      </c>
      <c r="S650" s="45" t="n">
        <v>2141.703529411766</v>
      </c>
      <c r="T650">
        <f>(S650+S651+S652)=R4</f>
        <v/>
      </c>
      <c r="X650" s="84">
        <f>MAX(S647-S650,0)</f>
        <v/>
      </c>
      <c r="Y650" s="83" t="n">
        <v>0</v>
      </c>
      <c r="AA650" s="84" t="n">
        <v>1</v>
      </c>
      <c r="AB650" s="84" t="inlineStr">
        <is>
          <t>F</t>
        </is>
      </c>
      <c r="AC650" s="84" t="inlineStr">
        <is>
          <t>F+</t>
        </is>
      </c>
      <c r="AD650" s="84" t="n">
        <v>14</v>
      </c>
      <c r="AE650" s="84" t="n">
        <v>13</v>
      </c>
      <c r="AF650" s="84" t="n">
        <v>0.8</v>
      </c>
      <c r="AG650" s="84" t="n">
        <v>0.9</v>
      </c>
      <c r="AH650" s="84" t="n">
        <v>0</v>
      </c>
      <c r="AI650" s="84" t="n">
        <v>0</v>
      </c>
      <c r="AJ650" s="84">
        <f>SUMIFS(AH$8:AH$1039,$O$8:$O$1039,O650,$AB$8:$AB$1039,AB650,$R$8:$R$1039,R650,$AA$8:$AA$1039,"&lt;="&amp;AA650)</f>
        <v/>
      </c>
      <c r="AK650" s="84">
        <f>C61</f>
        <v/>
      </c>
      <c r="AL650" s="84">
        <f>C67</f>
        <v/>
      </c>
      <c r="AM650" s="84">
        <f>MAX(0,AJ650-AK650)</f>
        <v/>
      </c>
      <c r="AN650" s="84">
        <f>IF(AM650=0,AH650,IF(AM650&gt;=AH650,0,AH650-AM650))</f>
        <v/>
      </c>
      <c r="AO650" s="84">
        <f>IF(AM650&gt;=AH650,AI650,AI650*AM650/AH650)</f>
        <v/>
      </c>
      <c r="AP650">
        <f t="array" ref="AP650">INDEX($AU$8:$BB$25,6*(R650-1)+MATCH(AB650,$AS$8:$AS$13,0),MATCH(O650,$AU$7:$BB$7,0))</f>
        <v/>
      </c>
    </row>
    <row r="651" ht="14.25" customHeight="1">
      <c r="O651" s="43" t="inlineStr">
        <is>
          <t>Q1’27</t>
        </is>
      </c>
      <c r="P651" s="43" t="n">
        <v>3</v>
      </c>
      <c r="Q651" s="43" t="n">
        <v>17</v>
      </c>
      <c r="R651" s="43" t="n">
        <v>2</v>
      </c>
      <c r="S651" s="45" t="n">
        <v>2950.448963256857</v>
      </c>
      <c r="T651">
        <f>(S650+S651+S652)=R4</f>
        <v/>
      </c>
      <c r="X651" s="84">
        <f>MAX(S648-S651,0)</f>
        <v/>
      </c>
      <c r="Y651" s="83" t="n">
        <v>0</v>
      </c>
      <c r="AA651" s="84" t="n">
        <v>1</v>
      </c>
      <c r="AB651" s="84" t="inlineStr">
        <is>
          <t>F</t>
        </is>
      </c>
      <c r="AC651" s="84" t="inlineStr">
        <is>
          <t>F+</t>
        </is>
      </c>
      <c r="AD651" s="84" t="n">
        <v>14</v>
      </c>
      <c r="AE651" s="84" t="n">
        <v>13</v>
      </c>
      <c r="AF651" s="84" t="n">
        <v>0.8</v>
      </c>
      <c r="AG651" s="84" t="n">
        <v>0.9</v>
      </c>
      <c r="AH651" s="84" t="n">
        <v>0</v>
      </c>
      <c r="AI651" s="84" t="n">
        <v>0</v>
      </c>
      <c r="AJ651" s="84">
        <f>SUMIFS(AH$8:AH$1039,$O$8:$O$1039,O651,$AB$8:$AB$1039,AB651,$R$8:$R$1039,R651,$AA$8:$AA$1039,"&lt;="&amp;AA651)</f>
        <v/>
      </c>
      <c r="AK651" s="84">
        <f>D61</f>
        <v/>
      </c>
      <c r="AL651" s="84">
        <f>D67</f>
        <v/>
      </c>
      <c r="AM651" s="84">
        <f>MAX(0,AJ651-AK651)</f>
        <v/>
      </c>
      <c r="AN651" s="84">
        <f>IF(AM651=0,AH651,IF(AM651&gt;=AH651,0,AH651-AM651))</f>
        <v/>
      </c>
      <c r="AO651" s="84">
        <f>IF(AM651&gt;=AH651,AI651,AI651*AM651/AH651)</f>
        <v/>
      </c>
      <c r="AP651">
        <f t="array" ref="AP651">INDEX($AU$8:$BB$25,6*(R651-1)+MATCH(AB651,$AS$8:$AS$13,0),MATCH(O651,$AU$7:$BB$7,0))</f>
        <v/>
      </c>
    </row>
    <row r="652" ht="14.25" customHeight="1">
      <c r="O652" s="43" t="inlineStr">
        <is>
          <t>Q1’27</t>
        </is>
      </c>
      <c r="P652" s="43" t="n">
        <v>3</v>
      </c>
      <c r="Q652" s="43" t="n">
        <v>17</v>
      </c>
      <c r="R652" s="43" t="n">
        <v>3</v>
      </c>
      <c r="S652" s="45" t="n">
        <v>3907.847507331377</v>
      </c>
      <c r="T652">
        <f>(S650+S651+S652)=R4</f>
        <v/>
      </c>
      <c r="X652" s="84">
        <f>MAX(S649-S652,0)</f>
        <v/>
      </c>
      <c r="Y652" s="83" t="n">
        <v>0</v>
      </c>
      <c r="AA652" s="84" t="n">
        <v>1</v>
      </c>
      <c r="AB652" s="84" t="inlineStr">
        <is>
          <t>F</t>
        </is>
      </c>
      <c r="AC652" s="84" t="inlineStr">
        <is>
          <t>F+</t>
        </is>
      </c>
      <c r="AD652" s="84" t="n">
        <v>14</v>
      </c>
      <c r="AE652" s="84" t="n">
        <v>13</v>
      </c>
      <c r="AF652" s="84" t="n">
        <v>0.8</v>
      </c>
      <c r="AG652" s="84" t="n">
        <v>0.9</v>
      </c>
      <c r="AH652" s="84" t="n">
        <v>0</v>
      </c>
      <c r="AI652" s="84" t="n">
        <v>0</v>
      </c>
      <c r="AJ652" s="84">
        <f>SUMIFS(AH$8:AH$1039,$O$8:$O$1039,O652,$AB$8:$AB$1039,AB652,$R$8:$R$1039,R652,$AA$8:$AA$1039,"&lt;="&amp;AA652)</f>
        <v/>
      </c>
      <c r="AK652" s="84">
        <f>E61</f>
        <v/>
      </c>
      <c r="AL652" s="84">
        <f>E67</f>
        <v/>
      </c>
      <c r="AM652" s="84">
        <f>MAX(0,AJ652-AK652)</f>
        <v/>
      </c>
      <c r="AN652" s="84">
        <f>IF(AM652=0,AH652,IF(AM652&gt;=AH652,0,AH652-AM652))</f>
        <v/>
      </c>
      <c r="AO652" s="84">
        <f>IF(AM652&gt;=AH652,AI652,AI652*AM652/AH652)</f>
        <v/>
      </c>
      <c r="AP652">
        <f t="array" ref="AP652">INDEX($AU$8:$BB$25,6*(R652-1)+MATCH(AB652,$AS$8:$AS$13,0),MATCH(O652,$AU$7:$BB$7,0))</f>
        <v/>
      </c>
    </row>
    <row r="653" ht="14.25" customHeight="1">
      <c r="O653" s="43" t="inlineStr">
        <is>
          <t>Q2’27</t>
        </is>
      </c>
      <c r="P653" s="43" t="n">
        <v>1</v>
      </c>
      <c r="Q653" s="43" t="n">
        <v>1</v>
      </c>
      <c r="R653" s="43" t="n">
        <v>1</v>
      </c>
      <c r="S653" s="45" t="n">
        <v>2502.084024540995</v>
      </c>
      <c r="T653">
        <f>(S653+S654+S655)=S2</f>
        <v/>
      </c>
      <c r="X653" s="84" t="n">
        <v>0</v>
      </c>
      <c r="Y653" s="83" t="n">
        <v>0</v>
      </c>
      <c r="AA653" s="84" t="n">
        <v>4</v>
      </c>
      <c r="AB653" s="84" t="inlineStr">
        <is>
          <t>D</t>
        </is>
      </c>
      <c r="AC653" s="84" t="inlineStr">
        <is>
          <t>D+</t>
        </is>
      </c>
      <c r="AD653" s="84" t="n">
        <v>14</v>
      </c>
      <c r="AE653" s="84" t="n">
        <v>12</v>
      </c>
      <c r="AF653" s="84" t="n">
        <v>0.8</v>
      </c>
      <c r="AG653" s="84" t="n">
        <v>0.88</v>
      </c>
      <c r="AH653" s="84" t="n">
        <v>0</v>
      </c>
      <c r="AI653" s="84" t="n">
        <v>0</v>
      </c>
      <c r="AJ653" s="84">
        <f>SUMIFS(AH$8:AH$1039,$O$8:$O$1039,O653,$AB$8:$AB$1039,AB653,$R$8:$R$1039,R653,$AA$8:$AA$1039,"&lt;="&amp;AA653)</f>
        <v/>
      </c>
      <c r="AK653" s="84">
        <f>C71</f>
        <v/>
      </c>
      <c r="AL653" s="84">
        <f>C77</f>
        <v/>
      </c>
      <c r="AM653" s="84">
        <f>MAX(0,AJ653-AK653)</f>
        <v/>
      </c>
      <c r="AN653" s="84">
        <f>IF(AM653=0,AH653,IF(AM653&gt;=AH653,0,AH653-AM653))</f>
        <v/>
      </c>
      <c r="AO653" s="84">
        <f>IF(AM653&gt;=AH653,AI653,AI653*AM653/AH653)</f>
        <v/>
      </c>
      <c r="AP653">
        <f t="array" ref="AP653">INDEX($AU$8:$BB$25,6*(R653-1)+MATCH(AB653,$AS$8:$AS$13,0),MATCH(O653,$AU$7:$BB$7,0))</f>
        <v/>
      </c>
    </row>
    <row r="654" ht="14.25" customHeight="1">
      <c r="O654" s="43" t="inlineStr">
        <is>
          <t>Q2’27</t>
        </is>
      </c>
      <c r="P654" s="43" t="n">
        <v>1</v>
      </c>
      <c r="Q654" s="43" t="n">
        <v>1</v>
      </c>
      <c r="R654" s="43" t="n">
        <v>2</v>
      </c>
      <c r="S654" s="45" t="n">
        <v>2033.634282992555</v>
      </c>
      <c r="T654">
        <f>(S653+S654+S655)=S2</f>
        <v/>
      </c>
      <c r="X654" s="84" t="n">
        <v>0</v>
      </c>
      <c r="Y654" s="83" t="n">
        <v>0</v>
      </c>
      <c r="AA654" s="84" t="n">
        <v>4</v>
      </c>
      <c r="AB654" s="84" t="inlineStr">
        <is>
          <t>D</t>
        </is>
      </c>
      <c r="AC654" s="84" t="inlineStr">
        <is>
          <t>D+</t>
        </is>
      </c>
      <c r="AD654" s="84" t="n">
        <v>14</v>
      </c>
      <c r="AE654" s="84" t="n">
        <v>12</v>
      </c>
      <c r="AF654" s="84" t="n">
        <v>0.8</v>
      </c>
      <c r="AG654" s="84" t="n">
        <v>0.88</v>
      </c>
      <c r="AH654" s="84" t="n">
        <v>0</v>
      </c>
      <c r="AI654" s="84" t="n">
        <v>0</v>
      </c>
      <c r="AJ654" s="84">
        <f>SUMIFS(AH$8:AH$1039,$O$8:$O$1039,O654,$AB$8:$AB$1039,AB654,$R$8:$R$1039,R654,$AA$8:$AA$1039,"&lt;="&amp;AA654)</f>
        <v/>
      </c>
      <c r="AK654" s="84">
        <f>D71</f>
        <v/>
      </c>
      <c r="AL654" s="84">
        <f>D77</f>
        <v/>
      </c>
      <c r="AM654" s="84">
        <f>MAX(0,AJ654-AK654)</f>
        <v/>
      </c>
      <c r="AN654" s="84">
        <f>IF(AM654=0,AH654,IF(AM654&gt;=AH654,0,AH654-AM654))</f>
        <v/>
      </c>
      <c r="AO654" s="84">
        <f>IF(AM654&gt;=AH654,AI654,AI654*AM654/AH654)</f>
        <v/>
      </c>
      <c r="AP654">
        <f t="array" ref="AP654">INDEX($AU$8:$BB$25,6*(R654-1)+MATCH(AB654,$AS$8:$AS$13,0),MATCH(O654,$AU$7:$BB$7,0))</f>
        <v/>
      </c>
    </row>
    <row r="655" ht="14.25" customHeight="1">
      <c r="O655" s="43" t="inlineStr">
        <is>
          <t>Q2’27</t>
        </is>
      </c>
      <c r="P655" s="43" t="n">
        <v>1</v>
      </c>
      <c r="Q655" s="43" t="n">
        <v>1</v>
      </c>
      <c r="R655" s="43" t="n">
        <v>3</v>
      </c>
      <c r="S655" s="45" t="n">
        <v>464.2816924664503</v>
      </c>
      <c r="T655">
        <f>(S653+S654+S655)=S2</f>
        <v/>
      </c>
      <c r="X655" s="84" t="n">
        <v>0</v>
      </c>
      <c r="Y655" s="83" t="n">
        <v>0</v>
      </c>
      <c r="AA655" s="84" t="n">
        <v>4</v>
      </c>
      <c r="AB655" s="84" t="inlineStr">
        <is>
          <t>D</t>
        </is>
      </c>
      <c r="AC655" s="84" t="inlineStr">
        <is>
          <t>D+</t>
        </is>
      </c>
      <c r="AD655" s="84" t="n">
        <v>14</v>
      </c>
      <c r="AE655" s="84" t="n">
        <v>12</v>
      </c>
      <c r="AF655" s="84" t="n">
        <v>0.8</v>
      </c>
      <c r="AG655" s="84" t="n">
        <v>0.88</v>
      </c>
      <c r="AH655" s="84" t="n">
        <v>0</v>
      </c>
      <c r="AI655" s="84" t="n">
        <v>0</v>
      </c>
      <c r="AJ655" s="84">
        <f>SUMIFS(AH$8:AH$1039,$O$8:$O$1039,O655,$AB$8:$AB$1039,AB655,$R$8:$R$1039,R655,$AA$8:$AA$1039,"&lt;="&amp;AA655)</f>
        <v/>
      </c>
      <c r="AK655" s="84">
        <f>E71</f>
        <v/>
      </c>
      <c r="AL655" s="84">
        <f>E77</f>
        <v/>
      </c>
      <c r="AM655" s="84">
        <f>MAX(0,AJ655-AK655)</f>
        <v/>
      </c>
      <c r="AN655" s="84">
        <f>IF(AM655=0,AH655,IF(AM655&gt;=AH655,0,AH655-AM655))</f>
        <v/>
      </c>
      <c r="AO655" s="84">
        <f>IF(AM655&gt;=AH655,AI655,AI655*AM655/AH655)</f>
        <v/>
      </c>
      <c r="AP655">
        <f t="array" ref="AP655">INDEX($AU$8:$BB$25,6*(R655-1)+MATCH(AB655,$AS$8:$AS$13,0),MATCH(O655,$AU$7:$BB$7,0))</f>
        <v/>
      </c>
    </row>
    <row r="656" ht="14.25" customHeight="1">
      <c r="O656" s="43" t="inlineStr">
        <is>
          <t>Q2’27</t>
        </is>
      </c>
      <c r="P656" s="43" t="n">
        <v>1</v>
      </c>
      <c r="Q656" s="43" t="n">
        <v>2</v>
      </c>
      <c r="R656" s="43" t="n">
        <v>1</v>
      </c>
      <c r="S656" s="45" t="n">
        <v>2502.084024540995</v>
      </c>
      <c r="T656">
        <f>(S656+S657+S658)=S2</f>
        <v/>
      </c>
      <c r="X656" s="84">
        <f>MAX(S653-S656,0)</f>
        <v/>
      </c>
      <c r="Y656" s="83" t="n">
        <v>0</v>
      </c>
      <c r="AA656" s="84" t="n">
        <v>10</v>
      </c>
      <c r="AB656" s="84" t="inlineStr">
        <is>
          <t>F</t>
        </is>
      </c>
      <c r="AC656" s="84" t="inlineStr">
        <is>
          <t>F+</t>
        </is>
      </c>
      <c r="AD656" s="84" t="n">
        <v>25</v>
      </c>
      <c r="AE656" s="84" t="n">
        <v>21</v>
      </c>
      <c r="AF656" s="84" t="n">
        <v>0.8</v>
      </c>
      <c r="AG656" s="84" t="n">
        <v>0.9</v>
      </c>
      <c r="AH656" s="84" t="n">
        <v>0</v>
      </c>
      <c r="AI656" s="84" t="n">
        <v>0</v>
      </c>
      <c r="AJ656" s="84">
        <f>SUMIFS(AH$8:AH$1039,$O$8:$O$1039,O656,$AB$8:$AB$1039,AB656,$R$8:$R$1039,R656,$AA$8:$AA$1039,"&lt;="&amp;AA656)</f>
        <v/>
      </c>
      <c r="AK656" s="84">
        <f>C73</f>
        <v/>
      </c>
      <c r="AL656" s="84">
        <f>C79</f>
        <v/>
      </c>
      <c r="AM656" s="84">
        <f>MAX(0,AJ656-AK656)</f>
        <v/>
      </c>
      <c r="AN656" s="84">
        <f>IF(AM656=0,AH656,IF(AM656&gt;=AH656,0,AH656-AM656))</f>
        <v/>
      </c>
      <c r="AO656" s="84">
        <f>IF(AM656&gt;=AH656,AI656,AI656*AM656/AH656)</f>
        <v/>
      </c>
      <c r="AP656">
        <f t="array" ref="AP656">INDEX($AU$8:$BB$25,6*(R656-1)+MATCH(AB656,$AS$8:$AS$13,0),MATCH(O656,$AU$7:$BB$7,0))</f>
        <v/>
      </c>
    </row>
    <row r="657" ht="14.25" customHeight="1">
      <c r="O657" s="43" t="inlineStr">
        <is>
          <t>Q2’27</t>
        </is>
      </c>
      <c r="P657" s="43" t="n">
        <v>1</v>
      </c>
      <c r="Q657" s="43" t="n">
        <v>2</v>
      </c>
      <c r="R657" s="43" t="n">
        <v>2</v>
      </c>
      <c r="S657" s="45" t="n">
        <v>2033.634282992555</v>
      </c>
      <c r="T657">
        <f>(S656+S657+S658)=S2</f>
        <v/>
      </c>
      <c r="X657" s="84">
        <f>MAX(S654-S657,0)</f>
        <v/>
      </c>
      <c r="Y657" s="83" t="n">
        <v>0</v>
      </c>
      <c r="AA657" s="84" t="n">
        <v>10</v>
      </c>
      <c r="AB657" s="84" t="inlineStr">
        <is>
          <t>F</t>
        </is>
      </c>
      <c r="AC657" s="84" t="inlineStr">
        <is>
          <t>F+</t>
        </is>
      </c>
      <c r="AD657" s="84" t="n">
        <v>25</v>
      </c>
      <c r="AE657" s="84" t="n">
        <v>21</v>
      </c>
      <c r="AF657" s="84" t="n">
        <v>0.8</v>
      </c>
      <c r="AG657" s="84" t="n">
        <v>0.9</v>
      </c>
      <c r="AH657" s="84" t="n">
        <v>0</v>
      </c>
      <c r="AI657" s="84" t="n">
        <v>0</v>
      </c>
      <c r="AJ657" s="84">
        <f>SUMIFS(AH$8:AH$1039,$O$8:$O$1039,O657,$AB$8:$AB$1039,AB657,$R$8:$R$1039,R657,$AA$8:$AA$1039,"&lt;="&amp;AA657)</f>
        <v/>
      </c>
      <c r="AK657" s="84">
        <f>D73</f>
        <v/>
      </c>
      <c r="AL657" s="84">
        <f>D79</f>
        <v/>
      </c>
      <c r="AM657" s="84">
        <f>MAX(0,AJ657-AK657)</f>
        <v/>
      </c>
      <c r="AN657" s="84">
        <f>IF(AM657=0,AH657,IF(AM657&gt;=AH657,0,AH657-AM657))</f>
        <v/>
      </c>
      <c r="AO657" s="84">
        <f>IF(AM657&gt;=AH657,AI657,AI657*AM657/AH657)</f>
        <v/>
      </c>
      <c r="AP657">
        <f t="array" ref="AP657">INDEX($AU$8:$BB$25,6*(R657-1)+MATCH(AB657,$AS$8:$AS$13,0),MATCH(O657,$AU$7:$BB$7,0))</f>
        <v/>
      </c>
    </row>
    <row r="658" ht="14.25" customHeight="1">
      <c r="O658" s="43" t="inlineStr">
        <is>
          <t>Q2’27</t>
        </is>
      </c>
      <c r="P658" s="43" t="n">
        <v>1</v>
      </c>
      <c r="Q658" s="43" t="n">
        <v>2</v>
      </c>
      <c r="R658" s="43" t="n">
        <v>3</v>
      </c>
      <c r="S658" s="45" t="n">
        <v>464.2816924664503</v>
      </c>
      <c r="T658">
        <f>(S656+S657+S658)=S2</f>
        <v/>
      </c>
      <c r="X658" s="84">
        <f>MAX(S655-S658,0)</f>
        <v/>
      </c>
      <c r="Y658" s="83" t="n">
        <v>0</v>
      </c>
      <c r="AA658" s="84" t="n">
        <v>10</v>
      </c>
      <c r="AB658" s="84" t="inlineStr">
        <is>
          <t>F</t>
        </is>
      </c>
      <c r="AC658" s="84" t="inlineStr">
        <is>
          <t>F+</t>
        </is>
      </c>
      <c r="AD658" s="84" t="n">
        <v>25</v>
      </c>
      <c r="AE658" s="84" t="n">
        <v>21</v>
      </c>
      <c r="AF658" s="84" t="n">
        <v>0.8</v>
      </c>
      <c r="AG658" s="84" t="n">
        <v>0.9</v>
      </c>
      <c r="AH658" s="84" t="n">
        <v>0</v>
      </c>
      <c r="AI658" s="84" t="n">
        <v>0</v>
      </c>
      <c r="AJ658" s="84">
        <f>SUMIFS(AH$8:AH$1039,$O$8:$O$1039,O658,$AB$8:$AB$1039,AB658,$R$8:$R$1039,R658,$AA$8:$AA$1039,"&lt;="&amp;AA658)</f>
        <v/>
      </c>
      <c r="AK658" s="84">
        <f>E73</f>
        <v/>
      </c>
      <c r="AL658" s="84">
        <f>E79</f>
        <v/>
      </c>
      <c r="AM658" s="84">
        <f>MAX(0,AJ658-AK658)</f>
        <v/>
      </c>
      <c r="AN658" s="84">
        <f>IF(AM658=0,AH658,IF(AM658&gt;=AH658,0,AH658-AM658))</f>
        <v/>
      </c>
      <c r="AO658" s="84">
        <f>IF(AM658&gt;=AH658,AI658,AI658*AM658/AH658)</f>
        <v/>
      </c>
      <c r="AP658">
        <f t="array" ref="AP658">INDEX($AU$8:$BB$25,6*(R658-1)+MATCH(AB658,$AS$8:$AS$13,0),MATCH(O658,$AU$7:$BB$7,0))</f>
        <v/>
      </c>
    </row>
    <row r="659" ht="14.25" customHeight="1">
      <c r="O659" s="43" t="inlineStr">
        <is>
          <t>Q2’27</t>
        </is>
      </c>
      <c r="P659" s="43" t="n">
        <v>1</v>
      </c>
      <c r="Q659" s="43" t="n">
        <v>3</v>
      </c>
      <c r="R659" s="43" t="n">
        <v>1</v>
      </c>
      <c r="S659" s="45" t="n">
        <v>2502.084024540998</v>
      </c>
      <c r="T659">
        <f>(S659+S660+S661)=S2</f>
        <v/>
      </c>
      <c r="X659" s="84">
        <f>MAX(S656-S659,0)</f>
        <v/>
      </c>
      <c r="Y659" s="83" t="n">
        <v>0</v>
      </c>
      <c r="AA659" s="84" t="n">
        <v>8</v>
      </c>
      <c r="AB659" s="84" t="inlineStr">
        <is>
          <t>F</t>
        </is>
      </c>
      <c r="AC659" s="84" t="inlineStr">
        <is>
          <t>F+</t>
        </is>
      </c>
      <c r="AD659" s="84" t="n">
        <v>27</v>
      </c>
      <c r="AE659" s="84" t="n">
        <v>23</v>
      </c>
      <c r="AF659" s="84" t="n">
        <v>0.8</v>
      </c>
      <c r="AG659" s="84" t="n">
        <v>0.9</v>
      </c>
      <c r="AH659" s="84" t="n">
        <v>0</v>
      </c>
      <c r="AI659" s="84" t="n">
        <v>0</v>
      </c>
      <c r="AJ659" s="84">
        <f>SUMIFS(AH$8:AH$1039,$O$8:$O$1039,O659,$AB$8:$AB$1039,AB659,$R$8:$R$1039,R659,$AA$8:$AA$1039,"&lt;="&amp;AA659)</f>
        <v/>
      </c>
      <c r="AK659" s="84">
        <f>C73</f>
        <v/>
      </c>
      <c r="AL659" s="84">
        <f>C79</f>
        <v/>
      </c>
      <c r="AM659" s="84">
        <f>MAX(0,AJ659-AK659)</f>
        <v/>
      </c>
      <c r="AN659" s="84">
        <f>IF(AM659=0,AH659,IF(AM659&gt;=AH659,0,AH659-AM659))</f>
        <v/>
      </c>
      <c r="AO659" s="84">
        <f>IF(AM659&gt;=AH659,AI659,AI659*AM659/AH659)</f>
        <v/>
      </c>
      <c r="AP659">
        <f t="array" ref="AP659">INDEX($AU$8:$BB$25,6*(R659-1)+MATCH(AB659,$AS$8:$AS$13,0),MATCH(O659,$AU$7:$BB$7,0))</f>
        <v/>
      </c>
    </row>
    <row r="660" ht="14.25" customHeight="1">
      <c r="O660" s="43" t="inlineStr">
        <is>
          <t>Q2’27</t>
        </is>
      </c>
      <c r="P660" s="43" t="n">
        <v>1</v>
      </c>
      <c r="Q660" s="43" t="n">
        <v>3</v>
      </c>
      <c r="R660" s="43" t="n">
        <v>2</v>
      </c>
      <c r="S660" s="45" t="n">
        <v>2033.634282992551</v>
      </c>
      <c r="T660">
        <f>(S659+S660+S661)=S2</f>
        <v/>
      </c>
      <c r="X660" s="84">
        <f>MAX(S657-S660,0)</f>
        <v/>
      </c>
      <c r="Y660" s="83" t="n">
        <v>0</v>
      </c>
      <c r="AA660" s="84" t="n">
        <v>8</v>
      </c>
      <c r="AB660" s="84" t="inlineStr">
        <is>
          <t>F</t>
        </is>
      </c>
      <c r="AC660" s="84" t="inlineStr">
        <is>
          <t>F+</t>
        </is>
      </c>
      <c r="AD660" s="84" t="n">
        <v>27</v>
      </c>
      <c r="AE660" s="84" t="n">
        <v>23</v>
      </c>
      <c r="AF660" s="84" t="n">
        <v>0.8</v>
      </c>
      <c r="AG660" s="84" t="n">
        <v>0.9</v>
      </c>
      <c r="AH660" s="84" t="n">
        <v>0</v>
      </c>
      <c r="AI660" s="84" t="n">
        <v>0</v>
      </c>
      <c r="AJ660" s="84">
        <f>SUMIFS(AH$8:AH$1039,$O$8:$O$1039,O660,$AB$8:$AB$1039,AB660,$R$8:$R$1039,R660,$AA$8:$AA$1039,"&lt;="&amp;AA660)</f>
        <v/>
      </c>
      <c r="AK660" s="84">
        <f>D73</f>
        <v/>
      </c>
      <c r="AL660" s="84">
        <f>D79</f>
        <v/>
      </c>
      <c r="AM660" s="84">
        <f>MAX(0,AJ660-AK660)</f>
        <v/>
      </c>
      <c r="AN660" s="84">
        <f>IF(AM660=0,AH660,IF(AM660&gt;=AH660,0,AH660-AM660))</f>
        <v/>
      </c>
      <c r="AO660" s="84">
        <f>IF(AM660&gt;=AH660,AI660,AI660*AM660/AH660)</f>
        <v/>
      </c>
      <c r="AP660">
        <f t="array" ref="AP660">INDEX($AU$8:$BB$25,6*(R660-1)+MATCH(AB660,$AS$8:$AS$13,0),MATCH(O660,$AU$7:$BB$7,0))</f>
        <v/>
      </c>
    </row>
    <row r="661" ht="14.25" customHeight="1">
      <c r="O661" s="43" t="inlineStr">
        <is>
          <t>Q2’27</t>
        </is>
      </c>
      <c r="P661" s="43" t="n">
        <v>1</v>
      </c>
      <c r="Q661" s="43" t="n">
        <v>3</v>
      </c>
      <c r="R661" s="43" t="n">
        <v>3</v>
      </c>
      <c r="S661" s="45" t="n">
        <v>464.281692466451</v>
      </c>
      <c r="T661">
        <f>(S659+S660+S661)=S2</f>
        <v/>
      </c>
      <c r="X661" s="84">
        <f>MAX(S658-S661,0)</f>
        <v/>
      </c>
      <c r="Y661" s="83" t="n">
        <v>0</v>
      </c>
      <c r="AA661" s="84" t="n">
        <v>8</v>
      </c>
      <c r="AB661" s="84" t="inlineStr">
        <is>
          <t>F</t>
        </is>
      </c>
      <c r="AC661" s="84" t="inlineStr">
        <is>
          <t>F+</t>
        </is>
      </c>
      <c r="AD661" s="84" t="n">
        <v>27</v>
      </c>
      <c r="AE661" s="84" t="n">
        <v>23</v>
      </c>
      <c r="AF661" s="84" t="n">
        <v>0.8</v>
      </c>
      <c r="AG661" s="84" t="n">
        <v>0.9</v>
      </c>
      <c r="AH661" s="84" t="n">
        <v>0</v>
      </c>
      <c r="AI661" s="84" t="n">
        <v>0</v>
      </c>
      <c r="AJ661" s="84">
        <f>SUMIFS(AH$8:AH$1039,$O$8:$O$1039,O661,$AB$8:$AB$1039,AB661,$R$8:$R$1039,R661,$AA$8:$AA$1039,"&lt;="&amp;AA661)</f>
        <v/>
      </c>
      <c r="AK661" s="84">
        <f>E73</f>
        <v/>
      </c>
      <c r="AL661" s="84">
        <f>E79</f>
        <v/>
      </c>
      <c r="AM661" s="84">
        <f>MAX(0,AJ661-AK661)</f>
        <v/>
      </c>
      <c r="AN661" s="84">
        <f>IF(AM661=0,AH661,IF(AM661&gt;=AH661,0,AH661-AM661))</f>
        <v/>
      </c>
      <c r="AO661" s="84">
        <f>IF(AM661&gt;=AH661,AI661,AI661*AM661/AH661)</f>
        <v/>
      </c>
      <c r="AP661">
        <f t="array" ref="AP661">INDEX($AU$8:$BB$25,6*(R661-1)+MATCH(AB661,$AS$8:$AS$13,0),MATCH(O661,$AU$7:$BB$7,0))</f>
        <v/>
      </c>
    </row>
    <row r="662" ht="14.25" customHeight="1">
      <c r="O662" s="43" t="inlineStr">
        <is>
          <t>Q2’27</t>
        </is>
      </c>
      <c r="P662" s="43" t="n">
        <v>1</v>
      </c>
      <c r="Q662" s="43" t="n">
        <v>4</v>
      </c>
      <c r="R662" s="43" t="n">
        <v>1</v>
      </c>
      <c r="S662" s="45" t="n">
        <v>2475.2</v>
      </c>
      <c r="T662">
        <f>(S662+S663+S664)=S2</f>
        <v/>
      </c>
      <c r="X662" s="84">
        <f>MAX(S659-S662,0)</f>
        <v/>
      </c>
      <c r="Y662" s="83" t="n">
        <v>0</v>
      </c>
      <c r="AA662" s="84" t="n">
        <v>3</v>
      </c>
      <c r="AB662" s="84" t="inlineStr">
        <is>
          <t>A</t>
        </is>
      </c>
      <c r="AC662" s="84" t="inlineStr">
        <is>
          <t>A+</t>
        </is>
      </c>
      <c r="AD662" s="84" t="n">
        <v>20</v>
      </c>
      <c r="AE662" s="84" t="n">
        <v>16</v>
      </c>
      <c r="AF662" s="84" t="n">
        <v>0.78</v>
      </c>
      <c r="AG662" s="84" t="n">
        <v>0.84</v>
      </c>
      <c r="AH662" s="84" t="n">
        <v>0</v>
      </c>
      <c r="AI662" s="84" t="n">
        <v>0</v>
      </c>
      <c r="AJ662" s="84">
        <f>SUMIFS(AH$8:AH$1039,$O$8:$O$1039,O662,$AB$8:$AB$1039,AB662,$R$8:$R$1039,R662,$AA$8:$AA$1039,"&lt;="&amp;AA662)</f>
        <v/>
      </c>
      <c r="AK662" s="84">
        <f>C68</f>
        <v/>
      </c>
      <c r="AL662" s="84">
        <f>C74</f>
        <v/>
      </c>
      <c r="AM662" s="84">
        <f>MAX(0,AJ662-AK662)</f>
        <v/>
      </c>
      <c r="AN662" s="84">
        <f>IF(AM662=0,AH662,IF(AM662&gt;=AH662,0,AH662-AM662))</f>
        <v/>
      </c>
      <c r="AO662" s="84">
        <f>IF(AM662&gt;=AH662,AI662,AI662*AM662/AH662)</f>
        <v/>
      </c>
      <c r="AP662">
        <f t="array" ref="AP662">INDEX($AU$8:$BB$25,6*(R662-1)+MATCH(AB662,$AS$8:$AS$13,0),MATCH(O662,$AU$7:$BB$7,0))</f>
        <v/>
      </c>
    </row>
    <row r="663" ht="14.25" customHeight="1">
      <c r="O663" s="43" t="inlineStr">
        <is>
          <t>Q2’27</t>
        </is>
      </c>
      <c r="P663" s="43" t="n">
        <v>1</v>
      </c>
      <c r="Q663" s="43" t="n">
        <v>4</v>
      </c>
      <c r="R663" s="43" t="n">
        <v>2</v>
      </c>
      <c r="S663" s="45" t="n">
        <v>2060.518307533549</v>
      </c>
      <c r="T663">
        <f>(S662+S663+S664)=S2</f>
        <v/>
      </c>
      <c r="X663" s="84">
        <f>MAX(S660-S663,0)</f>
        <v/>
      </c>
      <c r="Y663" s="83" t="n">
        <v>0</v>
      </c>
      <c r="AA663" s="84" t="n">
        <v>3</v>
      </c>
      <c r="AB663" s="84" t="inlineStr">
        <is>
          <t>A</t>
        </is>
      </c>
      <c r="AC663" s="84" t="inlineStr">
        <is>
          <t>A+</t>
        </is>
      </c>
      <c r="AD663" s="84" t="n">
        <v>20</v>
      </c>
      <c r="AE663" s="84" t="n">
        <v>16</v>
      </c>
      <c r="AF663" s="84" t="n">
        <v>0.78</v>
      </c>
      <c r="AG663" s="84" t="n">
        <v>0.84</v>
      </c>
      <c r="AH663" s="84" t="n">
        <v>0</v>
      </c>
      <c r="AI663" s="84" t="n">
        <v>0</v>
      </c>
      <c r="AJ663" s="84">
        <f>SUMIFS(AH$8:AH$1039,$O$8:$O$1039,O663,$AB$8:$AB$1039,AB663,$R$8:$R$1039,R663,$AA$8:$AA$1039,"&lt;="&amp;AA663)</f>
        <v/>
      </c>
      <c r="AK663" s="84">
        <f>D68</f>
        <v/>
      </c>
      <c r="AL663" s="84">
        <f>D74</f>
        <v/>
      </c>
      <c r="AM663" s="84">
        <f>MAX(0,AJ663-AK663)</f>
        <v/>
      </c>
      <c r="AN663" s="84">
        <f>IF(AM663=0,AH663,IF(AM663&gt;=AH663,0,AH663-AM663))</f>
        <v/>
      </c>
      <c r="AO663" s="84">
        <f>IF(AM663&gt;=AH663,AI663,AI663*AM663/AH663)</f>
        <v/>
      </c>
      <c r="AP663">
        <f t="array" ref="AP663">INDEX($AU$8:$BB$25,6*(R663-1)+MATCH(AB663,$AS$8:$AS$13,0),MATCH(O663,$AU$7:$BB$7,0))</f>
        <v/>
      </c>
    </row>
    <row r="664" ht="14.25" customHeight="1">
      <c r="O664" s="43" t="inlineStr">
        <is>
          <t>Q2’27</t>
        </is>
      </c>
      <c r="P664" s="43" t="n">
        <v>1</v>
      </c>
      <c r="Q664" s="43" t="n">
        <v>4</v>
      </c>
      <c r="R664" s="43" t="n">
        <v>3</v>
      </c>
      <c r="S664" s="45" t="n">
        <v>464.281692466451</v>
      </c>
      <c r="T664">
        <f>(S662+S663+S664)=S2</f>
        <v/>
      </c>
      <c r="X664" s="84">
        <f>MAX(S661-S664,0)</f>
        <v/>
      </c>
      <c r="Y664" s="83" t="n">
        <v>0</v>
      </c>
      <c r="AA664" s="84" t="n">
        <v>3</v>
      </c>
      <c r="AB664" s="84" t="inlineStr">
        <is>
          <t>A</t>
        </is>
      </c>
      <c r="AC664" s="84" t="inlineStr">
        <is>
          <t>A+</t>
        </is>
      </c>
      <c r="AD664" s="84" t="n">
        <v>20</v>
      </c>
      <c r="AE664" s="84" t="n">
        <v>16</v>
      </c>
      <c r="AF664" s="84" t="n">
        <v>0.78</v>
      </c>
      <c r="AG664" s="84" t="n">
        <v>0.84</v>
      </c>
      <c r="AH664" s="84" t="n">
        <v>0</v>
      </c>
      <c r="AI664" s="84" t="n">
        <v>0</v>
      </c>
      <c r="AJ664" s="84">
        <f>SUMIFS(AH$8:AH$1039,$O$8:$O$1039,O664,$AB$8:$AB$1039,AB664,$R$8:$R$1039,R664,$AA$8:$AA$1039,"&lt;="&amp;AA664)</f>
        <v/>
      </c>
      <c r="AK664" s="84">
        <f>E68</f>
        <v/>
      </c>
      <c r="AL664" s="84">
        <f>E74</f>
        <v/>
      </c>
      <c r="AM664" s="84">
        <f>MAX(0,AJ664-AK664)</f>
        <v/>
      </c>
      <c r="AN664" s="84">
        <f>IF(AM664=0,AH664,IF(AM664&gt;=AH664,0,AH664-AM664))</f>
        <v/>
      </c>
      <c r="AO664" s="84">
        <f>IF(AM664&gt;=AH664,AI664,AI664*AM664/AH664)</f>
        <v/>
      </c>
      <c r="AP664">
        <f t="array" ref="AP664">INDEX($AU$8:$BB$25,6*(R664-1)+MATCH(AB664,$AS$8:$AS$13,0),MATCH(O664,$AU$7:$BB$7,0))</f>
        <v/>
      </c>
    </row>
    <row r="665" ht="14.25" customHeight="1">
      <c r="O665" s="43" t="inlineStr">
        <is>
          <t>Q2’27</t>
        </is>
      </c>
      <c r="P665" s="43" t="n">
        <v>1</v>
      </c>
      <c r="Q665" s="43" t="n">
        <v>5</v>
      </c>
      <c r="R665" s="43" t="n">
        <v>1</v>
      </c>
      <c r="S665" s="45" t="n">
        <v>2475.2</v>
      </c>
      <c r="T665">
        <f>(S665+S666+S667)=S2</f>
        <v/>
      </c>
      <c r="X665" s="84">
        <f>MAX(S662-S665,0)</f>
        <v/>
      </c>
      <c r="Y665" s="83" t="n">
        <v>0</v>
      </c>
      <c r="AA665" s="84" t="n">
        <v>11</v>
      </c>
      <c r="AB665" s="84" t="inlineStr">
        <is>
          <t>F</t>
        </is>
      </c>
      <c r="AC665" s="84" t="inlineStr">
        <is>
          <t>F+</t>
        </is>
      </c>
      <c r="AD665" s="84" t="n">
        <v>12</v>
      </c>
      <c r="AE665" s="84" t="n">
        <v>9</v>
      </c>
      <c r="AF665" s="84" t="n">
        <v>0.8</v>
      </c>
      <c r="AG665" s="84" t="n">
        <v>0.9</v>
      </c>
      <c r="AH665" s="84" t="n">
        <v>0</v>
      </c>
      <c r="AI665" s="84" t="n">
        <v>0</v>
      </c>
      <c r="AJ665" s="84">
        <f>SUMIFS(AH$8:AH$1039,$O$8:$O$1039,O665,$AB$8:$AB$1039,AB665,$R$8:$R$1039,R665,$AA$8:$AA$1039,"&lt;="&amp;AA665)</f>
        <v/>
      </c>
      <c r="AK665" s="84">
        <f>C73</f>
        <v/>
      </c>
      <c r="AL665" s="84">
        <f>C79</f>
        <v/>
      </c>
      <c r="AM665" s="84">
        <f>MAX(0,AJ665-AK665)</f>
        <v/>
      </c>
      <c r="AN665" s="84">
        <f>IF(AM665=0,AH665,IF(AM665&gt;=AH665,0,AH665-AM665))</f>
        <v/>
      </c>
      <c r="AO665" s="84">
        <f>IF(AM665&gt;=AH665,AI665,AI665*AM665/AH665)</f>
        <v/>
      </c>
      <c r="AP665">
        <f t="array" ref="AP665">INDEX($AU$8:$BB$25,6*(R665-1)+MATCH(AB665,$AS$8:$AS$13,0),MATCH(O665,$AU$7:$BB$7,0))</f>
        <v/>
      </c>
    </row>
    <row r="666" ht="14.25" customHeight="1">
      <c r="O666" s="43" t="inlineStr">
        <is>
          <t>Q2’27</t>
        </is>
      </c>
      <c r="P666" s="43" t="n">
        <v>1</v>
      </c>
      <c r="Q666" s="43" t="n">
        <v>5</v>
      </c>
      <c r="R666" s="43" t="n">
        <v>2</v>
      </c>
      <c r="S666" s="45" t="n">
        <v>2060.518307533549</v>
      </c>
      <c r="T666">
        <f>(S665+S666+S667)=S2</f>
        <v/>
      </c>
      <c r="X666" s="84">
        <f>MAX(S663-S666,0)</f>
        <v/>
      </c>
      <c r="Y666" s="83" t="n">
        <v>0</v>
      </c>
      <c r="AA666" s="84" t="n">
        <v>11</v>
      </c>
      <c r="AB666" s="84" t="inlineStr">
        <is>
          <t>F</t>
        </is>
      </c>
      <c r="AC666" s="84" t="inlineStr">
        <is>
          <t>F+</t>
        </is>
      </c>
      <c r="AD666" s="84" t="n">
        <v>12</v>
      </c>
      <c r="AE666" s="84" t="n">
        <v>9</v>
      </c>
      <c r="AF666" s="84" t="n">
        <v>0.8</v>
      </c>
      <c r="AG666" s="84" t="n">
        <v>0.9</v>
      </c>
      <c r="AH666" s="84" t="n">
        <v>0</v>
      </c>
      <c r="AI666" s="84" t="n">
        <v>0</v>
      </c>
      <c r="AJ666" s="84">
        <f>SUMIFS(AH$8:AH$1039,$O$8:$O$1039,O666,$AB$8:$AB$1039,AB666,$R$8:$R$1039,R666,$AA$8:$AA$1039,"&lt;="&amp;AA666)</f>
        <v/>
      </c>
      <c r="AK666" s="84">
        <f>D73</f>
        <v/>
      </c>
      <c r="AL666" s="84">
        <f>D79</f>
        <v/>
      </c>
      <c r="AM666" s="84">
        <f>MAX(0,AJ666-AK666)</f>
        <v/>
      </c>
      <c r="AN666" s="84">
        <f>IF(AM666=0,AH666,IF(AM666&gt;=AH666,0,AH666-AM666))</f>
        <v/>
      </c>
      <c r="AO666" s="84">
        <f>IF(AM666&gt;=AH666,AI666,AI666*AM666/AH666)</f>
        <v/>
      </c>
      <c r="AP666">
        <f t="array" ref="AP666">INDEX($AU$8:$BB$25,6*(R666-1)+MATCH(AB666,$AS$8:$AS$13,0),MATCH(O666,$AU$7:$BB$7,0))</f>
        <v/>
      </c>
    </row>
    <row r="667" ht="14.25" customHeight="1">
      <c r="O667" s="43" t="inlineStr">
        <is>
          <t>Q2’27</t>
        </is>
      </c>
      <c r="P667" s="43" t="n">
        <v>1</v>
      </c>
      <c r="Q667" s="43" t="n">
        <v>5</v>
      </c>
      <c r="R667" s="43" t="n">
        <v>3</v>
      </c>
      <c r="S667" s="45" t="n">
        <v>464.281692466451</v>
      </c>
      <c r="T667">
        <f>(S665+S666+S667)=S2</f>
        <v/>
      </c>
      <c r="X667" s="84">
        <f>MAX(S664-S667,0)</f>
        <v/>
      </c>
      <c r="Y667" s="83" t="n">
        <v>0</v>
      </c>
      <c r="AA667" s="84" t="n">
        <v>11</v>
      </c>
      <c r="AB667" s="84" t="inlineStr">
        <is>
          <t>F</t>
        </is>
      </c>
      <c r="AC667" s="84" t="inlineStr">
        <is>
          <t>F+</t>
        </is>
      </c>
      <c r="AD667" s="84" t="n">
        <v>12</v>
      </c>
      <c r="AE667" s="84" t="n">
        <v>9</v>
      </c>
      <c r="AF667" s="84" t="n">
        <v>0.8</v>
      </c>
      <c r="AG667" s="84" t="n">
        <v>0.9</v>
      </c>
      <c r="AH667" s="84" t="n">
        <v>0</v>
      </c>
      <c r="AI667" s="84" t="n">
        <v>0</v>
      </c>
      <c r="AJ667" s="84">
        <f>SUMIFS(AH$8:AH$1039,$O$8:$O$1039,O667,$AB$8:$AB$1039,AB667,$R$8:$R$1039,R667,$AA$8:$AA$1039,"&lt;="&amp;AA667)</f>
        <v/>
      </c>
      <c r="AK667" s="84">
        <f>E73</f>
        <v/>
      </c>
      <c r="AL667" s="84">
        <f>E79</f>
        <v/>
      </c>
      <c r="AM667" s="84">
        <f>MAX(0,AJ667-AK667)</f>
        <v/>
      </c>
      <c r="AN667" s="84">
        <f>IF(AM667=0,AH667,IF(AM667&gt;=AH667,0,AH667-AM667))</f>
        <v/>
      </c>
      <c r="AO667" s="84">
        <f>IF(AM667&gt;=AH667,AI667,AI667*AM667/AH667)</f>
        <v/>
      </c>
      <c r="AP667">
        <f t="array" ref="AP667">INDEX($AU$8:$BB$25,6*(R667-1)+MATCH(AB667,$AS$8:$AS$13,0),MATCH(O667,$AU$7:$BB$7,0))</f>
        <v/>
      </c>
    </row>
    <row r="668" ht="14.25" customHeight="1">
      <c r="O668" s="43" t="inlineStr">
        <is>
          <t>Q2’27</t>
        </is>
      </c>
      <c r="P668" s="43" t="n">
        <v>1</v>
      </c>
      <c r="Q668" s="43" t="n">
        <v>6</v>
      </c>
      <c r="R668" s="43" t="n">
        <v>1</v>
      </c>
      <c r="S668" s="45" t="n">
        <v>2475.2</v>
      </c>
      <c r="T668">
        <f>(S668+S669+S670)=S2</f>
        <v/>
      </c>
      <c r="X668" s="84">
        <f>MAX(S665-S668,0)</f>
        <v/>
      </c>
      <c r="Y668" s="83" t="n">
        <v>0</v>
      </c>
      <c r="AA668" s="84" t="n">
        <v>7</v>
      </c>
      <c r="AB668" s="84" t="inlineStr">
        <is>
          <t>D</t>
        </is>
      </c>
      <c r="AC668" s="84" t="inlineStr">
        <is>
          <t>D+</t>
        </is>
      </c>
      <c r="AD668" s="84" t="n">
        <v>27</v>
      </c>
      <c r="AE668" s="84" t="n">
        <v>21</v>
      </c>
      <c r="AF668" s="84" t="n">
        <v>0.8</v>
      </c>
      <c r="AG668" s="84" t="n">
        <v>0.88</v>
      </c>
      <c r="AH668" s="84" t="n">
        <v>0</v>
      </c>
      <c r="AI668" s="84" t="n">
        <v>0</v>
      </c>
      <c r="AJ668" s="84">
        <f>SUMIFS(AH$8:AH$1039,$O$8:$O$1039,O668,$AB$8:$AB$1039,AB668,$R$8:$R$1039,R668,$AA$8:$AA$1039,"&lt;="&amp;AA668)</f>
        <v/>
      </c>
      <c r="AK668" s="84">
        <f>C71</f>
        <v/>
      </c>
      <c r="AL668" s="84">
        <f>C77</f>
        <v/>
      </c>
      <c r="AM668" s="84">
        <f>MAX(0,AJ668-AK668)</f>
        <v/>
      </c>
      <c r="AN668" s="84">
        <f>IF(AM668=0,AH668,IF(AM668&gt;=AH668,0,AH668-AM668))</f>
        <v/>
      </c>
      <c r="AO668" s="84">
        <f>IF(AM668&gt;=AH668,AI668,AI668*AM668/AH668)</f>
        <v/>
      </c>
      <c r="AP668">
        <f t="array" ref="AP668">INDEX($AU$8:$BB$25,6*(R668-1)+MATCH(AB668,$AS$8:$AS$13,0),MATCH(O668,$AU$7:$BB$7,0))</f>
        <v/>
      </c>
    </row>
    <row r="669" ht="14.25" customHeight="1">
      <c r="O669" s="43" t="inlineStr">
        <is>
          <t>Q2’27</t>
        </is>
      </c>
      <c r="P669" s="43" t="n">
        <v>1</v>
      </c>
      <c r="Q669" s="43" t="n">
        <v>6</v>
      </c>
      <c r="R669" s="43" t="n">
        <v>2</v>
      </c>
      <c r="S669" s="45" t="n">
        <v>2060.518307533549</v>
      </c>
      <c r="T669">
        <f>(S668+S669+S670)=S2</f>
        <v/>
      </c>
      <c r="X669" s="84">
        <f>MAX(S666-S669,0)</f>
        <v/>
      </c>
      <c r="Y669" s="83" t="n">
        <v>0</v>
      </c>
      <c r="AA669" s="84" t="n">
        <v>7</v>
      </c>
      <c r="AB669" s="84" t="inlineStr">
        <is>
          <t>D</t>
        </is>
      </c>
      <c r="AC669" s="84" t="inlineStr">
        <is>
          <t>D+</t>
        </is>
      </c>
      <c r="AD669" s="84" t="n">
        <v>27</v>
      </c>
      <c r="AE669" s="84" t="n">
        <v>21</v>
      </c>
      <c r="AF669" s="84" t="n">
        <v>0.8</v>
      </c>
      <c r="AG669" s="84" t="n">
        <v>0.88</v>
      </c>
      <c r="AH669" s="84" t="n">
        <v>0</v>
      </c>
      <c r="AI669" s="84" t="n">
        <v>0</v>
      </c>
      <c r="AJ669" s="84">
        <f>SUMIFS(AH$8:AH$1039,$O$8:$O$1039,O669,$AB$8:$AB$1039,AB669,$R$8:$R$1039,R669,$AA$8:$AA$1039,"&lt;="&amp;AA669)</f>
        <v/>
      </c>
      <c r="AK669" s="84">
        <f>D71</f>
        <v/>
      </c>
      <c r="AL669" s="84">
        <f>D77</f>
        <v/>
      </c>
      <c r="AM669" s="84">
        <f>MAX(0,AJ669-AK669)</f>
        <v/>
      </c>
      <c r="AN669" s="84">
        <f>IF(AM669=0,AH669,IF(AM669&gt;=AH669,0,AH669-AM669))</f>
        <v/>
      </c>
      <c r="AO669" s="84">
        <f>IF(AM669&gt;=AH669,AI669,AI669*AM669/AH669)</f>
        <v/>
      </c>
      <c r="AP669">
        <f t="array" ref="AP669">INDEX($AU$8:$BB$25,6*(R669-1)+MATCH(AB669,$AS$8:$AS$13,0),MATCH(O669,$AU$7:$BB$7,0))</f>
        <v/>
      </c>
    </row>
    <row r="670" ht="14.25" customHeight="1">
      <c r="O670" s="43" t="inlineStr">
        <is>
          <t>Q2’27</t>
        </is>
      </c>
      <c r="P670" s="43" t="n">
        <v>1</v>
      </c>
      <c r="Q670" s="43" t="n">
        <v>6</v>
      </c>
      <c r="R670" s="43" t="n">
        <v>3</v>
      </c>
      <c r="S670" s="45" t="n">
        <v>464.281692466451</v>
      </c>
      <c r="T670">
        <f>(S668+S669+S670)=S2</f>
        <v/>
      </c>
      <c r="X670" s="84">
        <f>MAX(S667-S670,0)</f>
        <v/>
      </c>
      <c r="Y670" s="83" t="n">
        <v>0</v>
      </c>
      <c r="AA670" s="84" t="n">
        <v>7</v>
      </c>
      <c r="AB670" s="84" t="inlineStr">
        <is>
          <t>D</t>
        </is>
      </c>
      <c r="AC670" s="84" t="inlineStr">
        <is>
          <t>D+</t>
        </is>
      </c>
      <c r="AD670" s="84" t="n">
        <v>27</v>
      </c>
      <c r="AE670" s="84" t="n">
        <v>21</v>
      </c>
      <c r="AF670" s="84" t="n">
        <v>0.8</v>
      </c>
      <c r="AG670" s="84" t="n">
        <v>0.88</v>
      </c>
      <c r="AH670" s="84" t="n">
        <v>0</v>
      </c>
      <c r="AI670" s="84" t="n">
        <v>0</v>
      </c>
      <c r="AJ670" s="84">
        <f>SUMIFS(AH$8:AH$1039,$O$8:$O$1039,O670,$AB$8:$AB$1039,AB670,$R$8:$R$1039,R670,$AA$8:$AA$1039,"&lt;="&amp;AA670)</f>
        <v/>
      </c>
      <c r="AK670" s="84">
        <f>E71</f>
        <v/>
      </c>
      <c r="AL670" s="84">
        <f>E77</f>
        <v/>
      </c>
      <c r="AM670" s="84">
        <f>MAX(0,AJ670-AK670)</f>
        <v/>
      </c>
      <c r="AN670" s="84">
        <f>IF(AM670=0,AH670,IF(AM670&gt;=AH670,0,AH670-AM670))</f>
        <v/>
      </c>
      <c r="AO670" s="84">
        <f>IF(AM670&gt;=AH670,AI670,AI670*AM670/AH670)</f>
        <v/>
      </c>
      <c r="AP670">
        <f t="array" ref="AP670">INDEX($AU$8:$BB$25,6*(R670-1)+MATCH(AB670,$AS$8:$AS$13,0),MATCH(O670,$AU$7:$BB$7,0))</f>
        <v/>
      </c>
    </row>
    <row r="671" ht="14.25" customHeight="1">
      <c r="O671" s="43" t="inlineStr">
        <is>
          <t>Q2’27</t>
        </is>
      </c>
      <c r="P671" s="43" t="n">
        <v>1</v>
      </c>
      <c r="Q671" s="43" t="n">
        <v>7</v>
      </c>
      <c r="R671" s="43" t="n">
        <v>1</v>
      </c>
      <c r="S671" s="45" t="n">
        <v>2475.2</v>
      </c>
      <c r="T671">
        <f>(S671+S672+S673)=S2</f>
        <v/>
      </c>
      <c r="X671" s="84">
        <f>MAX(S668-S671,0)</f>
        <v/>
      </c>
      <c r="Y671" s="83" t="n">
        <v>0</v>
      </c>
      <c r="AA671" s="84" t="n">
        <v>9</v>
      </c>
      <c r="AB671" s="84" t="inlineStr">
        <is>
          <t>D</t>
        </is>
      </c>
      <c r="AC671" s="84" t="inlineStr">
        <is>
          <t>D+</t>
        </is>
      </c>
      <c r="AD671" s="84" t="n">
        <v>17</v>
      </c>
      <c r="AE671" s="84" t="n">
        <v>13</v>
      </c>
      <c r="AF671" s="84" t="n">
        <v>0.8</v>
      </c>
      <c r="AG671" s="84" t="n">
        <v>0.88</v>
      </c>
      <c r="AH671" s="84" t="n">
        <v>0</v>
      </c>
      <c r="AI671" s="84" t="n">
        <v>0</v>
      </c>
      <c r="AJ671" s="84">
        <f>SUMIFS(AH$8:AH$1039,$O$8:$O$1039,O671,$AB$8:$AB$1039,AB671,$R$8:$R$1039,R671,$AA$8:$AA$1039,"&lt;="&amp;AA671)</f>
        <v/>
      </c>
      <c r="AK671" s="84">
        <f>C71</f>
        <v/>
      </c>
      <c r="AL671" s="84">
        <f>C77</f>
        <v/>
      </c>
      <c r="AM671" s="84">
        <f>MAX(0,AJ671-AK671)</f>
        <v/>
      </c>
      <c r="AN671" s="84">
        <f>IF(AM671=0,AH671,IF(AM671&gt;=AH671,0,AH671-AM671))</f>
        <v/>
      </c>
      <c r="AO671" s="84">
        <f>IF(AM671&gt;=AH671,AI671,AI671*AM671/AH671)</f>
        <v/>
      </c>
      <c r="AP671">
        <f t="array" ref="AP671">INDEX($AU$8:$BB$25,6*(R671-1)+MATCH(AB671,$AS$8:$AS$13,0),MATCH(O671,$AU$7:$BB$7,0))</f>
        <v/>
      </c>
    </row>
    <row r="672" ht="14.25" customHeight="1">
      <c r="O672" s="43" t="inlineStr">
        <is>
          <t>Q2’27</t>
        </is>
      </c>
      <c r="P672" s="43" t="n">
        <v>1</v>
      </c>
      <c r="Q672" s="43" t="n">
        <v>7</v>
      </c>
      <c r="R672" s="43" t="n">
        <v>2</v>
      </c>
      <c r="S672" s="45" t="n">
        <v>2060.518307533539</v>
      </c>
      <c r="T672">
        <f>(S671+S672+S673)=S2</f>
        <v/>
      </c>
      <c r="X672" s="84">
        <f>MAX(S669-S672,0)</f>
        <v/>
      </c>
      <c r="Y672" s="83" t="n">
        <v>0</v>
      </c>
      <c r="AA672" s="84" t="n">
        <v>9</v>
      </c>
      <c r="AB672" s="84" t="inlineStr">
        <is>
          <t>D</t>
        </is>
      </c>
      <c r="AC672" s="84" t="inlineStr">
        <is>
          <t>D+</t>
        </is>
      </c>
      <c r="AD672" s="84" t="n">
        <v>17</v>
      </c>
      <c r="AE672" s="84" t="n">
        <v>13</v>
      </c>
      <c r="AF672" s="84" t="n">
        <v>0.8</v>
      </c>
      <c r="AG672" s="84" t="n">
        <v>0.88</v>
      </c>
      <c r="AH672" s="84" t="n">
        <v>0</v>
      </c>
      <c r="AI672" s="84" t="n">
        <v>0</v>
      </c>
      <c r="AJ672" s="84">
        <f>SUMIFS(AH$8:AH$1039,$O$8:$O$1039,O672,$AB$8:$AB$1039,AB672,$R$8:$R$1039,R672,$AA$8:$AA$1039,"&lt;="&amp;AA672)</f>
        <v/>
      </c>
      <c r="AK672" s="84">
        <f>D71</f>
        <v/>
      </c>
      <c r="AL672" s="84">
        <f>D77</f>
        <v/>
      </c>
      <c r="AM672" s="84">
        <f>MAX(0,AJ672-AK672)</f>
        <v/>
      </c>
      <c r="AN672" s="84">
        <f>IF(AM672=0,AH672,IF(AM672&gt;=AH672,0,AH672-AM672))</f>
        <v/>
      </c>
      <c r="AO672" s="84">
        <f>IF(AM672&gt;=AH672,AI672,AI672*AM672/AH672)</f>
        <v/>
      </c>
      <c r="AP672">
        <f t="array" ref="AP672">INDEX($AU$8:$BB$25,6*(R672-1)+MATCH(AB672,$AS$8:$AS$13,0),MATCH(O672,$AU$7:$BB$7,0))</f>
        <v/>
      </c>
    </row>
    <row r="673" ht="14.25" customHeight="1">
      <c r="O673" s="43" t="inlineStr">
        <is>
          <t>Q2’27</t>
        </is>
      </c>
      <c r="P673" s="43" t="n">
        <v>1</v>
      </c>
      <c r="Q673" s="43" t="n">
        <v>7</v>
      </c>
      <c r="R673" s="43" t="n">
        <v>3</v>
      </c>
      <c r="S673" s="45" t="n">
        <v>464.281692466461</v>
      </c>
      <c r="T673">
        <f>(S671+S672+S673)=S2</f>
        <v/>
      </c>
      <c r="X673" s="84">
        <f>MAX(S670-S673,0)</f>
        <v/>
      </c>
      <c r="Y673" s="83" t="n">
        <v>0</v>
      </c>
      <c r="AA673" s="84" t="n">
        <v>9</v>
      </c>
      <c r="AB673" s="84" t="inlineStr">
        <is>
          <t>D</t>
        </is>
      </c>
      <c r="AC673" s="84" t="inlineStr">
        <is>
          <t>D+</t>
        </is>
      </c>
      <c r="AD673" s="84" t="n">
        <v>17</v>
      </c>
      <c r="AE673" s="84" t="n">
        <v>13</v>
      </c>
      <c r="AF673" s="84" t="n">
        <v>0.8</v>
      </c>
      <c r="AG673" s="84" t="n">
        <v>0.88</v>
      </c>
      <c r="AH673" s="84" t="n">
        <v>0</v>
      </c>
      <c r="AI673" s="84" t="n">
        <v>0</v>
      </c>
      <c r="AJ673" s="84">
        <f>SUMIFS(AH$8:AH$1039,$O$8:$O$1039,O673,$AB$8:$AB$1039,AB673,$R$8:$R$1039,R673,$AA$8:$AA$1039,"&lt;="&amp;AA673)</f>
        <v/>
      </c>
      <c r="AK673" s="84">
        <f>E71</f>
        <v/>
      </c>
      <c r="AL673" s="84">
        <f>E77</f>
        <v/>
      </c>
      <c r="AM673" s="84">
        <f>MAX(0,AJ673-AK673)</f>
        <v/>
      </c>
      <c r="AN673" s="84">
        <f>IF(AM673=0,AH673,IF(AM673&gt;=AH673,0,AH673-AM673))</f>
        <v/>
      </c>
      <c r="AO673" s="84">
        <f>IF(AM673&gt;=AH673,AI673,AI673*AM673/AH673)</f>
        <v/>
      </c>
      <c r="AP673">
        <f t="array" ref="AP673">INDEX($AU$8:$BB$25,6*(R673-1)+MATCH(AB673,$AS$8:$AS$13,0),MATCH(O673,$AU$7:$BB$7,0))</f>
        <v/>
      </c>
    </row>
    <row r="674" ht="14.25" customHeight="1">
      <c r="O674" s="43" t="inlineStr">
        <is>
          <t>Q2’27</t>
        </is>
      </c>
      <c r="P674" s="43" t="n">
        <v>1</v>
      </c>
      <c r="Q674" s="43" t="n">
        <v>8</v>
      </c>
      <c r="R674" s="43" t="n">
        <v>1</v>
      </c>
      <c r="S674" s="45" t="n">
        <v>2475.2</v>
      </c>
      <c r="T674">
        <f>(S674+S675+S676)=S2</f>
        <v/>
      </c>
      <c r="X674" s="84">
        <f>MAX(S671-S674,0)</f>
        <v/>
      </c>
      <c r="Y674" s="83" t="n">
        <v>0</v>
      </c>
      <c r="AA674" s="84" t="n">
        <v>1</v>
      </c>
      <c r="AB674" s="84" t="inlineStr">
        <is>
          <t>A</t>
        </is>
      </c>
      <c r="AC674" s="84" t="inlineStr">
        <is>
          <t>A+</t>
        </is>
      </c>
      <c r="AD674" s="84" t="n">
        <v>18</v>
      </c>
      <c r="AE674" s="84" t="n">
        <v>16</v>
      </c>
      <c r="AF674" s="84" t="n">
        <v>0.78</v>
      </c>
      <c r="AG674" s="84" t="n">
        <v>0.84</v>
      </c>
      <c r="AH674" s="84" t="n">
        <v>0</v>
      </c>
      <c r="AI674" s="84" t="n">
        <v>0</v>
      </c>
      <c r="AJ674" s="84">
        <f>SUMIFS(AH$8:AH$1039,$O$8:$O$1039,O674,$AB$8:$AB$1039,AB674,$R$8:$R$1039,R674,$AA$8:$AA$1039,"&lt;="&amp;AA674)</f>
        <v/>
      </c>
      <c r="AK674" s="84">
        <f>C68</f>
        <v/>
      </c>
      <c r="AL674" s="84">
        <f>C74</f>
        <v/>
      </c>
      <c r="AM674" s="84">
        <f>MAX(0,AJ674-AK674)</f>
        <v/>
      </c>
      <c r="AN674" s="84">
        <f>IF(AM674=0,AH674,IF(AM674&gt;=AH674,0,AH674-AM674))</f>
        <v/>
      </c>
      <c r="AO674" s="84">
        <f>IF(AM674&gt;=AH674,AI674,AI674*AM674/AH674)</f>
        <v/>
      </c>
      <c r="AP674">
        <f t="array" ref="AP674">INDEX($AU$8:$BB$25,6*(R674-1)+MATCH(AB674,$AS$8:$AS$13,0),MATCH(O674,$AU$7:$BB$7,0))</f>
        <v/>
      </c>
    </row>
    <row r="675" ht="14.25" customHeight="1">
      <c r="O675" s="43" t="inlineStr">
        <is>
          <t>Q2’27</t>
        </is>
      </c>
      <c r="P675" s="43" t="n">
        <v>1</v>
      </c>
      <c r="Q675" s="43" t="n">
        <v>8</v>
      </c>
      <c r="R675" s="43" t="n">
        <v>2</v>
      </c>
      <c r="S675" s="45" t="n">
        <v>2060.518307533539</v>
      </c>
      <c r="T675">
        <f>(S674+S675+S676)=S2</f>
        <v/>
      </c>
      <c r="X675" s="84">
        <f>MAX(S672-S675,0)</f>
        <v/>
      </c>
      <c r="Y675" s="83" t="n">
        <v>0</v>
      </c>
      <c r="AA675" s="84" t="n">
        <v>1</v>
      </c>
      <c r="AB675" s="84" t="inlineStr">
        <is>
          <t>A</t>
        </is>
      </c>
      <c r="AC675" s="84" t="inlineStr">
        <is>
          <t>A+</t>
        </is>
      </c>
      <c r="AD675" s="84" t="n">
        <v>18</v>
      </c>
      <c r="AE675" s="84" t="n">
        <v>16</v>
      </c>
      <c r="AF675" s="84" t="n">
        <v>0.78</v>
      </c>
      <c r="AG675" s="84" t="n">
        <v>0.84</v>
      </c>
      <c r="AH675" s="84" t="n">
        <v>0</v>
      </c>
      <c r="AI675" s="84" t="n">
        <v>0</v>
      </c>
      <c r="AJ675" s="84">
        <f>SUMIFS(AH$8:AH$1039,$O$8:$O$1039,O675,$AB$8:$AB$1039,AB675,$R$8:$R$1039,R675,$AA$8:$AA$1039,"&lt;="&amp;AA675)</f>
        <v/>
      </c>
      <c r="AK675" s="84">
        <f>D68</f>
        <v/>
      </c>
      <c r="AL675" s="84">
        <f>D74</f>
        <v/>
      </c>
      <c r="AM675" s="84">
        <f>MAX(0,AJ675-AK675)</f>
        <v/>
      </c>
      <c r="AN675" s="84">
        <f>IF(AM675=0,AH675,IF(AM675&gt;=AH675,0,AH675-AM675))</f>
        <v/>
      </c>
      <c r="AO675" s="84">
        <f>IF(AM675&gt;=AH675,AI675,AI675*AM675/AH675)</f>
        <v/>
      </c>
      <c r="AP675">
        <f t="array" ref="AP675">INDEX($AU$8:$BB$25,6*(R675-1)+MATCH(AB675,$AS$8:$AS$13,0),MATCH(O675,$AU$7:$BB$7,0))</f>
        <v/>
      </c>
    </row>
    <row r="676" ht="14.25" customHeight="1">
      <c r="O676" s="43" t="inlineStr">
        <is>
          <t>Q2’27</t>
        </is>
      </c>
      <c r="P676" s="43" t="n">
        <v>1</v>
      </c>
      <c r="Q676" s="43" t="n">
        <v>8</v>
      </c>
      <c r="R676" s="43" t="n">
        <v>3</v>
      </c>
      <c r="S676" s="45" t="n">
        <v>464.281692466461</v>
      </c>
      <c r="T676">
        <f>(S674+S675+S676)=S2</f>
        <v/>
      </c>
      <c r="X676" s="84">
        <f>MAX(S673-S676,0)</f>
        <v/>
      </c>
      <c r="Y676" s="83" t="n">
        <v>0</v>
      </c>
      <c r="AA676" s="84" t="n">
        <v>1</v>
      </c>
      <c r="AB676" s="84" t="inlineStr">
        <is>
          <t>A</t>
        </is>
      </c>
      <c r="AC676" s="84" t="inlineStr">
        <is>
          <t>A+</t>
        </is>
      </c>
      <c r="AD676" s="84" t="n">
        <v>18</v>
      </c>
      <c r="AE676" s="84" t="n">
        <v>16</v>
      </c>
      <c r="AF676" s="84" t="n">
        <v>0.78</v>
      </c>
      <c r="AG676" s="84" t="n">
        <v>0.84</v>
      </c>
      <c r="AH676" s="84" t="n">
        <v>0</v>
      </c>
      <c r="AI676" s="84" t="n">
        <v>0</v>
      </c>
      <c r="AJ676" s="84">
        <f>SUMIFS(AH$8:AH$1039,$O$8:$O$1039,O676,$AB$8:$AB$1039,AB676,$R$8:$R$1039,R676,$AA$8:$AA$1039,"&lt;="&amp;AA676)</f>
        <v/>
      </c>
      <c r="AK676" s="84">
        <f>E68</f>
        <v/>
      </c>
      <c r="AL676" s="84">
        <f>E74</f>
        <v/>
      </c>
      <c r="AM676" s="84">
        <f>MAX(0,AJ676-AK676)</f>
        <v/>
      </c>
      <c r="AN676" s="84">
        <f>IF(AM676=0,AH676,IF(AM676&gt;=AH676,0,AH676-AM676))</f>
        <v/>
      </c>
      <c r="AO676" s="84">
        <f>IF(AM676&gt;=AH676,AI676,AI676*AM676/AH676)</f>
        <v/>
      </c>
      <c r="AP676">
        <f t="array" ref="AP676">INDEX($AU$8:$BB$25,6*(R676-1)+MATCH(AB676,$AS$8:$AS$13,0),MATCH(O676,$AU$7:$BB$7,0))</f>
        <v/>
      </c>
    </row>
    <row r="677" ht="14.25" customHeight="1">
      <c r="O677" s="43" t="inlineStr">
        <is>
          <t>Q2’27</t>
        </is>
      </c>
      <c r="P677" s="43" t="n">
        <v>1</v>
      </c>
      <c r="Q677" s="43" t="n">
        <v>9</v>
      </c>
      <c r="R677" s="43" t="n">
        <v>1</v>
      </c>
      <c r="S677" s="45" t="n">
        <v>2475.2</v>
      </c>
      <c r="T677">
        <f>(S677+S678+S679)=S2</f>
        <v/>
      </c>
      <c r="X677" s="84">
        <f>MAX(S674-S677,0)</f>
        <v/>
      </c>
      <c r="Y677" s="83" t="n">
        <v>0</v>
      </c>
      <c r="AA677" s="84" t="n">
        <v>2</v>
      </c>
      <c r="AB677" s="84" t="inlineStr">
        <is>
          <t>A</t>
        </is>
      </c>
      <c r="AC677" s="84" t="inlineStr">
        <is>
          <t>A+</t>
        </is>
      </c>
      <c r="AD677" s="84" t="n">
        <v>16</v>
      </c>
      <c r="AE677" s="84" t="n">
        <v>13</v>
      </c>
      <c r="AF677" s="84" t="n">
        <v>0.78</v>
      </c>
      <c r="AG677" s="84" t="n">
        <v>0.84</v>
      </c>
      <c r="AH677" s="84" t="n">
        <v>0</v>
      </c>
      <c r="AI677" s="84" t="n">
        <v>0</v>
      </c>
      <c r="AJ677" s="84">
        <f>SUMIFS(AH$8:AH$1039,$O$8:$O$1039,O677,$AB$8:$AB$1039,AB677,$R$8:$R$1039,R677,$AA$8:$AA$1039,"&lt;="&amp;AA677)</f>
        <v/>
      </c>
      <c r="AK677" s="84">
        <f>C68</f>
        <v/>
      </c>
      <c r="AL677" s="84">
        <f>C74</f>
        <v/>
      </c>
      <c r="AM677" s="84">
        <f>MAX(0,AJ677-AK677)</f>
        <v/>
      </c>
      <c r="AN677" s="84">
        <f>IF(AM677=0,AH677,IF(AM677&gt;=AH677,0,AH677-AM677))</f>
        <v/>
      </c>
      <c r="AO677" s="84">
        <f>IF(AM677&gt;=AH677,AI677,AI677*AM677/AH677)</f>
        <v/>
      </c>
      <c r="AP677">
        <f t="array" ref="AP677">INDEX($AU$8:$BB$25,6*(R677-1)+MATCH(AB677,$AS$8:$AS$13,0),MATCH(O677,$AU$7:$BB$7,0))</f>
        <v/>
      </c>
    </row>
    <row r="678" ht="14.25" customHeight="1">
      <c r="O678" s="43" t="inlineStr">
        <is>
          <t>Q2’27</t>
        </is>
      </c>
      <c r="P678" s="43" t="n">
        <v>1</v>
      </c>
      <c r="Q678" s="43" t="n">
        <v>9</v>
      </c>
      <c r="R678" s="43" t="n">
        <v>2</v>
      </c>
      <c r="S678" s="45" t="n">
        <v>2060.518307533539</v>
      </c>
      <c r="T678">
        <f>(S677+S678+S679)=S2</f>
        <v/>
      </c>
      <c r="X678" s="84">
        <f>MAX(S675-S678,0)</f>
        <v/>
      </c>
      <c r="Y678" s="83" t="n">
        <v>0</v>
      </c>
      <c r="AA678" s="84" t="n">
        <v>2</v>
      </c>
      <c r="AB678" s="84" t="inlineStr">
        <is>
          <t>A</t>
        </is>
      </c>
      <c r="AC678" s="84" t="inlineStr">
        <is>
          <t>A+</t>
        </is>
      </c>
      <c r="AD678" s="84" t="n">
        <v>16</v>
      </c>
      <c r="AE678" s="84" t="n">
        <v>13</v>
      </c>
      <c r="AF678" s="84" t="n">
        <v>0.78</v>
      </c>
      <c r="AG678" s="84" t="n">
        <v>0.84</v>
      </c>
      <c r="AH678" s="84" t="n">
        <v>0</v>
      </c>
      <c r="AI678" s="84" t="n">
        <v>0</v>
      </c>
      <c r="AJ678" s="84">
        <f>SUMIFS(AH$8:AH$1039,$O$8:$O$1039,O678,$AB$8:$AB$1039,AB678,$R$8:$R$1039,R678,$AA$8:$AA$1039,"&lt;="&amp;AA678)</f>
        <v/>
      </c>
      <c r="AK678" s="84">
        <f>D68</f>
        <v/>
      </c>
      <c r="AL678" s="84">
        <f>D74</f>
        <v/>
      </c>
      <c r="AM678" s="84">
        <f>MAX(0,AJ678-AK678)</f>
        <v/>
      </c>
      <c r="AN678" s="84">
        <f>IF(AM678=0,AH678,IF(AM678&gt;=AH678,0,AH678-AM678))</f>
        <v/>
      </c>
      <c r="AO678" s="84">
        <f>IF(AM678&gt;=AH678,AI678,AI678*AM678/AH678)</f>
        <v/>
      </c>
      <c r="AP678">
        <f t="array" ref="AP678">INDEX($AU$8:$BB$25,6*(R678-1)+MATCH(AB678,$AS$8:$AS$13,0),MATCH(O678,$AU$7:$BB$7,0))</f>
        <v/>
      </c>
    </row>
    <row r="679" ht="14.25" customHeight="1">
      <c r="O679" s="43" t="inlineStr">
        <is>
          <t>Q2’27</t>
        </is>
      </c>
      <c r="P679" s="43" t="n">
        <v>1</v>
      </c>
      <c r="Q679" s="43" t="n">
        <v>9</v>
      </c>
      <c r="R679" s="43" t="n">
        <v>3</v>
      </c>
      <c r="S679" s="45" t="n">
        <v>464.281692466461</v>
      </c>
      <c r="T679">
        <f>(S677+S678+S679)=S2</f>
        <v/>
      </c>
      <c r="X679" s="84">
        <f>MAX(S676-S679,0)</f>
        <v/>
      </c>
      <c r="Y679" s="83" t="n">
        <v>0</v>
      </c>
      <c r="AA679" s="84" t="n">
        <v>2</v>
      </c>
      <c r="AB679" s="84" t="inlineStr">
        <is>
          <t>A</t>
        </is>
      </c>
      <c r="AC679" s="84" t="inlineStr">
        <is>
          <t>A+</t>
        </is>
      </c>
      <c r="AD679" s="84" t="n">
        <v>16</v>
      </c>
      <c r="AE679" s="84" t="n">
        <v>13</v>
      </c>
      <c r="AF679" s="84" t="n">
        <v>0.78</v>
      </c>
      <c r="AG679" s="84" t="n">
        <v>0.84</v>
      </c>
      <c r="AH679" s="84" t="n">
        <v>0</v>
      </c>
      <c r="AI679" s="84" t="n">
        <v>0</v>
      </c>
      <c r="AJ679" s="84">
        <f>SUMIFS(AH$8:AH$1039,$O$8:$O$1039,O679,$AB$8:$AB$1039,AB679,$R$8:$R$1039,R679,$AA$8:$AA$1039,"&lt;="&amp;AA679)</f>
        <v/>
      </c>
      <c r="AK679" s="84">
        <f>E68</f>
        <v/>
      </c>
      <c r="AL679" s="84">
        <f>E74</f>
        <v/>
      </c>
      <c r="AM679" s="84">
        <f>MAX(0,AJ679-AK679)</f>
        <v/>
      </c>
      <c r="AN679" s="84">
        <f>IF(AM679=0,AH679,IF(AM679&gt;=AH679,0,AH679-AM679))</f>
        <v/>
      </c>
      <c r="AO679" s="84">
        <f>IF(AM679&gt;=AH679,AI679,AI679*AM679/AH679)</f>
        <v/>
      </c>
      <c r="AP679">
        <f t="array" ref="AP679">INDEX($AU$8:$BB$25,6*(R679-1)+MATCH(AB679,$AS$8:$AS$13,0),MATCH(O679,$AU$7:$BB$7,0))</f>
        <v/>
      </c>
    </row>
    <row r="680" ht="14.25" customHeight="1">
      <c r="O680" s="43" t="inlineStr">
        <is>
          <t>Q2’27</t>
        </is>
      </c>
      <c r="P680" s="43" t="n">
        <v>1</v>
      </c>
      <c r="Q680" s="43" t="n">
        <v>10</v>
      </c>
      <c r="R680" s="43" t="n">
        <v>1</v>
      </c>
      <c r="S680" s="45" t="n">
        <v>2475.2</v>
      </c>
      <c r="T680">
        <f>(S680+S681+S682)=S2</f>
        <v/>
      </c>
      <c r="X680" s="84">
        <f>MAX(S677-S680,0)</f>
        <v/>
      </c>
      <c r="Y680" s="83" t="n">
        <v>0</v>
      </c>
      <c r="AA680" s="84" t="n">
        <v>6</v>
      </c>
      <c r="AB680" s="84" t="inlineStr">
        <is>
          <t>D</t>
        </is>
      </c>
      <c r="AC680" s="84" t="inlineStr">
        <is>
          <t>D+</t>
        </is>
      </c>
      <c r="AD680" s="84" t="n">
        <v>14</v>
      </c>
      <c r="AE680" s="84" t="n">
        <v>11</v>
      </c>
      <c r="AF680" s="84" t="n">
        <v>0.8</v>
      </c>
      <c r="AG680" s="84" t="n">
        <v>0.88</v>
      </c>
      <c r="AH680" s="84" t="n">
        <v>0</v>
      </c>
      <c r="AI680" s="84" t="n">
        <v>0</v>
      </c>
      <c r="AJ680" s="84">
        <f>SUMIFS(AH$8:AH$1039,$O$8:$O$1039,O680,$AB$8:$AB$1039,AB680,$R$8:$R$1039,R680,$AA$8:$AA$1039,"&lt;="&amp;AA680)</f>
        <v/>
      </c>
      <c r="AK680" s="84">
        <f>C71</f>
        <v/>
      </c>
      <c r="AL680" s="84">
        <f>C77</f>
        <v/>
      </c>
      <c r="AM680" s="84">
        <f>MAX(0,AJ680-AK680)</f>
        <v/>
      </c>
      <c r="AN680" s="84">
        <f>IF(AM680=0,AH680,IF(AM680&gt;=AH680,0,AH680-AM680))</f>
        <v/>
      </c>
      <c r="AO680" s="84">
        <f>IF(AM680&gt;=AH680,AI680,AI680*AM680/AH680)</f>
        <v/>
      </c>
      <c r="AP680">
        <f t="array" ref="AP680">INDEX($AU$8:$BB$25,6*(R680-1)+MATCH(AB680,$AS$8:$AS$13,0),MATCH(O680,$AU$7:$BB$7,0))</f>
        <v/>
      </c>
    </row>
    <row r="681" ht="14.25" customHeight="1">
      <c r="O681" s="43" t="inlineStr">
        <is>
          <t>Q2’27</t>
        </is>
      </c>
      <c r="P681" s="43" t="n">
        <v>1</v>
      </c>
      <c r="Q681" s="43" t="n">
        <v>10</v>
      </c>
      <c r="R681" s="43" t="n">
        <v>2</v>
      </c>
      <c r="S681" s="45" t="n">
        <v>2060.518307533515</v>
      </c>
      <c r="T681">
        <f>(S680+S681+S682)=S2</f>
        <v/>
      </c>
      <c r="X681" s="84">
        <f>MAX(S678-S681,0)</f>
        <v/>
      </c>
      <c r="Y681" s="83" t="n">
        <v>0</v>
      </c>
      <c r="AA681" s="84" t="n">
        <v>6</v>
      </c>
      <c r="AB681" s="84" t="inlineStr">
        <is>
          <t>D</t>
        </is>
      </c>
      <c r="AC681" s="84" t="inlineStr">
        <is>
          <t>D+</t>
        </is>
      </c>
      <c r="AD681" s="84" t="n">
        <v>14</v>
      </c>
      <c r="AE681" s="84" t="n">
        <v>11</v>
      </c>
      <c r="AF681" s="84" t="n">
        <v>0.8</v>
      </c>
      <c r="AG681" s="84" t="n">
        <v>0.88</v>
      </c>
      <c r="AH681" s="84" t="n">
        <v>0</v>
      </c>
      <c r="AI681" s="84" t="n">
        <v>0</v>
      </c>
      <c r="AJ681" s="84">
        <f>SUMIFS(AH$8:AH$1039,$O$8:$O$1039,O681,$AB$8:$AB$1039,AB681,$R$8:$R$1039,R681,$AA$8:$AA$1039,"&lt;="&amp;AA681)</f>
        <v/>
      </c>
      <c r="AK681" s="84">
        <f>D71</f>
        <v/>
      </c>
      <c r="AL681" s="84">
        <f>D77</f>
        <v/>
      </c>
      <c r="AM681" s="84">
        <f>MAX(0,AJ681-AK681)</f>
        <v/>
      </c>
      <c r="AN681" s="84">
        <f>IF(AM681=0,AH681,IF(AM681&gt;=AH681,0,AH681-AM681))</f>
        <v/>
      </c>
      <c r="AO681" s="84">
        <f>IF(AM681&gt;=AH681,AI681,AI681*AM681/AH681)</f>
        <v/>
      </c>
      <c r="AP681">
        <f t="array" ref="AP681">INDEX($AU$8:$BB$25,6*(R681-1)+MATCH(AB681,$AS$8:$AS$13,0),MATCH(O681,$AU$7:$BB$7,0))</f>
        <v/>
      </c>
    </row>
    <row r="682" ht="14.25" customHeight="1">
      <c r="O682" s="43" t="inlineStr">
        <is>
          <t>Q2’27</t>
        </is>
      </c>
      <c r="P682" s="43" t="n">
        <v>1</v>
      </c>
      <c r="Q682" s="43" t="n">
        <v>10</v>
      </c>
      <c r="R682" s="43" t="n">
        <v>3</v>
      </c>
      <c r="S682" s="45" t="n">
        <v>464.2816924664858</v>
      </c>
      <c r="T682">
        <f>(S680+S681+S682)=S2</f>
        <v/>
      </c>
      <c r="X682" s="84">
        <f>MAX(S679-S682,0)</f>
        <v/>
      </c>
      <c r="Y682" s="83" t="n">
        <v>0</v>
      </c>
      <c r="AA682" s="84" t="n">
        <v>6</v>
      </c>
      <c r="AB682" s="84" t="inlineStr">
        <is>
          <t>D</t>
        </is>
      </c>
      <c r="AC682" s="84" t="inlineStr">
        <is>
          <t>D+</t>
        </is>
      </c>
      <c r="AD682" s="84" t="n">
        <v>14</v>
      </c>
      <c r="AE682" s="84" t="n">
        <v>11</v>
      </c>
      <c r="AF682" s="84" t="n">
        <v>0.8</v>
      </c>
      <c r="AG682" s="84" t="n">
        <v>0.88</v>
      </c>
      <c r="AH682" s="84" t="n">
        <v>0</v>
      </c>
      <c r="AI682" s="84" t="n">
        <v>0</v>
      </c>
      <c r="AJ682" s="84">
        <f>SUMIFS(AH$8:AH$1039,$O$8:$O$1039,O682,$AB$8:$AB$1039,AB682,$R$8:$R$1039,R682,$AA$8:$AA$1039,"&lt;="&amp;AA682)</f>
        <v/>
      </c>
      <c r="AK682" s="84">
        <f>E71</f>
        <v/>
      </c>
      <c r="AL682" s="84">
        <f>E77</f>
        <v/>
      </c>
      <c r="AM682" s="84">
        <f>MAX(0,AJ682-AK682)</f>
        <v/>
      </c>
      <c r="AN682" s="84">
        <f>IF(AM682=0,AH682,IF(AM682&gt;=AH682,0,AH682-AM682))</f>
        <v/>
      </c>
      <c r="AO682" s="84">
        <f>IF(AM682&gt;=AH682,AI682,AI682*AM682/AH682)</f>
        <v/>
      </c>
      <c r="AP682">
        <f t="array" ref="AP682">INDEX($AU$8:$BB$25,6*(R682-1)+MATCH(AB682,$AS$8:$AS$13,0),MATCH(O682,$AU$7:$BB$7,0))</f>
        <v/>
      </c>
    </row>
    <row r="683" ht="14.25" customHeight="1">
      <c r="O683" s="43" t="inlineStr">
        <is>
          <t>Q2’27</t>
        </is>
      </c>
      <c r="P683" s="43" t="n">
        <v>1</v>
      </c>
      <c r="Q683" s="43" t="n">
        <v>11</v>
      </c>
      <c r="R683" s="43" t="n">
        <v>1</v>
      </c>
      <c r="S683" s="45" t="n">
        <v>2475.2</v>
      </c>
      <c r="T683">
        <f>(S683+S684+S685)=S2</f>
        <v/>
      </c>
      <c r="X683" s="84">
        <f>MAX(S680-S683,0)</f>
        <v/>
      </c>
      <c r="Y683" s="83" t="n">
        <v>0</v>
      </c>
      <c r="AA683" s="84" t="n">
        <v>3</v>
      </c>
      <c r="AB683" s="84" t="inlineStr">
        <is>
          <t>F</t>
        </is>
      </c>
      <c r="AC683" s="84" t="inlineStr">
        <is>
          <t>F+</t>
        </is>
      </c>
      <c r="AD683" s="84" t="n">
        <v>18</v>
      </c>
      <c r="AE683" s="84" t="n">
        <v>16</v>
      </c>
      <c r="AF683" s="84" t="n">
        <v>0.8</v>
      </c>
      <c r="AG683" s="84" t="n">
        <v>0.9</v>
      </c>
      <c r="AH683" s="84" t="n">
        <v>0</v>
      </c>
      <c r="AI683" s="84" t="n">
        <v>0</v>
      </c>
      <c r="AJ683" s="84">
        <f>SUMIFS(AH$8:AH$1039,$O$8:$O$1039,O683,$AB$8:$AB$1039,AB683,$R$8:$R$1039,R683,$AA$8:$AA$1039,"&lt;="&amp;AA683)</f>
        <v/>
      </c>
      <c r="AK683" s="84">
        <f>C73</f>
        <v/>
      </c>
      <c r="AL683" s="84">
        <f>C79</f>
        <v/>
      </c>
      <c r="AM683" s="84">
        <f>MAX(0,AJ683-AK683)</f>
        <v/>
      </c>
      <c r="AN683" s="84">
        <f>IF(AM683=0,AH683,IF(AM683&gt;=AH683,0,AH683-AM683))</f>
        <v/>
      </c>
      <c r="AO683" s="84">
        <f>IF(AM683&gt;=AH683,AI683,AI683*AM683/AH683)</f>
        <v/>
      </c>
      <c r="AP683">
        <f t="array" ref="AP683">INDEX($AU$8:$BB$25,6*(R683-1)+MATCH(AB683,$AS$8:$AS$13,0),MATCH(O683,$AU$7:$BB$7,0))</f>
        <v/>
      </c>
    </row>
    <row r="684" ht="14.25" customHeight="1">
      <c r="O684" s="43" t="inlineStr">
        <is>
          <t>Q2’27</t>
        </is>
      </c>
      <c r="P684" s="43" t="n">
        <v>1</v>
      </c>
      <c r="Q684" s="43" t="n">
        <v>11</v>
      </c>
      <c r="R684" s="43" t="n">
        <v>2</v>
      </c>
      <c r="S684" s="45" t="n">
        <v>2060.518307533516</v>
      </c>
      <c r="T684">
        <f>(S683+S684+S685)=S2</f>
        <v/>
      </c>
      <c r="X684" s="84">
        <f>MAX(S681-S684,0)</f>
        <v/>
      </c>
      <c r="Y684" s="83" t="n">
        <v>0</v>
      </c>
      <c r="AA684" s="84" t="n">
        <v>3</v>
      </c>
      <c r="AB684" s="84" t="inlineStr">
        <is>
          <t>F</t>
        </is>
      </c>
      <c r="AC684" s="84" t="inlineStr">
        <is>
          <t>F+</t>
        </is>
      </c>
      <c r="AD684" s="84" t="n">
        <v>18</v>
      </c>
      <c r="AE684" s="84" t="n">
        <v>16</v>
      </c>
      <c r="AF684" s="84" t="n">
        <v>0.8</v>
      </c>
      <c r="AG684" s="84" t="n">
        <v>0.9</v>
      </c>
      <c r="AH684" s="84" t="n">
        <v>0</v>
      </c>
      <c r="AI684" s="84" t="n">
        <v>0</v>
      </c>
      <c r="AJ684" s="84">
        <f>SUMIFS(AH$8:AH$1039,$O$8:$O$1039,O684,$AB$8:$AB$1039,AB684,$R$8:$R$1039,R684,$AA$8:$AA$1039,"&lt;="&amp;AA684)</f>
        <v/>
      </c>
      <c r="AK684" s="84">
        <f>D73</f>
        <v/>
      </c>
      <c r="AL684" s="84">
        <f>D79</f>
        <v/>
      </c>
      <c r="AM684" s="84">
        <f>MAX(0,AJ684-AK684)</f>
        <v/>
      </c>
      <c r="AN684" s="84">
        <f>IF(AM684=0,AH684,IF(AM684&gt;=AH684,0,AH684-AM684))</f>
        <v/>
      </c>
      <c r="AO684" s="84">
        <f>IF(AM684&gt;=AH684,AI684,AI684*AM684/AH684)</f>
        <v/>
      </c>
      <c r="AP684">
        <f t="array" ref="AP684">INDEX($AU$8:$BB$25,6*(R684-1)+MATCH(AB684,$AS$8:$AS$13,0),MATCH(O684,$AU$7:$BB$7,0))</f>
        <v/>
      </c>
    </row>
    <row r="685" ht="14.25" customHeight="1">
      <c r="O685" s="43" t="inlineStr">
        <is>
          <t>Q2’27</t>
        </is>
      </c>
      <c r="P685" s="43" t="n">
        <v>1</v>
      </c>
      <c r="Q685" s="43" t="n">
        <v>11</v>
      </c>
      <c r="R685" s="43" t="n">
        <v>3</v>
      </c>
      <c r="S685" s="45" t="n">
        <v>464.281692466484</v>
      </c>
      <c r="T685">
        <f>(S683+S684+S685)=S2</f>
        <v/>
      </c>
      <c r="X685" s="84">
        <f>MAX(S682-S685,0)</f>
        <v/>
      </c>
      <c r="Y685" s="83" t="n">
        <v>0</v>
      </c>
      <c r="AA685" s="84" t="n">
        <v>3</v>
      </c>
      <c r="AB685" s="84" t="inlineStr">
        <is>
          <t>F</t>
        </is>
      </c>
      <c r="AC685" s="84" t="inlineStr">
        <is>
          <t>F+</t>
        </is>
      </c>
      <c r="AD685" s="84" t="n">
        <v>18</v>
      </c>
      <c r="AE685" s="84" t="n">
        <v>16</v>
      </c>
      <c r="AF685" s="84" t="n">
        <v>0.8</v>
      </c>
      <c r="AG685" s="84" t="n">
        <v>0.9</v>
      </c>
      <c r="AH685" s="84" t="n">
        <v>0</v>
      </c>
      <c r="AI685" s="84" t="n">
        <v>0</v>
      </c>
      <c r="AJ685" s="84">
        <f>SUMIFS(AH$8:AH$1039,$O$8:$O$1039,O685,$AB$8:$AB$1039,AB685,$R$8:$R$1039,R685,$AA$8:$AA$1039,"&lt;="&amp;AA685)</f>
        <v/>
      </c>
      <c r="AK685" s="84">
        <f>E73</f>
        <v/>
      </c>
      <c r="AL685" s="84">
        <f>E79</f>
        <v/>
      </c>
      <c r="AM685" s="84">
        <f>MAX(0,AJ685-AK685)</f>
        <v/>
      </c>
      <c r="AN685" s="84">
        <f>IF(AM685=0,AH685,IF(AM685&gt;=AH685,0,AH685-AM685))</f>
        <v/>
      </c>
      <c r="AO685" s="84">
        <f>IF(AM685&gt;=AH685,AI685,AI685*AM685/AH685)</f>
        <v/>
      </c>
      <c r="AP685">
        <f t="array" ref="AP685">INDEX($AU$8:$BB$25,6*(R685-1)+MATCH(AB685,$AS$8:$AS$13,0),MATCH(O685,$AU$7:$BB$7,0))</f>
        <v/>
      </c>
    </row>
    <row r="686" ht="14.25" customHeight="1">
      <c r="O686" s="43" t="inlineStr">
        <is>
          <t>Q2’27</t>
        </is>
      </c>
      <c r="P686" s="43" t="n">
        <v>2</v>
      </c>
      <c r="Q686" s="43" t="n">
        <v>1</v>
      </c>
      <c r="R686" s="43" t="n">
        <v>1</v>
      </c>
      <c r="S686" s="45" t="n">
        <v>5180</v>
      </c>
      <c r="T686">
        <f>(S686+S687+S688)=S3</f>
        <v/>
      </c>
      <c r="X686" s="84" t="n">
        <v>0</v>
      </c>
      <c r="Y686" s="83" t="n">
        <v>0</v>
      </c>
      <c r="AA686" s="84" t="n">
        <v>9</v>
      </c>
      <c r="AB686" s="84" t="inlineStr">
        <is>
          <t>F</t>
        </is>
      </c>
      <c r="AC686" s="84" t="inlineStr">
        <is>
          <t>F+</t>
        </is>
      </c>
      <c r="AD686" s="84" t="n">
        <v>19</v>
      </c>
      <c r="AE686" s="84" t="n">
        <v>16</v>
      </c>
      <c r="AF686" s="84" t="n">
        <v>0.8</v>
      </c>
      <c r="AG686" s="84" t="n">
        <v>0.9</v>
      </c>
      <c r="AH686" s="84" t="n">
        <v>0</v>
      </c>
      <c r="AI686" s="84" t="n">
        <v>0</v>
      </c>
      <c r="AJ686" s="84">
        <f>SUMIFS(AH$8:AH$1039,$O$8:$O$1039,O686,$AB$8:$AB$1039,AB686,$R$8:$R$1039,R686,$AA$8:$AA$1039,"&lt;="&amp;AA686)</f>
        <v/>
      </c>
      <c r="AK686" s="84">
        <f>C73</f>
        <v/>
      </c>
      <c r="AL686" s="84">
        <f>C79</f>
        <v/>
      </c>
      <c r="AM686" s="84">
        <f>MAX(0,AJ686-AK686)</f>
        <v/>
      </c>
      <c r="AN686" s="84">
        <f>IF(AM686=0,AH686,IF(AM686&gt;=AH686,0,AH686-AM686))</f>
        <v/>
      </c>
      <c r="AO686" s="84">
        <f>IF(AM686&gt;=AH686,AI686,AI686*AM686/AH686)</f>
        <v/>
      </c>
      <c r="AP686">
        <f t="array" ref="AP686">INDEX($AU$8:$BB$25,6*(R686-1)+MATCH(AB686,$AS$8:$AS$13,0),MATCH(O686,$AU$7:$BB$7,0))</f>
        <v/>
      </c>
    </row>
    <row r="687" ht="14.25" customHeight="1">
      <c r="O687" s="43" t="inlineStr">
        <is>
          <t>Q2’27</t>
        </is>
      </c>
      <c r="P687" s="43" t="n">
        <v>2</v>
      </c>
      <c r="Q687" s="43" t="n">
        <v>1</v>
      </c>
      <c r="R687" s="43" t="n">
        <v>2</v>
      </c>
      <c r="S687" s="45" t="n">
        <v>1320</v>
      </c>
      <c r="T687">
        <f>(S686+S687+S688)=S3</f>
        <v/>
      </c>
      <c r="X687" s="84" t="n">
        <v>0</v>
      </c>
      <c r="Y687" s="83" t="n">
        <v>0</v>
      </c>
      <c r="AA687" s="84" t="n">
        <v>9</v>
      </c>
      <c r="AB687" s="84" t="inlineStr">
        <is>
          <t>F</t>
        </is>
      </c>
      <c r="AC687" s="84" t="inlineStr">
        <is>
          <t>F+</t>
        </is>
      </c>
      <c r="AD687" s="84" t="n">
        <v>19</v>
      </c>
      <c r="AE687" s="84" t="n">
        <v>16</v>
      </c>
      <c r="AF687" s="84" t="n">
        <v>0.8</v>
      </c>
      <c r="AG687" s="84" t="n">
        <v>0.9</v>
      </c>
      <c r="AH687" s="84" t="n">
        <v>0</v>
      </c>
      <c r="AI687" s="84" t="n">
        <v>0</v>
      </c>
      <c r="AJ687" s="84">
        <f>SUMIFS(AH$8:AH$1039,$O$8:$O$1039,O687,$AB$8:$AB$1039,AB687,$R$8:$R$1039,R687,$AA$8:$AA$1039,"&lt;="&amp;AA687)</f>
        <v/>
      </c>
      <c r="AK687" s="84">
        <f>D73</f>
        <v/>
      </c>
      <c r="AL687" s="84">
        <f>D79</f>
        <v/>
      </c>
      <c r="AM687" s="84">
        <f>MAX(0,AJ687-AK687)</f>
        <v/>
      </c>
      <c r="AN687" s="84">
        <f>IF(AM687=0,AH687,IF(AM687&gt;=AH687,0,AH687-AM687))</f>
        <v/>
      </c>
      <c r="AO687" s="84">
        <f>IF(AM687&gt;=AH687,AI687,AI687*AM687/AH687)</f>
        <v/>
      </c>
      <c r="AP687">
        <f t="array" ref="AP687">INDEX($AU$8:$BB$25,6*(R687-1)+MATCH(AB687,$AS$8:$AS$13,0),MATCH(O687,$AU$7:$BB$7,0))</f>
        <v/>
      </c>
    </row>
    <row r="688" ht="14.25" customHeight="1">
      <c r="O688" s="43" t="inlineStr">
        <is>
          <t>Q2’27</t>
        </is>
      </c>
      <c r="P688" s="43" t="n">
        <v>2</v>
      </c>
      <c r="Q688" s="43" t="n">
        <v>1</v>
      </c>
      <c r="R688" s="43" t="n">
        <v>3</v>
      </c>
      <c r="S688" s="45" t="n">
        <v>0</v>
      </c>
      <c r="T688">
        <f>(S686+S687+S688)=S3</f>
        <v/>
      </c>
      <c r="X688" s="84" t="n">
        <v>0</v>
      </c>
      <c r="Y688" s="83" t="n">
        <v>0</v>
      </c>
      <c r="AA688" s="84" t="n">
        <v>9</v>
      </c>
      <c r="AB688" s="84" t="inlineStr">
        <is>
          <t>F</t>
        </is>
      </c>
      <c r="AC688" s="84" t="inlineStr">
        <is>
          <t>F+</t>
        </is>
      </c>
      <c r="AD688" s="84" t="n">
        <v>19</v>
      </c>
      <c r="AE688" s="84" t="n">
        <v>16</v>
      </c>
      <c r="AF688" s="84" t="n">
        <v>0.8</v>
      </c>
      <c r="AG688" s="84" t="n">
        <v>0.9</v>
      </c>
      <c r="AH688" s="84" t="n">
        <v>0</v>
      </c>
      <c r="AI688" s="84" t="n">
        <v>0</v>
      </c>
      <c r="AJ688" s="84">
        <f>SUMIFS(AH$8:AH$1039,$O$8:$O$1039,O688,$AB$8:$AB$1039,AB688,$R$8:$R$1039,R688,$AA$8:$AA$1039,"&lt;="&amp;AA688)</f>
        <v/>
      </c>
      <c r="AK688" s="84">
        <f>E73</f>
        <v/>
      </c>
      <c r="AL688" s="84">
        <f>E79</f>
        <v/>
      </c>
      <c r="AM688" s="84">
        <f>MAX(0,AJ688-AK688)</f>
        <v/>
      </c>
      <c r="AN688" s="84">
        <f>IF(AM688=0,AH688,IF(AM688&gt;=AH688,0,AH688-AM688))</f>
        <v/>
      </c>
      <c r="AO688" s="84">
        <f>IF(AM688&gt;=AH688,AI688,AI688*AM688/AH688)</f>
        <v/>
      </c>
      <c r="AP688">
        <f t="array" ref="AP688">INDEX($AU$8:$BB$25,6*(R688-1)+MATCH(AB688,$AS$8:$AS$13,0),MATCH(O688,$AU$7:$BB$7,0))</f>
        <v/>
      </c>
    </row>
    <row r="689" ht="14.25" customHeight="1">
      <c r="O689" s="43" t="inlineStr">
        <is>
          <t>Q2’27</t>
        </is>
      </c>
      <c r="P689" s="43" t="n">
        <v>2</v>
      </c>
      <c r="Q689" s="43" t="n">
        <v>2</v>
      </c>
      <c r="R689" s="43" t="n">
        <v>1</v>
      </c>
      <c r="S689" s="45" t="n">
        <v>5180.000000000003</v>
      </c>
      <c r="T689">
        <f>(S689+S690+S691)=S3</f>
        <v/>
      </c>
      <c r="X689" s="84">
        <f>MAX(S686-S689,0)</f>
        <v/>
      </c>
      <c r="Y689" s="83" t="n">
        <v>0</v>
      </c>
      <c r="AA689" s="84" t="n">
        <v>1</v>
      </c>
      <c r="AB689" s="84" t="inlineStr">
        <is>
          <t>B</t>
        </is>
      </c>
      <c r="AC689" s="84" t="inlineStr">
        <is>
          <t>B+</t>
        </is>
      </c>
      <c r="AD689" s="84" t="n">
        <v>20</v>
      </c>
      <c r="AE689" s="84" t="n">
        <v>18</v>
      </c>
      <c r="AF689" s="84" t="n">
        <v>0.76</v>
      </c>
      <c r="AG689" s="84" t="n">
        <v>0.8100000000000001</v>
      </c>
      <c r="AH689" s="84" t="n">
        <v>0</v>
      </c>
      <c r="AI689" s="84" t="n">
        <v>0</v>
      </c>
      <c r="AJ689" s="84">
        <f>SUMIFS(AH$8:AH$1039,$O$8:$O$1039,O689,$AB$8:$AB$1039,AB689,$R$8:$R$1039,R689,$AA$8:$AA$1039,"&lt;="&amp;AA689)</f>
        <v/>
      </c>
      <c r="AK689" s="84">
        <f>C69</f>
        <v/>
      </c>
      <c r="AL689" s="84">
        <f>C75</f>
        <v/>
      </c>
      <c r="AM689" s="84">
        <f>MAX(0,AJ689-AK689)</f>
        <v/>
      </c>
      <c r="AN689" s="84">
        <f>IF(AM689=0,AH689,IF(AM689&gt;=AH689,0,AH689-AM689))</f>
        <v/>
      </c>
      <c r="AO689" s="84">
        <f>IF(AM689&gt;=AH689,AI689,AI689*AM689/AH689)</f>
        <v/>
      </c>
      <c r="AP689">
        <f t="array" ref="AP689">INDEX($AU$8:$BB$25,6*(R689-1)+MATCH(AB689,$AS$8:$AS$13,0),MATCH(O689,$AU$7:$BB$7,0))</f>
        <v/>
      </c>
    </row>
    <row r="690" ht="14.25" customHeight="1">
      <c r="O690" s="43" t="inlineStr">
        <is>
          <t>Q2’27</t>
        </is>
      </c>
      <c r="P690" s="43" t="n">
        <v>2</v>
      </c>
      <c r="Q690" s="43" t="n">
        <v>2</v>
      </c>
      <c r="R690" s="43" t="n">
        <v>2</v>
      </c>
      <c r="S690" s="45" t="n">
        <v>1319.999999999997</v>
      </c>
      <c r="T690">
        <f>(S689+S690+S691)=S3</f>
        <v/>
      </c>
      <c r="X690" s="84">
        <f>MAX(S687-S690,0)</f>
        <v/>
      </c>
      <c r="Y690" s="83" t="n">
        <v>0</v>
      </c>
      <c r="AA690" s="84" t="n">
        <v>1</v>
      </c>
      <c r="AB690" s="84" t="inlineStr">
        <is>
          <t>B</t>
        </is>
      </c>
      <c r="AC690" s="84" t="inlineStr">
        <is>
          <t>B+</t>
        </is>
      </c>
      <c r="AD690" s="84" t="n">
        <v>20</v>
      </c>
      <c r="AE690" s="84" t="n">
        <v>18</v>
      </c>
      <c r="AF690" s="84" t="n">
        <v>0.76</v>
      </c>
      <c r="AG690" s="84" t="n">
        <v>0.8100000000000001</v>
      </c>
      <c r="AH690" s="84" t="n">
        <v>0</v>
      </c>
      <c r="AI690" s="84" t="n">
        <v>0</v>
      </c>
      <c r="AJ690" s="84">
        <f>SUMIFS(AH$8:AH$1039,$O$8:$O$1039,O690,$AB$8:$AB$1039,AB690,$R$8:$R$1039,R690,$AA$8:$AA$1039,"&lt;="&amp;AA690)</f>
        <v/>
      </c>
      <c r="AK690" s="84">
        <f>D69</f>
        <v/>
      </c>
      <c r="AL690" s="84">
        <f>D75</f>
        <v/>
      </c>
      <c r="AM690" s="84">
        <f>MAX(0,AJ690-AK690)</f>
        <v/>
      </c>
      <c r="AN690" s="84">
        <f>IF(AM690=0,AH690,IF(AM690&gt;=AH690,0,AH690-AM690))</f>
        <v/>
      </c>
      <c r="AO690" s="84">
        <f>IF(AM690&gt;=AH690,AI690,AI690*AM690/AH690)</f>
        <v/>
      </c>
      <c r="AP690">
        <f t="array" ref="AP690">INDEX($AU$8:$BB$25,6*(R690-1)+MATCH(AB690,$AS$8:$AS$13,0),MATCH(O690,$AU$7:$BB$7,0))</f>
        <v/>
      </c>
    </row>
    <row r="691" ht="14.25" customHeight="1">
      <c r="O691" s="43" t="inlineStr">
        <is>
          <t>Q2’27</t>
        </is>
      </c>
      <c r="P691" s="43" t="n">
        <v>2</v>
      </c>
      <c r="Q691" s="43" t="n">
        <v>2</v>
      </c>
      <c r="R691" s="43" t="n">
        <v>3</v>
      </c>
      <c r="S691" s="45" t="n">
        <v>0</v>
      </c>
      <c r="T691">
        <f>(S689+S690+S691)=S3</f>
        <v/>
      </c>
      <c r="X691" s="84">
        <f>MAX(S688-S691,0)</f>
        <v/>
      </c>
      <c r="Y691" s="83" t="n">
        <v>0</v>
      </c>
      <c r="AA691" s="84" t="n">
        <v>1</v>
      </c>
      <c r="AB691" s="84" t="inlineStr">
        <is>
          <t>B</t>
        </is>
      </c>
      <c r="AC691" s="84" t="inlineStr">
        <is>
          <t>B+</t>
        </is>
      </c>
      <c r="AD691" s="84" t="n">
        <v>20</v>
      </c>
      <c r="AE691" s="84" t="n">
        <v>18</v>
      </c>
      <c r="AF691" s="84" t="n">
        <v>0.76</v>
      </c>
      <c r="AG691" s="84" t="n">
        <v>0.8100000000000001</v>
      </c>
      <c r="AH691" s="84" t="n">
        <v>0</v>
      </c>
      <c r="AI691" s="84" t="n">
        <v>0</v>
      </c>
      <c r="AJ691" s="84">
        <f>SUMIFS(AH$8:AH$1039,$O$8:$O$1039,O691,$AB$8:$AB$1039,AB691,$R$8:$R$1039,R691,$AA$8:$AA$1039,"&lt;="&amp;AA691)</f>
        <v/>
      </c>
      <c r="AK691" s="84">
        <f>E69</f>
        <v/>
      </c>
      <c r="AL691" s="84">
        <f>E75</f>
        <v/>
      </c>
      <c r="AM691" s="84">
        <f>MAX(0,AJ691-AK691)</f>
        <v/>
      </c>
      <c r="AN691" s="84">
        <f>IF(AM691=0,AH691,IF(AM691&gt;=AH691,0,AH691-AM691))</f>
        <v/>
      </c>
      <c r="AO691" s="84">
        <f>IF(AM691&gt;=AH691,AI691,AI691*AM691/AH691)</f>
        <v/>
      </c>
      <c r="AP691">
        <f t="array" ref="AP691">INDEX($AU$8:$BB$25,6*(R691-1)+MATCH(AB691,$AS$8:$AS$13,0),MATCH(O691,$AU$7:$BB$7,0))</f>
        <v/>
      </c>
    </row>
    <row r="692" ht="14.25" customHeight="1">
      <c r="O692" s="43" t="inlineStr">
        <is>
          <t>Q2’27</t>
        </is>
      </c>
      <c r="P692" s="43" t="n">
        <v>2</v>
      </c>
      <c r="Q692" s="43" t="n">
        <v>3</v>
      </c>
      <c r="R692" s="43" t="n">
        <v>1</v>
      </c>
      <c r="S692" s="45" t="n">
        <v>5180.000000000003</v>
      </c>
      <c r="T692">
        <f>(S692+S693+S694)=S3</f>
        <v/>
      </c>
      <c r="X692" s="84">
        <f>MAX(S689-S692,0)</f>
        <v/>
      </c>
      <c r="Y692" s="83" t="n">
        <v>0</v>
      </c>
      <c r="AA692" s="84" t="n">
        <v>11</v>
      </c>
      <c r="AB692" s="84" t="inlineStr">
        <is>
          <t>E</t>
        </is>
      </c>
      <c r="AC692" s="84" t="inlineStr">
        <is>
          <t>E+</t>
        </is>
      </c>
      <c r="AD692" s="84" t="n">
        <v>10</v>
      </c>
      <c r="AE692" s="84" t="n">
        <v>7</v>
      </c>
      <c r="AF692" s="84" t="n">
        <v>0.76</v>
      </c>
      <c r="AG692" s="84" t="n">
        <v>0.84</v>
      </c>
      <c r="AH692" s="84" t="n">
        <v>0</v>
      </c>
      <c r="AI692" s="84" t="n">
        <v>0</v>
      </c>
      <c r="AJ692" s="84">
        <f>SUMIFS(AH$8:AH$1039,$O$8:$O$1039,O692,$AB$8:$AB$1039,AB692,$R$8:$R$1039,R692,$AA$8:$AA$1039,"&lt;="&amp;AA692)</f>
        <v/>
      </c>
      <c r="AK692" s="84">
        <f>C72</f>
        <v/>
      </c>
      <c r="AL692" s="84">
        <f>C78</f>
        <v/>
      </c>
      <c r="AM692" s="84">
        <f>MAX(0,AJ692-AK692)</f>
        <v/>
      </c>
      <c r="AN692" s="84">
        <f>IF(AM692=0,AH692,IF(AM692&gt;=AH692,0,AH692-AM692))</f>
        <v/>
      </c>
      <c r="AO692" s="84">
        <f>IF(AM692&gt;=AH692,AI692,AI692*AM692/AH692)</f>
        <v/>
      </c>
      <c r="AP692">
        <f t="array" ref="AP692">INDEX($AU$8:$BB$25,6*(R692-1)+MATCH(AB692,$AS$8:$AS$13,0),MATCH(O692,$AU$7:$BB$7,0))</f>
        <v/>
      </c>
    </row>
    <row r="693" ht="14.25" customHeight="1">
      <c r="O693" s="43" t="inlineStr">
        <is>
          <t>Q2’27</t>
        </is>
      </c>
      <c r="P693" s="43" t="n">
        <v>2</v>
      </c>
      <c r="Q693" s="43" t="n">
        <v>3</v>
      </c>
      <c r="R693" s="43" t="n">
        <v>2</v>
      </c>
      <c r="S693" s="45" t="n">
        <v>1319.999999999997</v>
      </c>
      <c r="T693">
        <f>(S692+S693+S694)=S3</f>
        <v/>
      </c>
      <c r="X693" s="84">
        <f>MAX(S690-S693,0)</f>
        <v/>
      </c>
      <c r="Y693" s="83" t="n">
        <v>0</v>
      </c>
      <c r="AA693" s="84" t="n">
        <v>11</v>
      </c>
      <c r="AB693" s="84" t="inlineStr">
        <is>
          <t>E</t>
        </is>
      </c>
      <c r="AC693" s="84" t="inlineStr">
        <is>
          <t>E+</t>
        </is>
      </c>
      <c r="AD693" s="84" t="n">
        <v>10</v>
      </c>
      <c r="AE693" s="84" t="n">
        <v>7</v>
      </c>
      <c r="AF693" s="84" t="n">
        <v>0.76</v>
      </c>
      <c r="AG693" s="84" t="n">
        <v>0.84</v>
      </c>
      <c r="AH693" s="84" t="n">
        <v>0</v>
      </c>
      <c r="AI693" s="84" t="n">
        <v>0</v>
      </c>
      <c r="AJ693" s="84">
        <f>SUMIFS(AH$8:AH$1039,$O$8:$O$1039,O693,$AB$8:$AB$1039,AB693,$R$8:$R$1039,R693,$AA$8:$AA$1039,"&lt;="&amp;AA693)</f>
        <v/>
      </c>
      <c r="AK693" s="84">
        <f>D72</f>
        <v/>
      </c>
      <c r="AL693" s="84">
        <f>D78</f>
        <v/>
      </c>
      <c r="AM693" s="84">
        <f>MAX(0,AJ693-AK693)</f>
        <v/>
      </c>
      <c r="AN693" s="84">
        <f>IF(AM693=0,AH693,IF(AM693&gt;=AH693,0,AH693-AM693))</f>
        <v/>
      </c>
      <c r="AO693" s="84">
        <f>IF(AM693&gt;=AH693,AI693,AI693*AM693/AH693)</f>
        <v/>
      </c>
      <c r="AP693">
        <f t="array" ref="AP693">INDEX($AU$8:$BB$25,6*(R693-1)+MATCH(AB693,$AS$8:$AS$13,0),MATCH(O693,$AU$7:$BB$7,0))</f>
        <v/>
      </c>
    </row>
    <row r="694" ht="14.25" customHeight="1">
      <c r="O694" s="43" t="inlineStr">
        <is>
          <t>Q2’27</t>
        </is>
      </c>
      <c r="P694" s="43" t="n">
        <v>2</v>
      </c>
      <c r="Q694" s="43" t="n">
        <v>3</v>
      </c>
      <c r="R694" s="43" t="n">
        <v>3</v>
      </c>
      <c r="S694" s="45" t="n">
        <v>0</v>
      </c>
      <c r="T694">
        <f>(S692+S693+S694)=S3</f>
        <v/>
      </c>
      <c r="X694" s="84">
        <f>MAX(S691-S694,0)</f>
        <v/>
      </c>
      <c r="Y694" s="83" t="n">
        <v>0</v>
      </c>
      <c r="AA694" s="84" t="n">
        <v>11</v>
      </c>
      <c r="AB694" s="84" t="inlineStr">
        <is>
          <t>E</t>
        </is>
      </c>
      <c r="AC694" s="84" t="inlineStr">
        <is>
          <t>E+</t>
        </is>
      </c>
      <c r="AD694" s="84" t="n">
        <v>10</v>
      </c>
      <c r="AE694" s="84" t="n">
        <v>7</v>
      </c>
      <c r="AF694" s="84" t="n">
        <v>0.76</v>
      </c>
      <c r="AG694" s="84" t="n">
        <v>0.84</v>
      </c>
      <c r="AH694" s="84" t="n">
        <v>0</v>
      </c>
      <c r="AI694" s="84" t="n">
        <v>0</v>
      </c>
      <c r="AJ694" s="84">
        <f>SUMIFS(AH$8:AH$1039,$O$8:$O$1039,O694,$AB$8:$AB$1039,AB694,$R$8:$R$1039,R694,$AA$8:$AA$1039,"&lt;="&amp;AA694)</f>
        <v/>
      </c>
      <c r="AK694" s="84">
        <f>E72</f>
        <v/>
      </c>
      <c r="AL694" s="84">
        <f>E78</f>
        <v/>
      </c>
      <c r="AM694" s="84">
        <f>MAX(0,AJ694-AK694)</f>
        <v/>
      </c>
      <c r="AN694" s="84">
        <f>IF(AM694=0,AH694,IF(AM694&gt;=AH694,0,AH694-AM694))</f>
        <v/>
      </c>
      <c r="AO694" s="84">
        <f>IF(AM694&gt;=AH694,AI694,AI694*AM694/AH694)</f>
        <v/>
      </c>
      <c r="AP694">
        <f t="array" ref="AP694">INDEX($AU$8:$BB$25,6*(R694-1)+MATCH(AB694,$AS$8:$AS$13,0),MATCH(O694,$AU$7:$BB$7,0))</f>
        <v/>
      </c>
    </row>
    <row r="695" ht="14.25" customHeight="1">
      <c r="O695" s="43" t="inlineStr">
        <is>
          <t>Q2’27</t>
        </is>
      </c>
      <c r="P695" s="43" t="n">
        <v>2</v>
      </c>
      <c r="Q695" s="43" t="n">
        <v>4</v>
      </c>
      <c r="R695" s="43" t="n">
        <v>1</v>
      </c>
      <c r="S695" s="45" t="n">
        <v>5180.000000000004</v>
      </c>
      <c r="T695">
        <f>(S695+S696+S697)=S3</f>
        <v/>
      </c>
      <c r="X695" s="84">
        <f>MAX(S692-S695,0)</f>
        <v/>
      </c>
      <c r="Y695" s="83" t="n">
        <v>0</v>
      </c>
      <c r="AA695" s="84" t="n">
        <v>2</v>
      </c>
      <c r="AB695" s="84" t="inlineStr">
        <is>
          <t>B</t>
        </is>
      </c>
      <c r="AC695" s="84" t="inlineStr">
        <is>
          <t>B+</t>
        </is>
      </c>
      <c r="AD695" s="84" t="n">
        <v>25</v>
      </c>
      <c r="AE695" s="84" t="n">
        <v>19</v>
      </c>
      <c r="AF695" s="84" t="n">
        <v>0.76</v>
      </c>
      <c r="AG695" s="84" t="n">
        <v>0.8100000000000001</v>
      </c>
      <c r="AH695" s="84" t="n">
        <v>0</v>
      </c>
      <c r="AI695" s="84" t="n">
        <v>0</v>
      </c>
      <c r="AJ695" s="84">
        <f>SUMIFS(AH$8:AH$1039,$O$8:$O$1039,O695,$AB$8:$AB$1039,AB695,$R$8:$R$1039,R695,$AA$8:$AA$1039,"&lt;="&amp;AA695)</f>
        <v/>
      </c>
      <c r="AK695" s="84">
        <f>C69</f>
        <v/>
      </c>
      <c r="AL695" s="84">
        <f>C75</f>
        <v/>
      </c>
      <c r="AM695" s="84">
        <f>MAX(0,AJ695-AK695)</f>
        <v/>
      </c>
      <c r="AN695" s="84">
        <f>IF(AM695=0,AH695,IF(AM695&gt;=AH695,0,AH695-AM695))</f>
        <v/>
      </c>
      <c r="AO695" s="84">
        <f>IF(AM695&gt;=AH695,AI695,AI695*AM695/AH695)</f>
        <v/>
      </c>
      <c r="AP695">
        <f t="array" ref="AP695">INDEX($AU$8:$BB$25,6*(R695-1)+MATCH(AB695,$AS$8:$AS$13,0),MATCH(O695,$AU$7:$BB$7,0))</f>
        <v/>
      </c>
    </row>
    <row r="696" ht="14.25" customHeight="1">
      <c r="O696" s="43" t="inlineStr">
        <is>
          <t>Q2’27</t>
        </is>
      </c>
      <c r="P696" s="43" t="n">
        <v>2</v>
      </c>
      <c r="Q696" s="43" t="n">
        <v>4</v>
      </c>
      <c r="R696" s="43" t="n">
        <v>2</v>
      </c>
      <c r="S696" s="45" t="n">
        <v>1319.999999999996</v>
      </c>
      <c r="T696">
        <f>(S695+S696+S697)=S3</f>
        <v/>
      </c>
      <c r="X696" s="84">
        <f>MAX(S693-S696,0)</f>
        <v/>
      </c>
      <c r="Y696" s="83" t="n">
        <v>0</v>
      </c>
      <c r="AA696" s="84" t="n">
        <v>2</v>
      </c>
      <c r="AB696" s="84" t="inlineStr">
        <is>
          <t>B</t>
        </is>
      </c>
      <c r="AC696" s="84" t="inlineStr">
        <is>
          <t>B+</t>
        </is>
      </c>
      <c r="AD696" s="84" t="n">
        <v>25</v>
      </c>
      <c r="AE696" s="84" t="n">
        <v>19</v>
      </c>
      <c r="AF696" s="84" t="n">
        <v>0.76</v>
      </c>
      <c r="AG696" s="84" t="n">
        <v>0.8100000000000001</v>
      </c>
      <c r="AH696" s="84" t="n">
        <v>0</v>
      </c>
      <c r="AI696" s="84" t="n">
        <v>0</v>
      </c>
      <c r="AJ696" s="84">
        <f>SUMIFS(AH$8:AH$1039,$O$8:$O$1039,O696,$AB$8:$AB$1039,AB696,$R$8:$R$1039,R696,$AA$8:$AA$1039,"&lt;="&amp;AA696)</f>
        <v/>
      </c>
      <c r="AK696" s="84">
        <f>D69</f>
        <v/>
      </c>
      <c r="AL696" s="84">
        <f>D75</f>
        <v/>
      </c>
      <c r="AM696" s="84">
        <f>MAX(0,AJ696-AK696)</f>
        <v/>
      </c>
      <c r="AN696" s="84">
        <f>IF(AM696=0,AH696,IF(AM696&gt;=AH696,0,AH696-AM696))</f>
        <v/>
      </c>
      <c r="AO696" s="84">
        <f>IF(AM696&gt;=AH696,AI696,AI696*AM696/AH696)</f>
        <v/>
      </c>
      <c r="AP696">
        <f t="array" ref="AP696">INDEX($AU$8:$BB$25,6*(R696-1)+MATCH(AB696,$AS$8:$AS$13,0),MATCH(O696,$AU$7:$BB$7,0))</f>
        <v/>
      </c>
    </row>
    <row r="697" ht="14.25" customHeight="1">
      <c r="O697" s="43" t="inlineStr">
        <is>
          <t>Q2’27</t>
        </is>
      </c>
      <c r="P697" s="43" t="n">
        <v>2</v>
      </c>
      <c r="Q697" s="43" t="n">
        <v>4</v>
      </c>
      <c r="R697" s="43" t="n">
        <v>3</v>
      </c>
      <c r="S697" s="45" t="n">
        <v>0</v>
      </c>
      <c r="T697">
        <f>(S695+S696+S697)=S3</f>
        <v/>
      </c>
      <c r="X697" s="84">
        <f>MAX(S694-S697,0)</f>
        <v/>
      </c>
      <c r="Y697" s="83" t="n">
        <v>0</v>
      </c>
      <c r="AA697" s="84" t="n">
        <v>2</v>
      </c>
      <c r="AB697" s="84" t="inlineStr">
        <is>
          <t>B</t>
        </is>
      </c>
      <c r="AC697" s="84" t="inlineStr">
        <is>
          <t>B+</t>
        </is>
      </c>
      <c r="AD697" s="84" t="n">
        <v>25</v>
      </c>
      <c r="AE697" s="84" t="n">
        <v>19</v>
      </c>
      <c r="AF697" s="84" t="n">
        <v>0.76</v>
      </c>
      <c r="AG697" s="84" t="n">
        <v>0.8100000000000001</v>
      </c>
      <c r="AH697" s="84" t="n">
        <v>0</v>
      </c>
      <c r="AI697" s="84" t="n">
        <v>0</v>
      </c>
      <c r="AJ697" s="84">
        <f>SUMIFS(AH$8:AH$1039,$O$8:$O$1039,O697,$AB$8:$AB$1039,AB697,$R$8:$R$1039,R697,$AA$8:$AA$1039,"&lt;="&amp;AA697)</f>
        <v/>
      </c>
      <c r="AK697" s="84">
        <f>E69</f>
        <v/>
      </c>
      <c r="AL697" s="84">
        <f>E75</f>
        <v/>
      </c>
      <c r="AM697" s="84">
        <f>MAX(0,AJ697-AK697)</f>
        <v/>
      </c>
      <c r="AN697" s="84">
        <f>IF(AM697=0,AH697,IF(AM697&gt;=AH697,0,AH697-AM697))</f>
        <v/>
      </c>
      <c r="AO697" s="84">
        <f>IF(AM697&gt;=AH697,AI697,AI697*AM697/AH697)</f>
        <v/>
      </c>
      <c r="AP697">
        <f t="array" ref="AP697">INDEX($AU$8:$BB$25,6*(R697-1)+MATCH(AB697,$AS$8:$AS$13,0),MATCH(O697,$AU$7:$BB$7,0))</f>
        <v/>
      </c>
    </row>
    <row r="698" ht="14.25" customHeight="1">
      <c r="O698" s="43" t="inlineStr">
        <is>
          <t>Q2’27</t>
        </is>
      </c>
      <c r="P698" s="43" t="n">
        <v>2</v>
      </c>
      <c r="Q698" s="43" t="n">
        <v>5</v>
      </c>
      <c r="R698" s="43" t="n">
        <v>1</v>
      </c>
      <c r="S698" s="45" t="n">
        <v>5180.000000000004</v>
      </c>
      <c r="T698">
        <f>(S698+S699+S700)=S3</f>
        <v/>
      </c>
      <c r="X698" s="84">
        <f>MAX(S695-S698,0)</f>
        <v/>
      </c>
      <c r="Y698" s="83" t="n">
        <v>0</v>
      </c>
      <c r="AA698" s="84" t="n">
        <v>3</v>
      </c>
      <c r="AB698" s="84" t="inlineStr">
        <is>
          <t>B</t>
        </is>
      </c>
      <c r="AC698" s="84" t="inlineStr">
        <is>
          <t>B+</t>
        </is>
      </c>
      <c r="AD698" s="84" t="n">
        <v>15</v>
      </c>
      <c r="AE698" s="84" t="n">
        <v>11</v>
      </c>
      <c r="AF698" s="84" t="n">
        <v>0.76</v>
      </c>
      <c r="AG698" s="84" t="n">
        <v>0.8100000000000001</v>
      </c>
      <c r="AH698" s="84" t="n">
        <v>0</v>
      </c>
      <c r="AI698" s="84" t="n">
        <v>0</v>
      </c>
      <c r="AJ698" s="84">
        <f>SUMIFS(AH$8:AH$1039,$O$8:$O$1039,O698,$AB$8:$AB$1039,AB698,$R$8:$R$1039,R698,$AA$8:$AA$1039,"&lt;="&amp;AA698)</f>
        <v/>
      </c>
      <c r="AK698" s="84">
        <f>C69</f>
        <v/>
      </c>
      <c r="AL698" s="84">
        <f>C75</f>
        <v/>
      </c>
      <c r="AM698" s="84">
        <f>MAX(0,AJ698-AK698)</f>
        <v/>
      </c>
      <c r="AN698" s="84">
        <f>IF(AM698=0,AH698,IF(AM698&gt;=AH698,0,AH698-AM698))</f>
        <v/>
      </c>
      <c r="AO698" s="84">
        <f>IF(AM698&gt;=AH698,AI698,AI698*AM698/AH698)</f>
        <v/>
      </c>
      <c r="AP698">
        <f t="array" ref="AP698">INDEX($AU$8:$BB$25,6*(R698-1)+MATCH(AB698,$AS$8:$AS$13,0),MATCH(O698,$AU$7:$BB$7,0))</f>
        <v/>
      </c>
    </row>
    <row r="699" ht="14.25" customHeight="1">
      <c r="O699" s="43" t="inlineStr">
        <is>
          <t>Q2’27</t>
        </is>
      </c>
      <c r="P699" s="43" t="n">
        <v>2</v>
      </c>
      <c r="Q699" s="43" t="n">
        <v>5</v>
      </c>
      <c r="R699" s="43" t="n">
        <v>2</v>
      </c>
      <c r="S699" s="45" t="n">
        <v>1319.999999999996</v>
      </c>
      <c r="T699">
        <f>(S698+S699+S700)=S3</f>
        <v/>
      </c>
      <c r="X699" s="84">
        <f>MAX(S696-S699,0)</f>
        <v/>
      </c>
      <c r="Y699" s="83" t="n">
        <v>0</v>
      </c>
      <c r="AA699" s="84" t="n">
        <v>3</v>
      </c>
      <c r="AB699" s="84" t="inlineStr">
        <is>
          <t>B</t>
        </is>
      </c>
      <c r="AC699" s="84" t="inlineStr">
        <is>
          <t>B+</t>
        </is>
      </c>
      <c r="AD699" s="84" t="n">
        <v>15</v>
      </c>
      <c r="AE699" s="84" t="n">
        <v>11</v>
      </c>
      <c r="AF699" s="84" t="n">
        <v>0.76</v>
      </c>
      <c r="AG699" s="84" t="n">
        <v>0.8100000000000001</v>
      </c>
      <c r="AH699" s="84" t="n">
        <v>0</v>
      </c>
      <c r="AI699" s="84" t="n">
        <v>0</v>
      </c>
      <c r="AJ699" s="84">
        <f>SUMIFS(AH$8:AH$1039,$O$8:$O$1039,O699,$AB$8:$AB$1039,AB699,$R$8:$R$1039,R699,$AA$8:$AA$1039,"&lt;="&amp;AA699)</f>
        <v/>
      </c>
      <c r="AK699" s="84">
        <f>D69</f>
        <v/>
      </c>
      <c r="AL699" s="84">
        <f>D75</f>
        <v/>
      </c>
      <c r="AM699" s="84">
        <f>MAX(0,AJ699-AK699)</f>
        <v/>
      </c>
      <c r="AN699" s="84">
        <f>IF(AM699=0,AH699,IF(AM699&gt;=AH699,0,AH699-AM699))</f>
        <v/>
      </c>
      <c r="AO699" s="84">
        <f>IF(AM699&gt;=AH699,AI699,AI699*AM699/AH699)</f>
        <v/>
      </c>
      <c r="AP699">
        <f t="array" ref="AP699">INDEX($AU$8:$BB$25,6*(R699-1)+MATCH(AB699,$AS$8:$AS$13,0),MATCH(O699,$AU$7:$BB$7,0))</f>
        <v/>
      </c>
    </row>
    <row r="700" ht="14.25" customHeight="1">
      <c r="O700" s="43" t="inlineStr">
        <is>
          <t>Q2’27</t>
        </is>
      </c>
      <c r="P700" s="43" t="n">
        <v>2</v>
      </c>
      <c r="Q700" s="43" t="n">
        <v>5</v>
      </c>
      <c r="R700" s="43" t="n">
        <v>3</v>
      </c>
      <c r="S700" s="45" t="n">
        <v>0</v>
      </c>
      <c r="T700">
        <f>(S698+S699+S700)=S3</f>
        <v/>
      </c>
      <c r="X700" s="84">
        <f>MAX(S697-S700,0)</f>
        <v/>
      </c>
      <c r="Y700" s="83" t="n">
        <v>0</v>
      </c>
      <c r="AA700" s="84" t="n">
        <v>3</v>
      </c>
      <c r="AB700" s="84" t="inlineStr">
        <is>
          <t>B</t>
        </is>
      </c>
      <c r="AC700" s="84" t="inlineStr">
        <is>
          <t>B+</t>
        </is>
      </c>
      <c r="AD700" s="84" t="n">
        <v>15</v>
      </c>
      <c r="AE700" s="84" t="n">
        <v>11</v>
      </c>
      <c r="AF700" s="84" t="n">
        <v>0.76</v>
      </c>
      <c r="AG700" s="84" t="n">
        <v>0.8100000000000001</v>
      </c>
      <c r="AH700" s="84" t="n">
        <v>0</v>
      </c>
      <c r="AI700" s="84" t="n">
        <v>0</v>
      </c>
      <c r="AJ700" s="84">
        <f>SUMIFS(AH$8:AH$1039,$O$8:$O$1039,O700,$AB$8:$AB$1039,AB700,$R$8:$R$1039,R700,$AA$8:$AA$1039,"&lt;="&amp;AA700)</f>
        <v/>
      </c>
      <c r="AK700" s="84">
        <f>E69</f>
        <v/>
      </c>
      <c r="AL700" s="84">
        <f>E75</f>
        <v/>
      </c>
      <c r="AM700" s="84">
        <f>MAX(0,AJ700-AK700)</f>
        <v/>
      </c>
      <c r="AN700" s="84">
        <f>IF(AM700=0,AH700,IF(AM700&gt;=AH700,0,AH700-AM700))</f>
        <v/>
      </c>
      <c r="AO700" s="84">
        <f>IF(AM700&gt;=AH700,AI700,AI700*AM700/AH700)</f>
        <v/>
      </c>
      <c r="AP700">
        <f t="array" ref="AP700">INDEX($AU$8:$BB$25,6*(R700-1)+MATCH(AB700,$AS$8:$AS$13,0),MATCH(O700,$AU$7:$BB$7,0))</f>
        <v/>
      </c>
    </row>
    <row r="701" ht="14.25" customHeight="1">
      <c r="O701" s="43" t="inlineStr">
        <is>
          <t>Q2’27</t>
        </is>
      </c>
      <c r="P701" s="43" t="n">
        <v>2</v>
      </c>
      <c r="Q701" s="43" t="n">
        <v>6</v>
      </c>
      <c r="R701" s="43" t="n">
        <v>1</v>
      </c>
      <c r="S701" s="45" t="n">
        <v>5180.000000000004</v>
      </c>
      <c r="T701">
        <f>(S701+S702+S703)=S3</f>
        <v/>
      </c>
      <c r="X701" s="84">
        <f>MAX(S698-S701,0)</f>
        <v/>
      </c>
      <c r="Y701" s="83" t="n">
        <v>0</v>
      </c>
      <c r="AA701" s="84" t="n">
        <v>5</v>
      </c>
      <c r="AB701" s="84" t="inlineStr">
        <is>
          <t>F</t>
        </is>
      </c>
      <c r="AC701" s="84" t="inlineStr">
        <is>
          <t>F+</t>
        </is>
      </c>
      <c r="AD701" s="84" t="n">
        <v>16</v>
      </c>
      <c r="AE701" s="84" t="n">
        <v>14</v>
      </c>
      <c r="AF701" s="84" t="n">
        <v>0.8</v>
      </c>
      <c r="AG701" s="84" t="n">
        <v>0.9</v>
      </c>
      <c r="AH701" s="84" t="n">
        <v>0</v>
      </c>
      <c r="AI701" s="84" t="n">
        <v>0</v>
      </c>
      <c r="AJ701" s="84">
        <f>SUMIFS(AH$8:AH$1039,$O$8:$O$1039,O701,$AB$8:$AB$1039,AB701,$R$8:$R$1039,R701,$AA$8:$AA$1039,"&lt;="&amp;AA701)</f>
        <v/>
      </c>
      <c r="AK701" s="84">
        <f>C73</f>
        <v/>
      </c>
      <c r="AL701" s="84">
        <f>C79</f>
        <v/>
      </c>
      <c r="AM701" s="84">
        <f>MAX(0,AJ701-AK701)</f>
        <v/>
      </c>
      <c r="AN701" s="84">
        <f>IF(AM701=0,AH701,IF(AM701&gt;=AH701,0,AH701-AM701))</f>
        <v/>
      </c>
      <c r="AO701" s="84">
        <f>IF(AM701&gt;=AH701,AI701,AI701*AM701/AH701)</f>
        <v/>
      </c>
      <c r="AP701">
        <f t="array" ref="AP701">INDEX($AU$8:$BB$25,6*(R701-1)+MATCH(AB701,$AS$8:$AS$13,0),MATCH(O701,$AU$7:$BB$7,0))</f>
        <v/>
      </c>
    </row>
    <row r="702" ht="14.25" customHeight="1">
      <c r="O702" s="43" t="inlineStr">
        <is>
          <t>Q2’27</t>
        </is>
      </c>
      <c r="P702" s="43" t="n">
        <v>2</v>
      </c>
      <c r="Q702" s="43" t="n">
        <v>6</v>
      </c>
      <c r="R702" s="43" t="n">
        <v>2</v>
      </c>
      <c r="S702" s="45" t="n">
        <v>1319.999999999996</v>
      </c>
      <c r="T702">
        <f>(S701+S702+S703)=S3</f>
        <v/>
      </c>
      <c r="X702" s="84">
        <f>MAX(S699-S702,0)</f>
        <v/>
      </c>
      <c r="Y702" s="83" t="n">
        <v>0</v>
      </c>
      <c r="AA702" s="84" t="n">
        <v>5</v>
      </c>
      <c r="AB702" s="84" t="inlineStr">
        <is>
          <t>F</t>
        </is>
      </c>
      <c r="AC702" s="84" t="inlineStr">
        <is>
          <t>F+</t>
        </is>
      </c>
      <c r="AD702" s="84" t="n">
        <v>16</v>
      </c>
      <c r="AE702" s="84" t="n">
        <v>14</v>
      </c>
      <c r="AF702" s="84" t="n">
        <v>0.8</v>
      </c>
      <c r="AG702" s="84" t="n">
        <v>0.9</v>
      </c>
      <c r="AH702" s="84" t="n">
        <v>0</v>
      </c>
      <c r="AI702" s="84" t="n">
        <v>0</v>
      </c>
      <c r="AJ702" s="84">
        <f>SUMIFS(AH$8:AH$1039,$O$8:$O$1039,O702,$AB$8:$AB$1039,AB702,$R$8:$R$1039,R702,$AA$8:$AA$1039,"&lt;="&amp;AA702)</f>
        <v/>
      </c>
      <c r="AK702" s="84">
        <f>D73</f>
        <v/>
      </c>
      <c r="AL702" s="84">
        <f>D79</f>
        <v/>
      </c>
      <c r="AM702" s="84">
        <f>MAX(0,AJ702-AK702)</f>
        <v/>
      </c>
      <c r="AN702" s="84">
        <f>IF(AM702=0,AH702,IF(AM702&gt;=AH702,0,AH702-AM702))</f>
        <v/>
      </c>
      <c r="AO702" s="84">
        <f>IF(AM702&gt;=AH702,AI702,AI702*AM702/AH702)</f>
        <v/>
      </c>
      <c r="AP702">
        <f t="array" ref="AP702">INDEX($AU$8:$BB$25,6*(R702-1)+MATCH(AB702,$AS$8:$AS$13,0),MATCH(O702,$AU$7:$BB$7,0))</f>
        <v/>
      </c>
    </row>
    <row r="703" ht="14.25" customHeight="1">
      <c r="O703" s="43" t="inlineStr">
        <is>
          <t>Q2’27</t>
        </is>
      </c>
      <c r="P703" s="43" t="n">
        <v>2</v>
      </c>
      <c r="Q703" s="43" t="n">
        <v>6</v>
      </c>
      <c r="R703" s="43" t="n">
        <v>3</v>
      </c>
      <c r="S703" s="45" t="n">
        <v>0</v>
      </c>
      <c r="T703">
        <f>(S701+S702+S703)=S3</f>
        <v/>
      </c>
      <c r="X703" s="84">
        <f>MAX(S700-S703,0)</f>
        <v/>
      </c>
      <c r="Y703" s="83" t="n">
        <v>0</v>
      </c>
      <c r="AA703" s="84" t="n">
        <v>5</v>
      </c>
      <c r="AB703" s="84" t="inlineStr">
        <is>
          <t>F</t>
        </is>
      </c>
      <c r="AC703" s="84" t="inlineStr">
        <is>
          <t>F+</t>
        </is>
      </c>
      <c r="AD703" s="84" t="n">
        <v>16</v>
      </c>
      <c r="AE703" s="84" t="n">
        <v>14</v>
      </c>
      <c r="AF703" s="84" t="n">
        <v>0.8</v>
      </c>
      <c r="AG703" s="84" t="n">
        <v>0.9</v>
      </c>
      <c r="AH703" s="84" t="n">
        <v>0</v>
      </c>
      <c r="AI703" s="84" t="n">
        <v>0</v>
      </c>
      <c r="AJ703" s="84">
        <f>SUMIFS(AH$8:AH$1039,$O$8:$O$1039,O703,$AB$8:$AB$1039,AB703,$R$8:$R$1039,R703,$AA$8:$AA$1039,"&lt;="&amp;AA703)</f>
        <v/>
      </c>
      <c r="AK703" s="84">
        <f>E73</f>
        <v/>
      </c>
      <c r="AL703" s="84">
        <f>E79</f>
        <v/>
      </c>
      <c r="AM703" s="84">
        <f>MAX(0,AJ703-AK703)</f>
        <v/>
      </c>
      <c r="AN703" s="84">
        <f>IF(AM703=0,AH703,IF(AM703&gt;=AH703,0,AH703-AM703))</f>
        <v/>
      </c>
      <c r="AO703" s="84">
        <f>IF(AM703&gt;=AH703,AI703,AI703*AM703/AH703)</f>
        <v/>
      </c>
      <c r="AP703">
        <f t="array" ref="AP703">INDEX($AU$8:$BB$25,6*(R703-1)+MATCH(AB703,$AS$8:$AS$13,0),MATCH(O703,$AU$7:$BB$7,0))</f>
        <v/>
      </c>
    </row>
    <row r="704" ht="14.25" customHeight="1">
      <c r="O704" s="43" t="inlineStr">
        <is>
          <t>Q2’27</t>
        </is>
      </c>
      <c r="P704" s="43" t="n">
        <v>2</v>
      </c>
      <c r="Q704" s="43" t="n">
        <v>7</v>
      </c>
      <c r="R704" s="43" t="n">
        <v>1</v>
      </c>
      <c r="S704" s="45" t="n">
        <v>5180.000000000004</v>
      </c>
      <c r="T704">
        <f>(S704+S705+S706)=S3</f>
        <v/>
      </c>
      <c r="X704" s="84">
        <f>MAX(S701-S704,0)</f>
        <v/>
      </c>
      <c r="Y704" s="83" t="n">
        <v>0</v>
      </c>
      <c r="AA704" s="84" t="n">
        <v>4</v>
      </c>
      <c r="AB704" s="84" t="inlineStr">
        <is>
          <t>F</t>
        </is>
      </c>
      <c r="AC704" s="84" t="inlineStr">
        <is>
          <t>F+</t>
        </is>
      </c>
      <c r="AD704" s="84" t="n">
        <v>17</v>
      </c>
      <c r="AE704" s="84" t="n">
        <v>15</v>
      </c>
      <c r="AF704" s="84" t="n">
        <v>0.8</v>
      </c>
      <c r="AG704" s="84" t="n">
        <v>0.9</v>
      </c>
      <c r="AH704" s="84" t="n">
        <v>0</v>
      </c>
      <c r="AI704" s="84" t="n">
        <v>0</v>
      </c>
      <c r="AJ704" s="84">
        <f>SUMIFS(AH$8:AH$1039,$O$8:$O$1039,O704,$AB$8:$AB$1039,AB704,$R$8:$R$1039,R704,$AA$8:$AA$1039,"&lt;="&amp;AA704)</f>
        <v/>
      </c>
      <c r="AK704" s="84">
        <f>C73</f>
        <v/>
      </c>
      <c r="AL704" s="84">
        <f>C79</f>
        <v/>
      </c>
      <c r="AM704" s="84">
        <f>MAX(0,AJ704-AK704)</f>
        <v/>
      </c>
      <c r="AN704" s="84">
        <f>IF(AM704=0,AH704,IF(AM704&gt;=AH704,0,AH704-AM704))</f>
        <v/>
      </c>
      <c r="AO704" s="84">
        <f>IF(AM704&gt;=AH704,AI704,AI704*AM704/AH704)</f>
        <v/>
      </c>
      <c r="AP704">
        <f t="array" ref="AP704">INDEX($AU$8:$BB$25,6*(R704-1)+MATCH(AB704,$AS$8:$AS$13,0),MATCH(O704,$AU$7:$BB$7,0))</f>
        <v/>
      </c>
    </row>
    <row r="705" ht="14.25" customHeight="1">
      <c r="O705" s="43" t="inlineStr">
        <is>
          <t>Q2’27</t>
        </is>
      </c>
      <c r="P705" s="43" t="n">
        <v>2</v>
      </c>
      <c r="Q705" s="43" t="n">
        <v>7</v>
      </c>
      <c r="R705" s="43" t="n">
        <v>2</v>
      </c>
      <c r="S705" s="45" t="n">
        <v>1319.999999999996</v>
      </c>
      <c r="T705">
        <f>(S704+S705+S706)=S3</f>
        <v/>
      </c>
      <c r="X705" s="84">
        <f>MAX(S702-S705,0)</f>
        <v/>
      </c>
      <c r="Y705" s="83" t="n">
        <v>0</v>
      </c>
      <c r="AA705" s="84" t="n">
        <v>4</v>
      </c>
      <c r="AB705" s="84" t="inlineStr">
        <is>
          <t>F</t>
        </is>
      </c>
      <c r="AC705" s="84" t="inlineStr">
        <is>
          <t>F+</t>
        </is>
      </c>
      <c r="AD705" s="84" t="n">
        <v>17</v>
      </c>
      <c r="AE705" s="84" t="n">
        <v>15</v>
      </c>
      <c r="AF705" s="84" t="n">
        <v>0.8</v>
      </c>
      <c r="AG705" s="84" t="n">
        <v>0.9</v>
      </c>
      <c r="AH705" s="84" t="n">
        <v>0</v>
      </c>
      <c r="AI705" s="84" t="n">
        <v>0</v>
      </c>
      <c r="AJ705" s="84">
        <f>SUMIFS(AH$8:AH$1039,$O$8:$O$1039,O705,$AB$8:$AB$1039,AB705,$R$8:$R$1039,R705,$AA$8:$AA$1039,"&lt;="&amp;AA705)</f>
        <v/>
      </c>
      <c r="AK705" s="84">
        <f>D73</f>
        <v/>
      </c>
      <c r="AL705" s="84">
        <f>D79</f>
        <v/>
      </c>
      <c r="AM705" s="84">
        <f>MAX(0,AJ705-AK705)</f>
        <v/>
      </c>
      <c r="AN705" s="84">
        <f>IF(AM705=0,AH705,IF(AM705&gt;=AH705,0,AH705-AM705))</f>
        <v/>
      </c>
      <c r="AO705" s="84">
        <f>IF(AM705&gt;=AH705,AI705,AI705*AM705/AH705)</f>
        <v/>
      </c>
      <c r="AP705">
        <f t="array" ref="AP705">INDEX($AU$8:$BB$25,6*(R705-1)+MATCH(AB705,$AS$8:$AS$13,0),MATCH(O705,$AU$7:$BB$7,0))</f>
        <v/>
      </c>
    </row>
    <row r="706" ht="14.25" customHeight="1">
      <c r="O706" s="43" t="inlineStr">
        <is>
          <t>Q2’27</t>
        </is>
      </c>
      <c r="P706" s="43" t="n">
        <v>2</v>
      </c>
      <c r="Q706" s="43" t="n">
        <v>7</v>
      </c>
      <c r="R706" s="43" t="n">
        <v>3</v>
      </c>
      <c r="S706" s="45" t="n">
        <v>0</v>
      </c>
      <c r="T706">
        <f>(S704+S705+S706)=S3</f>
        <v/>
      </c>
      <c r="X706" s="84">
        <f>MAX(S703-S706,0)</f>
        <v/>
      </c>
      <c r="Y706" s="83" t="n">
        <v>0</v>
      </c>
      <c r="AA706" s="84" t="n">
        <v>4</v>
      </c>
      <c r="AB706" s="84" t="inlineStr">
        <is>
          <t>F</t>
        </is>
      </c>
      <c r="AC706" s="84" t="inlineStr">
        <is>
          <t>F+</t>
        </is>
      </c>
      <c r="AD706" s="84" t="n">
        <v>17</v>
      </c>
      <c r="AE706" s="84" t="n">
        <v>15</v>
      </c>
      <c r="AF706" s="84" t="n">
        <v>0.8</v>
      </c>
      <c r="AG706" s="84" t="n">
        <v>0.9</v>
      </c>
      <c r="AH706" s="84" t="n">
        <v>0</v>
      </c>
      <c r="AI706" s="84" t="n">
        <v>0</v>
      </c>
      <c r="AJ706" s="84">
        <f>SUMIFS(AH$8:AH$1039,$O$8:$O$1039,O706,$AB$8:$AB$1039,AB706,$R$8:$R$1039,R706,$AA$8:$AA$1039,"&lt;="&amp;AA706)</f>
        <v/>
      </c>
      <c r="AK706" s="84">
        <f>E73</f>
        <v/>
      </c>
      <c r="AL706" s="84">
        <f>E79</f>
        <v/>
      </c>
      <c r="AM706" s="84">
        <f>MAX(0,AJ706-AK706)</f>
        <v/>
      </c>
      <c r="AN706" s="84">
        <f>IF(AM706=0,AH706,IF(AM706&gt;=AH706,0,AH706-AM706))</f>
        <v/>
      </c>
      <c r="AO706" s="84">
        <f>IF(AM706&gt;=AH706,AI706,AI706*AM706/AH706)</f>
        <v/>
      </c>
      <c r="AP706">
        <f t="array" ref="AP706">INDEX($AU$8:$BB$25,6*(R706-1)+MATCH(AB706,$AS$8:$AS$13,0),MATCH(O706,$AU$7:$BB$7,0))</f>
        <v/>
      </c>
    </row>
    <row r="707" ht="14.25" customHeight="1">
      <c r="O707" s="43" t="inlineStr">
        <is>
          <t>Q2’27</t>
        </is>
      </c>
      <c r="P707" s="43" t="n">
        <v>2</v>
      </c>
      <c r="Q707" s="43" t="n">
        <v>8</v>
      </c>
      <c r="R707" s="43" t="n">
        <v>1</v>
      </c>
      <c r="S707" s="45" t="n">
        <v>5179.99999999999</v>
      </c>
      <c r="T707">
        <f>(S707+S708+S709)=S3</f>
        <v/>
      </c>
      <c r="X707" s="84">
        <f>MAX(S704-S707,0)</f>
        <v/>
      </c>
      <c r="Y707" s="83" t="n">
        <v>0</v>
      </c>
      <c r="AA707" s="84" t="n">
        <v>4</v>
      </c>
      <c r="AB707" s="84" t="inlineStr">
        <is>
          <t>B</t>
        </is>
      </c>
      <c r="AC707" s="84" t="inlineStr">
        <is>
          <t>B+</t>
        </is>
      </c>
      <c r="AD707" s="84" t="n">
        <v>22</v>
      </c>
      <c r="AE707" s="84" t="n">
        <v>16</v>
      </c>
      <c r="AF707" s="84" t="n">
        <v>0.76</v>
      </c>
      <c r="AG707" s="84" t="n">
        <v>0.8100000000000001</v>
      </c>
      <c r="AH707" s="84" t="n">
        <v>0</v>
      </c>
      <c r="AI707" s="84" t="n">
        <v>0</v>
      </c>
      <c r="AJ707" s="84">
        <f>SUMIFS(AH$8:AH$1039,$O$8:$O$1039,O707,$AB$8:$AB$1039,AB707,$R$8:$R$1039,R707,$AA$8:$AA$1039,"&lt;="&amp;AA707)</f>
        <v/>
      </c>
      <c r="AK707" s="84">
        <f>C69</f>
        <v/>
      </c>
      <c r="AL707" s="84">
        <f>C75</f>
        <v/>
      </c>
      <c r="AM707" s="84">
        <f>MAX(0,AJ707-AK707)</f>
        <v/>
      </c>
      <c r="AN707" s="84">
        <f>IF(AM707=0,AH707,IF(AM707&gt;=AH707,0,AH707-AM707))</f>
        <v/>
      </c>
      <c r="AO707" s="84">
        <f>IF(AM707&gt;=AH707,AI707,AI707*AM707/AH707)</f>
        <v/>
      </c>
      <c r="AP707">
        <f t="array" ref="AP707">INDEX($AU$8:$BB$25,6*(R707-1)+MATCH(AB707,$AS$8:$AS$13,0),MATCH(O707,$AU$7:$BB$7,0))</f>
        <v/>
      </c>
    </row>
    <row r="708" ht="14.25" customHeight="1">
      <c r="O708" s="43" t="inlineStr">
        <is>
          <t>Q2’27</t>
        </is>
      </c>
      <c r="P708" s="43" t="n">
        <v>2</v>
      </c>
      <c r="Q708" s="43" t="n">
        <v>8</v>
      </c>
      <c r="R708" s="43" t="n">
        <v>2</v>
      </c>
      <c r="S708" s="45" t="n">
        <v>1320.00000000001</v>
      </c>
      <c r="T708">
        <f>(S707+S708+S709)=S3</f>
        <v/>
      </c>
      <c r="X708" s="84">
        <f>MAX(S705-S708,0)</f>
        <v/>
      </c>
      <c r="Y708" s="83" t="n">
        <v>0</v>
      </c>
      <c r="AA708" s="84" t="n">
        <v>4</v>
      </c>
      <c r="AB708" s="84" t="inlineStr">
        <is>
          <t>B</t>
        </is>
      </c>
      <c r="AC708" s="84" t="inlineStr">
        <is>
          <t>B+</t>
        </is>
      </c>
      <c r="AD708" s="84" t="n">
        <v>22</v>
      </c>
      <c r="AE708" s="84" t="n">
        <v>16</v>
      </c>
      <c r="AF708" s="84" t="n">
        <v>0.76</v>
      </c>
      <c r="AG708" s="84" t="n">
        <v>0.8100000000000001</v>
      </c>
      <c r="AH708" s="84" t="n">
        <v>0</v>
      </c>
      <c r="AI708" s="84" t="n">
        <v>0</v>
      </c>
      <c r="AJ708" s="84">
        <f>SUMIFS(AH$8:AH$1039,$O$8:$O$1039,O708,$AB$8:$AB$1039,AB708,$R$8:$R$1039,R708,$AA$8:$AA$1039,"&lt;="&amp;AA708)</f>
        <v/>
      </c>
      <c r="AK708" s="84">
        <f>D69</f>
        <v/>
      </c>
      <c r="AL708" s="84">
        <f>D75</f>
        <v/>
      </c>
      <c r="AM708" s="84">
        <f>MAX(0,AJ708-AK708)</f>
        <v/>
      </c>
      <c r="AN708" s="84">
        <f>IF(AM708=0,AH708,IF(AM708&gt;=AH708,0,AH708-AM708))</f>
        <v/>
      </c>
      <c r="AO708" s="84">
        <f>IF(AM708&gt;=AH708,AI708,AI708*AM708/AH708)</f>
        <v/>
      </c>
      <c r="AP708">
        <f t="array" ref="AP708">INDEX($AU$8:$BB$25,6*(R708-1)+MATCH(AB708,$AS$8:$AS$13,0),MATCH(O708,$AU$7:$BB$7,0))</f>
        <v/>
      </c>
    </row>
    <row r="709" ht="14.25" customHeight="1">
      <c r="O709" s="43" t="inlineStr">
        <is>
          <t>Q2’27</t>
        </is>
      </c>
      <c r="P709" s="43" t="n">
        <v>2</v>
      </c>
      <c r="Q709" s="43" t="n">
        <v>8</v>
      </c>
      <c r="R709" s="43" t="n">
        <v>3</v>
      </c>
      <c r="S709" s="45" t="n">
        <v>0</v>
      </c>
      <c r="T709">
        <f>(S707+S708+S709)=S3</f>
        <v/>
      </c>
      <c r="X709" s="84">
        <f>MAX(S706-S709,0)</f>
        <v/>
      </c>
      <c r="Y709" s="83" t="n">
        <v>0</v>
      </c>
      <c r="AA709" s="84" t="n">
        <v>4</v>
      </c>
      <c r="AB709" s="84" t="inlineStr">
        <is>
          <t>B</t>
        </is>
      </c>
      <c r="AC709" s="84" t="inlineStr">
        <is>
          <t>B+</t>
        </is>
      </c>
      <c r="AD709" s="84" t="n">
        <v>22</v>
      </c>
      <c r="AE709" s="84" t="n">
        <v>16</v>
      </c>
      <c r="AF709" s="84" t="n">
        <v>0.76</v>
      </c>
      <c r="AG709" s="84" t="n">
        <v>0.8100000000000001</v>
      </c>
      <c r="AH709" s="84" t="n">
        <v>0</v>
      </c>
      <c r="AI709" s="84" t="n">
        <v>0</v>
      </c>
      <c r="AJ709" s="84">
        <f>SUMIFS(AH$8:AH$1039,$O$8:$O$1039,O709,$AB$8:$AB$1039,AB709,$R$8:$R$1039,R709,$AA$8:$AA$1039,"&lt;="&amp;AA709)</f>
        <v/>
      </c>
      <c r="AK709" s="84">
        <f>E69</f>
        <v/>
      </c>
      <c r="AL709" s="84">
        <f>E75</f>
        <v/>
      </c>
      <c r="AM709" s="84">
        <f>MAX(0,AJ709-AK709)</f>
        <v/>
      </c>
      <c r="AN709" s="84">
        <f>IF(AM709=0,AH709,IF(AM709&gt;=AH709,0,AH709-AM709))</f>
        <v/>
      </c>
      <c r="AO709" s="84">
        <f>IF(AM709&gt;=AH709,AI709,AI709*AM709/AH709)</f>
        <v/>
      </c>
      <c r="AP709">
        <f t="array" ref="AP709">INDEX($AU$8:$BB$25,6*(R709-1)+MATCH(AB709,$AS$8:$AS$13,0),MATCH(O709,$AU$7:$BB$7,0))</f>
        <v/>
      </c>
    </row>
    <row r="710" ht="14.25" customHeight="1">
      <c r="O710" s="43" t="inlineStr">
        <is>
          <t>Q2’27</t>
        </is>
      </c>
      <c r="P710" s="43" t="n">
        <v>2</v>
      </c>
      <c r="Q710" s="43" t="n">
        <v>9</v>
      </c>
      <c r="R710" s="43" t="n">
        <v>1</v>
      </c>
      <c r="S710" s="45" t="n">
        <v>5180.000000000004</v>
      </c>
      <c r="T710">
        <f>(S710+S711+S712)=S3</f>
        <v/>
      </c>
      <c r="X710" s="84">
        <f>MAX(S707-S710,0)</f>
        <v/>
      </c>
      <c r="Y710" s="83" t="n">
        <v>0</v>
      </c>
      <c r="AA710" s="84" t="n">
        <v>4</v>
      </c>
      <c r="AB710" s="84" t="inlineStr">
        <is>
          <t>E</t>
        </is>
      </c>
      <c r="AC710" s="84" t="inlineStr">
        <is>
          <t>E+</t>
        </is>
      </c>
      <c r="AD710" s="84" t="n">
        <v>7</v>
      </c>
      <c r="AE710" s="84" t="n">
        <v>6</v>
      </c>
      <c r="AF710" s="84" t="n">
        <v>0.76</v>
      </c>
      <c r="AG710" s="84" t="n">
        <v>0.84</v>
      </c>
      <c r="AH710" s="84" t="n">
        <v>0</v>
      </c>
      <c r="AI710" s="84" t="n">
        <v>0</v>
      </c>
      <c r="AJ710" s="84">
        <f>SUMIFS(AH$8:AH$1039,$O$8:$O$1039,O710,$AB$8:$AB$1039,AB710,$R$8:$R$1039,R710,$AA$8:$AA$1039,"&lt;="&amp;AA710)</f>
        <v/>
      </c>
      <c r="AK710" s="84">
        <f>C72</f>
        <v/>
      </c>
      <c r="AL710" s="84">
        <f>C78</f>
        <v/>
      </c>
      <c r="AM710" s="84">
        <f>MAX(0,AJ710-AK710)</f>
        <v/>
      </c>
      <c r="AN710" s="84">
        <f>IF(AM710=0,AH710,IF(AM710&gt;=AH710,0,AH710-AM710))</f>
        <v/>
      </c>
      <c r="AO710" s="84">
        <f>IF(AM710&gt;=AH710,AI710,AI710*AM710/AH710)</f>
        <v/>
      </c>
      <c r="AP710">
        <f t="array" ref="AP710">INDEX($AU$8:$BB$25,6*(R710-1)+MATCH(AB710,$AS$8:$AS$13,0),MATCH(O710,$AU$7:$BB$7,0))</f>
        <v/>
      </c>
    </row>
    <row r="711" ht="14.25" customHeight="1">
      <c r="O711" s="43" t="inlineStr">
        <is>
          <t>Q2’27</t>
        </is>
      </c>
      <c r="P711" s="43" t="n">
        <v>2</v>
      </c>
      <c r="Q711" s="43" t="n">
        <v>9</v>
      </c>
      <c r="R711" s="43" t="n">
        <v>2</v>
      </c>
      <c r="S711" s="45" t="n">
        <v>1319.999999999996</v>
      </c>
      <c r="T711">
        <f>(S710+S711+S712)=S3</f>
        <v/>
      </c>
      <c r="X711" s="84">
        <f>MAX(S708-S711,0)</f>
        <v/>
      </c>
      <c r="Y711" s="83" t="n">
        <v>0</v>
      </c>
      <c r="AA711" s="84" t="n">
        <v>4</v>
      </c>
      <c r="AB711" s="84" t="inlineStr">
        <is>
          <t>E</t>
        </is>
      </c>
      <c r="AC711" s="84" t="inlineStr">
        <is>
          <t>E+</t>
        </is>
      </c>
      <c r="AD711" s="84" t="n">
        <v>7</v>
      </c>
      <c r="AE711" s="84" t="n">
        <v>6</v>
      </c>
      <c r="AF711" s="84" t="n">
        <v>0.76</v>
      </c>
      <c r="AG711" s="84" t="n">
        <v>0.84</v>
      </c>
      <c r="AH711" s="84" t="n">
        <v>0</v>
      </c>
      <c r="AI711" s="84" t="n">
        <v>0</v>
      </c>
      <c r="AJ711" s="84">
        <f>SUMIFS(AH$8:AH$1039,$O$8:$O$1039,O711,$AB$8:$AB$1039,AB711,$R$8:$R$1039,R711,$AA$8:$AA$1039,"&lt;="&amp;AA711)</f>
        <v/>
      </c>
      <c r="AK711" s="84">
        <f>D72</f>
        <v/>
      </c>
      <c r="AL711" s="84">
        <f>D78</f>
        <v/>
      </c>
      <c r="AM711" s="84">
        <f>MAX(0,AJ711-AK711)</f>
        <v/>
      </c>
      <c r="AN711" s="84">
        <f>IF(AM711=0,AH711,IF(AM711&gt;=AH711,0,AH711-AM711))</f>
        <v/>
      </c>
      <c r="AO711" s="84">
        <f>IF(AM711&gt;=AH711,AI711,AI711*AM711/AH711)</f>
        <v/>
      </c>
      <c r="AP711">
        <f t="array" ref="AP711">INDEX($AU$8:$BB$25,6*(R711-1)+MATCH(AB711,$AS$8:$AS$13,0),MATCH(O711,$AU$7:$BB$7,0))</f>
        <v/>
      </c>
    </row>
    <row r="712" ht="14.25" customHeight="1">
      <c r="O712" s="43" t="inlineStr">
        <is>
          <t>Q2’27</t>
        </is>
      </c>
      <c r="P712" s="43" t="n">
        <v>2</v>
      </c>
      <c r="Q712" s="43" t="n">
        <v>9</v>
      </c>
      <c r="R712" s="43" t="n">
        <v>3</v>
      </c>
      <c r="S712" s="45" t="n">
        <v>0</v>
      </c>
      <c r="T712">
        <f>(S710+S711+S712)=S3</f>
        <v/>
      </c>
      <c r="X712" s="84">
        <f>MAX(S709-S712,0)</f>
        <v/>
      </c>
      <c r="Y712" s="83" t="n">
        <v>0</v>
      </c>
      <c r="AA712" s="84" t="n">
        <v>4</v>
      </c>
      <c r="AB712" s="84" t="inlineStr">
        <is>
          <t>E</t>
        </is>
      </c>
      <c r="AC712" s="84" t="inlineStr">
        <is>
          <t>E+</t>
        </is>
      </c>
      <c r="AD712" s="84" t="n">
        <v>7</v>
      </c>
      <c r="AE712" s="84" t="n">
        <v>6</v>
      </c>
      <c r="AF712" s="84" t="n">
        <v>0.76</v>
      </c>
      <c r="AG712" s="84" t="n">
        <v>0.84</v>
      </c>
      <c r="AH712" s="84" t="n">
        <v>0</v>
      </c>
      <c r="AI712" s="84" t="n">
        <v>0</v>
      </c>
      <c r="AJ712" s="84">
        <f>SUMIFS(AH$8:AH$1039,$O$8:$O$1039,O712,$AB$8:$AB$1039,AB712,$R$8:$R$1039,R712,$AA$8:$AA$1039,"&lt;="&amp;AA712)</f>
        <v/>
      </c>
      <c r="AK712" s="84">
        <f>E72</f>
        <v/>
      </c>
      <c r="AL712" s="84">
        <f>E78</f>
        <v/>
      </c>
      <c r="AM712" s="84">
        <f>MAX(0,AJ712-AK712)</f>
        <v/>
      </c>
      <c r="AN712" s="84">
        <f>IF(AM712=0,AH712,IF(AM712&gt;=AH712,0,AH712-AM712))</f>
        <v/>
      </c>
      <c r="AO712" s="84">
        <f>IF(AM712&gt;=AH712,AI712,AI712*AM712/AH712)</f>
        <v/>
      </c>
      <c r="AP712">
        <f t="array" ref="AP712">INDEX($AU$8:$BB$25,6*(R712-1)+MATCH(AB712,$AS$8:$AS$13,0),MATCH(O712,$AU$7:$BB$7,0))</f>
        <v/>
      </c>
    </row>
    <row r="713" ht="14.25" customHeight="1">
      <c r="O713" s="43" t="inlineStr">
        <is>
          <t>Q2’27</t>
        </is>
      </c>
      <c r="P713" s="43" t="n">
        <v>2</v>
      </c>
      <c r="Q713" s="43" t="n">
        <v>10</v>
      </c>
      <c r="R713" s="43" t="n">
        <v>1</v>
      </c>
      <c r="S713" s="45" t="n">
        <v>5180.000000000002</v>
      </c>
      <c r="T713">
        <f>(S713+S714+S715)=S3</f>
        <v/>
      </c>
      <c r="X713" s="84">
        <f>MAX(S710-S713,0)</f>
        <v/>
      </c>
      <c r="Y713" s="83" t="n">
        <v>0</v>
      </c>
      <c r="AA713" s="84" t="n">
        <v>6</v>
      </c>
      <c r="AB713" s="84" t="inlineStr">
        <is>
          <t>E</t>
        </is>
      </c>
      <c r="AC713" s="84" t="inlineStr">
        <is>
          <t>E+</t>
        </is>
      </c>
      <c r="AD713" s="84" t="n">
        <v>9</v>
      </c>
      <c r="AE713" s="84" t="n">
        <v>7</v>
      </c>
      <c r="AF713" s="84" t="n">
        <v>0.76</v>
      </c>
      <c r="AG713" s="84" t="n">
        <v>0.84</v>
      </c>
      <c r="AH713" s="84" t="n">
        <v>0</v>
      </c>
      <c r="AI713" s="84" t="n">
        <v>0</v>
      </c>
      <c r="AJ713" s="84">
        <f>SUMIFS(AH$8:AH$1039,$O$8:$O$1039,O713,$AB$8:$AB$1039,AB713,$R$8:$R$1039,R713,$AA$8:$AA$1039,"&lt;="&amp;AA713)</f>
        <v/>
      </c>
      <c r="AK713" s="84">
        <f>C72</f>
        <v/>
      </c>
      <c r="AL713" s="84">
        <f>C78</f>
        <v/>
      </c>
      <c r="AM713" s="84">
        <f>MAX(0,AJ713-AK713)</f>
        <v/>
      </c>
      <c r="AN713" s="84">
        <f>IF(AM713=0,AH713,IF(AM713&gt;=AH713,0,AH713-AM713))</f>
        <v/>
      </c>
      <c r="AO713" s="84">
        <f>IF(AM713&gt;=AH713,AI713,AI713*AM713/AH713)</f>
        <v/>
      </c>
      <c r="AP713">
        <f t="array" ref="AP713">INDEX($AU$8:$BB$25,6*(R713-1)+MATCH(AB713,$AS$8:$AS$13,0),MATCH(O713,$AU$7:$BB$7,0))</f>
        <v/>
      </c>
    </row>
    <row r="714" ht="14.25" customHeight="1">
      <c r="O714" s="43" t="inlineStr">
        <is>
          <t>Q2’27</t>
        </is>
      </c>
      <c r="P714" s="43" t="n">
        <v>2</v>
      </c>
      <c r="Q714" s="43" t="n">
        <v>10</v>
      </c>
      <c r="R714" s="43" t="n">
        <v>2</v>
      </c>
      <c r="S714" s="45" t="n">
        <v>1319.999999999998</v>
      </c>
      <c r="T714">
        <f>(S713+S714+S715)=S3</f>
        <v/>
      </c>
      <c r="X714" s="84">
        <f>MAX(S711-S714,0)</f>
        <v/>
      </c>
      <c r="Y714" s="83" t="n">
        <v>0</v>
      </c>
      <c r="AA714" s="84" t="n">
        <v>6</v>
      </c>
      <c r="AB714" s="84" t="inlineStr">
        <is>
          <t>E</t>
        </is>
      </c>
      <c r="AC714" s="84" t="inlineStr">
        <is>
          <t>E+</t>
        </is>
      </c>
      <c r="AD714" s="84" t="n">
        <v>9</v>
      </c>
      <c r="AE714" s="84" t="n">
        <v>7</v>
      </c>
      <c r="AF714" s="84" t="n">
        <v>0.76</v>
      </c>
      <c r="AG714" s="84" t="n">
        <v>0.84</v>
      </c>
      <c r="AH714" s="84" t="n">
        <v>0</v>
      </c>
      <c r="AI714" s="84" t="n">
        <v>0</v>
      </c>
      <c r="AJ714" s="84">
        <f>SUMIFS(AH$8:AH$1039,$O$8:$O$1039,O714,$AB$8:$AB$1039,AB714,$R$8:$R$1039,R714,$AA$8:$AA$1039,"&lt;="&amp;AA714)</f>
        <v/>
      </c>
      <c r="AK714" s="84">
        <f>D72</f>
        <v/>
      </c>
      <c r="AL714" s="84">
        <f>D78</f>
        <v/>
      </c>
      <c r="AM714" s="84">
        <f>MAX(0,AJ714-AK714)</f>
        <v/>
      </c>
      <c r="AN714" s="84">
        <f>IF(AM714=0,AH714,IF(AM714&gt;=AH714,0,AH714-AM714))</f>
        <v/>
      </c>
      <c r="AO714" s="84">
        <f>IF(AM714&gt;=AH714,AI714,AI714*AM714/AH714)</f>
        <v/>
      </c>
      <c r="AP714">
        <f t="array" ref="AP714">INDEX($AU$8:$BB$25,6*(R714-1)+MATCH(AB714,$AS$8:$AS$13,0),MATCH(O714,$AU$7:$BB$7,0))</f>
        <v/>
      </c>
    </row>
    <row r="715" ht="14.25" customHeight="1">
      <c r="O715" s="43" t="inlineStr">
        <is>
          <t>Q2’27</t>
        </is>
      </c>
      <c r="P715" s="43" t="n">
        <v>2</v>
      </c>
      <c r="Q715" s="43" t="n">
        <v>10</v>
      </c>
      <c r="R715" s="43" t="n">
        <v>3</v>
      </c>
      <c r="S715" s="45" t="n">
        <v>0</v>
      </c>
      <c r="T715">
        <f>(S713+S714+S715)=S3</f>
        <v/>
      </c>
      <c r="X715" s="84">
        <f>MAX(S712-S715,0)</f>
        <v/>
      </c>
      <c r="Y715" s="83" t="n">
        <v>0</v>
      </c>
      <c r="AA715" s="84" t="n">
        <v>6</v>
      </c>
      <c r="AB715" s="84" t="inlineStr">
        <is>
          <t>E</t>
        </is>
      </c>
      <c r="AC715" s="84" t="inlineStr">
        <is>
          <t>E+</t>
        </is>
      </c>
      <c r="AD715" s="84" t="n">
        <v>9</v>
      </c>
      <c r="AE715" s="84" t="n">
        <v>7</v>
      </c>
      <c r="AF715" s="84" t="n">
        <v>0.76</v>
      </c>
      <c r="AG715" s="84" t="n">
        <v>0.84</v>
      </c>
      <c r="AH715" s="84" t="n">
        <v>0</v>
      </c>
      <c r="AI715" s="84" t="n">
        <v>0</v>
      </c>
      <c r="AJ715" s="84">
        <f>SUMIFS(AH$8:AH$1039,$O$8:$O$1039,O715,$AB$8:$AB$1039,AB715,$R$8:$R$1039,R715,$AA$8:$AA$1039,"&lt;="&amp;AA715)</f>
        <v/>
      </c>
      <c r="AK715" s="84">
        <f>E72</f>
        <v/>
      </c>
      <c r="AL715" s="84">
        <f>E78</f>
        <v/>
      </c>
      <c r="AM715" s="84">
        <f>MAX(0,AJ715-AK715)</f>
        <v/>
      </c>
      <c r="AN715" s="84">
        <f>IF(AM715=0,AH715,IF(AM715&gt;=AH715,0,AH715-AM715))</f>
        <v/>
      </c>
      <c r="AO715" s="84">
        <f>IF(AM715&gt;=AH715,AI715,AI715*AM715/AH715)</f>
        <v/>
      </c>
      <c r="AP715">
        <f t="array" ref="AP715">INDEX($AU$8:$BB$25,6*(R715-1)+MATCH(AB715,$AS$8:$AS$13,0),MATCH(O715,$AU$7:$BB$7,0))</f>
        <v/>
      </c>
    </row>
    <row r="716" ht="14.25" customHeight="1">
      <c r="O716" s="43" t="inlineStr">
        <is>
          <t>Q2’27</t>
        </is>
      </c>
      <c r="P716" s="43" t="n">
        <v>2</v>
      </c>
      <c r="Q716" s="43" t="n">
        <v>11</v>
      </c>
      <c r="R716" s="43" t="n">
        <v>1</v>
      </c>
      <c r="S716" s="45" t="n">
        <v>5180.000000000001</v>
      </c>
      <c r="T716">
        <f>(S716+S717+S718)=S3</f>
        <v/>
      </c>
      <c r="X716" s="84">
        <f>MAX(S713-S716,0)</f>
        <v/>
      </c>
      <c r="Y716" s="83" t="n">
        <v>0</v>
      </c>
      <c r="AA716" s="84" t="n">
        <v>2</v>
      </c>
      <c r="AB716" s="84" t="inlineStr">
        <is>
          <t>E</t>
        </is>
      </c>
      <c r="AC716" s="84" t="inlineStr">
        <is>
          <t>E+</t>
        </is>
      </c>
      <c r="AD716" s="84" t="n">
        <v>20</v>
      </c>
      <c r="AE716" s="84" t="n">
        <v>19</v>
      </c>
      <c r="AF716" s="84" t="n">
        <v>0.76</v>
      </c>
      <c r="AG716" s="84" t="n">
        <v>0.84</v>
      </c>
      <c r="AH716" s="84" t="n">
        <v>0</v>
      </c>
      <c r="AI716" s="84" t="n">
        <v>0</v>
      </c>
      <c r="AJ716" s="84">
        <f>SUMIFS(AH$8:AH$1039,$O$8:$O$1039,O716,$AB$8:$AB$1039,AB716,$R$8:$R$1039,R716,$AA$8:$AA$1039,"&lt;="&amp;AA716)</f>
        <v/>
      </c>
      <c r="AK716" s="84">
        <f>C72</f>
        <v/>
      </c>
      <c r="AL716" s="84">
        <f>C78</f>
        <v/>
      </c>
      <c r="AM716" s="84">
        <f>MAX(0,AJ716-AK716)</f>
        <v/>
      </c>
      <c r="AN716" s="84">
        <f>IF(AM716=0,AH716,IF(AM716&gt;=AH716,0,AH716-AM716))</f>
        <v/>
      </c>
      <c r="AO716" s="84">
        <f>IF(AM716&gt;=AH716,AI716,AI716*AM716/AH716)</f>
        <v/>
      </c>
      <c r="AP716">
        <f t="array" ref="AP716">INDEX($AU$8:$BB$25,6*(R716-1)+MATCH(AB716,$AS$8:$AS$13,0),MATCH(O716,$AU$7:$BB$7,0))</f>
        <v/>
      </c>
    </row>
    <row r="717" ht="14.25" customHeight="1">
      <c r="O717" s="43" t="inlineStr">
        <is>
          <t>Q2’27</t>
        </is>
      </c>
      <c r="P717" s="43" t="n">
        <v>2</v>
      </c>
      <c r="Q717" s="43" t="n">
        <v>11</v>
      </c>
      <c r="R717" s="43" t="n">
        <v>2</v>
      </c>
      <c r="S717" s="45" t="n">
        <v>1320</v>
      </c>
      <c r="T717">
        <f>(S716+S717+S718)=S3</f>
        <v/>
      </c>
      <c r="X717" s="84">
        <f>MAX(S714-S717,0)</f>
        <v/>
      </c>
      <c r="Y717" s="83" t="n">
        <v>0</v>
      </c>
      <c r="AA717" s="84" t="n">
        <v>2</v>
      </c>
      <c r="AB717" s="84" t="inlineStr">
        <is>
          <t>E</t>
        </is>
      </c>
      <c r="AC717" s="84" t="inlineStr">
        <is>
          <t>E+</t>
        </is>
      </c>
      <c r="AD717" s="84" t="n">
        <v>20</v>
      </c>
      <c r="AE717" s="84" t="n">
        <v>19</v>
      </c>
      <c r="AF717" s="84" t="n">
        <v>0.76</v>
      </c>
      <c r="AG717" s="84" t="n">
        <v>0.84</v>
      </c>
      <c r="AH717" s="84" t="n">
        <v>0</v>
      </c>
      <c r="AI717" s="84" t="n">
        <v>0</v>
      </c>
      <c r="AJ717" s="84">
        <f>SUMIFS(AH$8:AH$1039,$O$8:$O$1039,O717,$AB$8:$AB$1039,AB717,$R$8:$R$1039,R717,$AA$8:$AA$1039,"&lt;="&amp;AA717)</f>
        <v/>
      </c>
      <c r="AK717" s="84">
        <f>D72</f>
        <v/>
      </c>
      <c r="AL717" s="84">
        <f>D78</f>
        <v/>
      </c>
      <c r="AM717" s="84">
        <f>MAX(0,AJ717-AK717)</f>
        <v/>
      </c>
      <c r="AN717" s="84">
        <f>IF(AM717=0,AH717,IF(AM717&gt;=AH717,0,AH717-AM717))</f>
        <v/>
      </c>
      <c r="AO717" s="84">
        <f>IF(AM717&gt;=AH717,AI717,AI717*AM717/AH717)</f>
        <v/>
      </c>
      <c r="AP717">
        <f t="array" ref="AP717">INDEX($AU$8:$BB$25,6*(R717-1)+MATCH(AB717,$AS$8:$AS$13,0),MATCH(O717,$AU$7:$BB$7,0))</f>
        <v/>
      </c>
    </row>
    <row r="718" ht="14.25" customHeight="1">
      <c r="O718" s="43" t="inlineStr">
        <is>
          <t>Q2’27</t>
        </is>
      </c>
      <c r="P718" s="43" t="n">
        <v>2</v>
      </c>
      <c r="Q718" s="43" t="n">
        <v>11</v>
      </c>
      <c r="R718" s="43" t="n">
        <v>3</v>
      </c>
      <c r="S718" s="45" t="n">
        <v>-1e-12</v>
      </c>
      <c r="T718">
        <f>(S716+S717+S718)=S3</f>
        <v/>
      </c>
      <c r="X718" s="84">
        <f>MAX(S715-S718,0)</f>
        <v/>
      </c>
      <c r="Y718" s="83" t="n">
        <v>0</v>
      </c>
      <c r="AA718" s="84" t="n">
        <v>2</v>
      </c>
      <c r="AB718" s="84" t="inlineStr">
        <is>
          <t>E</t>
        </is>
      </c>
      <c r="AC718" s="84" t="inlineStr">
        <is>
          <t>E+</t>
        </is>
      </c>
      <c r="AD718" s="84" t="n">
        <v>20</v>
      </c>
      <c r="AE718" s="84" t="n">
        <v>19</v>
      </c>
      <c r="AF718" s="84" t="n">
        <v>0.76</v>
      </c>
      <c r="AG718" s="84" t="n">
        <v>0.84</v>
      </c>
      <c r="AH718" s="84" t="n">
        <v>0</v>
      </c>
      <c r="AI718" s="84" t="n">
        <v>0</v>
      </c>
      <c r="AJ718" s="84">
        <f>SUMIFS(AH$8:AH$1039,$O$8:$O$1039,O718,$AB$8:$AB$1039,AB718,$R$8:$R$1039,R718,$AA$8:$AA$1039,"&lt;="&amp;AA718)</f>
        <v/>
      </c>
      <c r="AK718" s="84">
        <f>E72</f>
        <v/>
      </c>
      <c r="AL718" s="84">
        <f>E78</f>
        <v/>
      </c>
      <c r="AM718" s="84">
        <f>MAX(0,AJ718-AK718)</f>
        <v/>
      </c>
      <c r="AN718" s="84">
        <f>IF(AM718=0,AH718,IF(AM718&gt;=AH718,0,AH718-AM718))</f>
        <v/>
      </c>
      <c r="AO718" s="84">
        <f>IF(AM718&gt;=AH718,AI718,AI718*AM718/AH718)</f>
        <v/>
      </c>
      <c r="AP718">
        <f t="array" ref="AP718">INDEX($AU$8:$BB$25,6*(R718-1)+MATCH(AB718,$AS$8:$AS$13,0),MATCH(O718,$AU$7:$BB$7,0))</f>
        <v/>
      </c>
    </row>
    <row r="719" ht="14.25" customHeight="1">
      <c r="O719" s="43" t="inlineStr">
        <is>
          <t>Q2’27</t>
        </is>
      </c>
      <c r="P719" s="43" t="n">
        <v>2</v>
      </c>
      <c r="Q719" s="43" t="n">
        <v>12</v>
      </c>
      <c r="R719" s="43" t="n">
        <v>1</v>
      </c>
      <c r="S719" s="45" t="n">
        <v>5180.00000000001</v>
      </c>
      <c r="T719">
        <f>(S719+S720+S721)=S3</f>
        <v/>
      </c>
      <c r="X719" s="84">
        <f>MAX(S716-S719,0)</f>
        <v/>
      </c>
      <c r="Y719" s="83" t="n">
        <v>0</v>
      </c>
      <c r="AA719" s="84" t="n">
        <v>7</v>
      </c>
      <c r="AB719" s="84" t="inlineStr">
        <is>
          <t>F</t>
        </is>
      </c>
      <c r="AC719" s="84" t="inlineStr">
        <is>
          <t>F+</t>
        </is>
      </c>
      <c r="AD719" s="84" t="n">
        <v>21</v>
      </c>
      <c r="AE719" s="84" t="n">
        <v>18</v>
      </c>
      <c r="AF719" s="84" t="n">
        <v>0.8</v>
      </c>
      <c r="AG719" s="84" t="n">
        <v>0.9</v>
      </c>
      <c r="AH719" s="84" t="n">
        <v>0</v>
      </c>
      <c r="AI719" s="84" t="n">
        <v>0</v>
      </c>
      <c r="AJ719" s="84">
        <f>SUMIFS(AH$8:AH$1039,$O$8:$O$1039,O719,$AB$8:$AB$1039,AB719,$R$8:$R$1039,R719,$AA$8:$AA$1039,"&lt;="&amp;AA719)</f>
        <v/>
      </c>
      <c r="AK719" s="84">
        <f>C73</f>
        <v/>
      </c>
      <c r="AL719" s="84">
        <f>C79</f>
        <v/>
      </c>
      <c r="AM719" s="84">
        <f>MAX(0,AJ719-AK719)</f>
        <v/>
      </c>
      <c r="AN719" s="84">
        <f>IF(AM719=0,AH719,IF(AM719&gt;=AH719,0,AH719-AM719))</f>
        <v/>
      </c>
      <c r="AO719" s="84">
        <f>IF(AM719&gt;=AH719,AI719,AI719*AM719/AH719)</f>
        <v/>
      </c>
      <c r="AP719">
        <f t="array" ref="AP719">INDEX($AU$8:$BB$25,6*(R719-1)+MATCH(AB719,$AS$8:$AS$13,0),MATCH(O719,$AU$7:$BB$7,0))</f>
        <v/>
      </c>
    </row>
    <row r="720" ht="14.25" customHeight="1">
      <c r="O720" s="43" t="inlineStr">
        <is>
          <t>Q2’27</t>
        </is>
      </c>
      <c r="P720" s="43" t="n">
        <v>2</v>
      </c>
      <c r="Q720" s="43" t="n">
        <v>12</v>
      </c>
      <c r="R720" s="43" t="n">
        <v>2</v>
      </c>
      <c r="S720" s="45" t="n">
        <v>1319.999999999991</v>
      </c>
      <c r="T720">
        <f>(S719+S720+S721)=S3</f>
        <v/>
      </c>
      <c r="X720" s="84">
        <f>MAX(S717-S720,0)</f>
        <v/>
      </c>
      <c r="Y720" s="83" t="n">
        <v>0</v>
      </c>
      <c r="AA720" s="84" t="n">
        <v>7</v>
      </c>
      <c r="AB720" s="84" t="inlineStr">
        <is>
          <t>F</t>
        </is>
      </c>
      <c r="AC720" s="84" t="inlineStr">
        <is>
          <t>F+</t>
        </is>
      </c>
      <c r="AD720" s="84" t="n">
        <v>21</v>
      </c>
      <c r="AE720" s="84" t="n">
        <v>18</v>
      </c>
      <c r="AF720" s="84" t="n">
        <v>0.8</v>
      </c>
      <c r="AG720" s="84" t="n">
        <v>0.9</v>
      </c>
      <c r="AH720" s="84" t="n">
        <v>0</v>
      </c>
      <c r="AI720" s="84" t="n">
        <v>0</v>
      </c>
      <c r="AJ720" s="84">
        <f>SUMIFS(AH$8:AH$1039,$O$8:$O$1039,O720,$AB$8:$AB$1039,AB720,$R$8:$R$1039,R720,$AA$8:$AA$1039,"&lt;="&amp;AA720)</f>
        <v/>
      </c>
      <c r="AK720" s="84">
        <f>D73</f>
        <v/>
      </c>
      <c r="AL720" s="84">
        <f>D79</f>
        <v/>
      </c>
      <c r="AM720" s="84">
        <f>MAX(0,AJ720-AK720)</f>
        <v/>
      </c>
      <c r="AN720" s="84">
        <f>IF(AM720=0,AH720,IF(AM720&gt;=AH720,0,AH720-AM720))</f>
        <v/>
      </c>
      <c r="AO720" s="84">
        <f>IF(AM720&gt;=AH720,AI720,AI720*AM720/AH720)</f>
        <v/>
      </c>
      <c r="AP720">
        <f t="array" ref="AP720">INDEX($AU$8:$BB$25,6*(R720-1)+MATCH(AB720,$AS$8:$AS$13,0),MATCH(O720,$AU$7:$BB$7,0))</f>
        <v/>
      </c>
    </row>
    <row r="721" ht="14.25" customHeight="1">
      <c r="O721" s="43" t="inlineStr">
        <is>
          <t>Q2’27</t>
        </is>
      </c>
      <c r="P721" s="43" t="n">
        <v>2</v>
      </c>
      <c r="Q721" s="43" t="n">
        <v>12</v>
      </c>
      <c r="R721" s="43" t="n">
        <v>3</v>
      </c>
      <c r="S721" s="45" t="n">
        <v>-1e-12</v>
      </c>
      <c r="T721">
        <f>(S719+S720+S721)=S3</f>
        <v/>
      </c>
      <c r="X721" s="84">
        <f>MAX(S718-S721,0)</f>
        <v/>
      </c>
      <c r="Y721" s="83" t="n">
        <v>0</v>
      </c>
      <c r="AA721" s="84" t="n">
        <v>7</v>
      </c>
      <c r="AB721" s="84" t="inlineStr">
        <is>
          <t>F</t>
        </is>
      </c>
      <c r="AC721" s="84" t="inlineStr">
        <is>
          <t>F+</t>
        </is>
      </c>
      <c r="AD721" s="84" t="n">
        <v>21</v>
      </c>
      <c r="AE721" s="84" t="n">
        <v>18</v>
      </c>
      <c r="AF721" s="84" t="n">
        <v>0.8</v>
      </c>
      <c r="AG721" s="84" t="n">
        <v>0.9</v>
      </c>
      <c r="AH721" s="84" t="n">
        <v>0</v>
      </c>
      <c r="AI721" s="84" t="n">
        <v>0</v>
      </c>
      <c r="AJ721" s="84">
        <f>SUMIFS(AH$8:AH$1039,$O$8:$O$1039,O721,$AB$8:$AB$1039,AB721,$R$8:$R$1039,R721,$AA$8:$AA$1039,"&lt;="&amp;AA721)</f>
        <v/>
      </c>
      <c r="AK721" s="84">
        <f>E73</f>
        <v/>
      </c>
      <c r="AL721" s="84">
        <f>E79</f>
        <v/>
      </c>
      <c r="AM721" s="84">
        <f>MAX(0,AJ721-AK721)</f>
        <v/>
      </c>
      <c r="AN721" s="84">
        <f>IF(AM721=0,AH721,IF(AM721&gt;=AH721,0,AH721-AM721))</f>
        <v/>
      </c>
      <c r="AO721" s="84">
        <f>IF(AM721&gt;=AH721,AI721,AI721*AM721/AH721)</f>
        <v/>
      </c>
      <c r="AP721">
        <f t="array" ref="AP721">INDEX($AU$8:$BB$25,6*(R721-1)+MATCH(AB721,$AS$8:$AS$13,0),MATCH(O721,$AU$7:$BB$7,0))</f>
        <v/>
      </c>
    </row>
    <row r="722" ht="14.25" customHeight="1">
      <c r="O722" s="43" t="inlineStr">
        <is>
          <t>Q2’27</t>
        </is>
      </c>
      <c r="P722" s="43" t="n">
        <v>2</v>
      </c>
      <c r="Q722" s="43" t="n">
        <v>13</v>
      </c>
      <c r="R722" s="43" t="n">
        <v>1</v>
      </c>
      <c r="S722" s="45" t="n">
        <v>5180.00000000001</v>
      </c>
      <c r="T722">
        <f>(S722+S723+S724)=S3</f>
        <v/>
      </c>
      <c r="X722" s="84">
        <f>MAX(S719-S722,0)</f>
        <v/>
      </c>
      <c r="Y722" s="83" t="n">
        <v>0</v>
      </c>
      <c r="AA722" s="84" t="n">
        <v>8</v>
      </c>
      <c r="AB722" s="84" t="inlineStr">
        <is>
          <t>E</t>
        </is>
      </c>
      <c r="AC722" s="84" t="inlineStr">
        <is>
          <t>E+</t>
        </is>
      </c>
      <c r="AD722" s="84" t="n">
        <v>12</v>
      </c>
      <c r="AE722" s="84" t="n">
        <v>9</v>
      </c>
      <c r="AF722" s="84" t="n">
        <v>0.76</v>
      </c>
      <c r="AG722" s="84" t="n">
        <v>0.84</v>
      </c>
      <c r="AH722" s="84" t="n">
        <v>0</v>
      </c>
      <c r="AI722" s="84" t="n">
        <v>0</v>
      </c>
      <c r="AJ722" s="84">
        <f>SUMIFS(AH$8:AH$1039,$O$8:$O$1039,O722,$AB$8:$AB$1039,AB722,$R$8:$R$1039,R722,$AA$8:$AA$1039,"&lt;="&amp;AA722)</f>
        <v/>
      </c>
      <c r="AK722" s="84">
        <f>C72</f>
        <v/>
      </c>
      <c r="AL722" s="84">
        <f>C78</f>
        <v/>
      </c>
      <c r="AM722" s="84">
        <f>MAX(0,AJ722-AK722)</f>
        <v/>
      </c>
      <c r="AN722" s="84">
        <f>IF(AM722=0,AH722,IF(AM722&gt;=AH722,0,AH722-AM722))</f>
        <v/>
      </c>
      <c r="AO722" s="84">
        <f>IF(AM722&gt;=AH722,AI722,AI722*AM722/AH722)</f>
        <v/>
      </c>
      <c r="AP722">
        <f t="array" ref="AP722">INDEX($AU$8:$BB$25,6*(R722-1)+MATCH(AB722,$AS$8:$AS$13,0),MATCH(O722,$AU$7:$BB$7,0))</f>
        <v/>
      </c>
    </row>
    <row r="723" ht="14.25" customHeight="1">
      <c r="O723" s="43" t="inlineStr">
        <is>
          <t>Q2’27</t>
        </is>
      </c>
      <c r="P723" s="43" t="n">
        <v>2</v>
      </c>
      <c r="Q723" s="43" t="n">
        <v>13</v>
      </c>
      <c r="R723" s="43" t="n">
        <v>2</v>
      </c>
      <c r="S723" s="45" t="n">
        <v>1319.999999999991</v>
      </c>
      <c r="T723">
        <f>(S722+S723+S724)=S3</f>
        <v/>
      </c>
      <c r="X723" s="84">
        <f>MAX(S720-S723,0)</f>
        <v/>
      </c>
      <c r="Y723" s="83" t="n">
        <v>0</v>
      </c>
      <c r="AA723" s="84" t="n">
        <v>8</v>
      </c>
      <c r="AB723" s="84" t="inlineStr">
        <is>
          <t>E</t>
        </is>
      </c>
      <c r="AC723" s="84" t="inlineStr">
        <is>
          <t>E+</t>
        </is>
      </c>
      <c r="AD723" s="84" t="n">
        <v>12</v>
      </c>
      <c r="AE723" s="84" t="n">
        <v>9</v>
      </c>
      <c r="AF723" s="84" t="n">
        <v>0.76</v>
      </c>
      <c r="AG723" s="84" t="n">
        <v>0.84</v>
      </c>
      <c r="AH723" s="84" t="n">
        <v>0</v>
      </c>
      <c r="AI723" s="84" t="n">
        <v>0</v>
      </c>
      <c r="AJ723" s="84">
        <f>SUMIFS(AH$8:AH$1039,$O$8:$O$1039,O723,$AB$8:$AB$1039,AB723,$R$8:$R$1039,R723,$AA$8:$AA$1039,"&lt;="&amp;AA723)</f>
        <v/>
      </c>
      <c r="AK723" s="84">
        <f>D72</f>
        <v/>
      </c>
      <c r="AL723" s="84">
        <f>D78</f>
        <v/>
      </c>
      <c r="AM723" s="84">
        <f>MAX(0,AJ723-AK723)</f>
        <v/>
      </c>
      <c r="AN723" s="84">
        <f>IF(AM723=0,AH723,IF(AM723&gt;=AH723,0,AH723-AM723))</f>
        <v/>
      </c>
      <c r="AO723" s="84">
        <f>IF(AM723&gt;=AH723,AI723,AI723*AM723/AH723)</f>
        <v/>
      </c>
      <c r="AP723">
        <f t="array" ref="AP723">INDEX($AU$8:$BB$25,6*(R723-1)+MATCH(AB723,$AS$8:$AS$13,0),MATCH(O723,$AU$7:$BB$7,0))</f>
        <v/>
      </c>
    </row>
    <row r="724" ht="14.25" customHeight="1">
      <c r="O724" s="43" t="inlineStr">
        <is>
          <t>Q2’27</t>
        </is>
      </c>
      <c r="P724" s="43" t="n">
        <v>2</v>
      </c>
      <c r="Q724" s="43" t="n">
        <v>13</v>
      </c>
      <c r="R724" s="43" t="n">
        <v>3</v>
      </c>
      <c r="S724" s="45" t="n">
        <v>-1e-12</v>
      </c>
      <c r="T724">
        <f>(S722+S723+S724)=S3</f>
        <v/>
      </c>
      <c r="X724" s="84">
        <f>MAX(S721-S724,0)</f>
        <v/>
      </c>
      <c r="Y724" s="83" t="n">
        <v>0</v>
      </c>
      <c r="AA724" s="84" t="n">
        <v>8</v>
      </c>
      <c r="AB724" s="84" t="inlineStr">
        <is>
          <t>E</t>
        </is>
      </c>
      <c r="AC724" s="84" t="inlineStr">
        <is>
          <t>E+</t>
        </is>
      </c>
      <c r="AD724" s="84" t="n">
        <v>12</v>
      </c>
      <c r="AE724" s="84" t="n">
        <v>9</v>
      </c>
      <c r="AF724" s="84" t="n">
        <v>0.76</v>
      </c>
      <c r="AG724" s="84" t="n">
        <v>0.84</v>
      </c>
      <c r="AH724" s="84" t="n">
        <v>0</v>
      </c>
      <c r="AI724" s="84" t="n">
        <v>0</v>
      </c>
      <c r="AJ724" s="84">
        <f>SUMIFS(AH$8:AH$1039,$O$8:$O$1039,O724,$AB$8:$AB$1039,AB724,$R$8:$R$1039,R724,$AA$8:$AA$1039,"&lt;="&amp;AA724)</f>
        <v/>
      </c>
      <c r="AK724" s="84">
        <f>E72</f>
        <v/>
      </c>
      <c r="AL724" s="84">
        <f>E78</f>
        <v/>
      </c>
      <c r="AM724" s="84">
        <f>MAX(0,AJ724-AK724)</f>
        <v/>
      </c>
      <c r="AN724" s="84">
        <f>IF(AM724=0,AH724,IF(AM724&gt;=AH724,0,AH724-AM724))</f>
        <v/>
      </c>
      <c r="AO724" s="84">
        <f>IF(AM724&gt;=AH724,AI724,AI724*AM724/AH724)</f>
        <v/>
      </c>
      <c r="AP724">
        <f t="array" ref="AP724">INDEX($AU$8:$BB$25,6*(R724-1)+MATCH(AB724,$AS$8:$AS$13,0),MATCH(O724,$AU$7:$BB$7,0))</f>
        <v/>
      </c>
    </row>
    <row r="725" ht="14.25" customHeight="1">
      <c r="O725" s="43" t="inlineStr">
        <is>
          <t>Q2’27</t>
        </is>
      </c>
      <c r="P725" s="43" t="n">
        <v>2</v>
      </c>
      <c r="Q725" s="43" t="n">
        <v>14</v>
      </c>
      <c r="R725" s="43" t="n">
        <v>1</v>
      </c>
      <c r="S725" s="45" t="n">
        <v>5180.00000000001</v>
      </c>
      <c r="T725">
        <f>(S725+S726+S727)=S3</f>
        <v/>
      </c>
      <c r="X725" s="84">
        <f>MAX(S722-S725,0)</f>
        <v/>
      </c>
      <c r="Y725" s="83" t="n">
        <v>0</v>
      </c>
      <c r="AA725" s="84" t="n">
        <v>5</v>
      </c>
      <c r="AB725" s="84" t="inlineStr">
        <is>
          <t>E</t>
        </is>
      </c>
      <c r="AC725" s="84" t="inlineStr">
        <is>
          <t>E+</t>
        </is>
      </c>
      <c r="AD725" s="84" t="n">
        <v>15</v>
      </c>
      <c r="AE725" s="84" t="n">
        <v>12</v>
      </c>
      <c r="AF725" s="84" t="n">
        <v>0.76</v>
      </c>
      <c r="AG725" s="84" t="n">
        <v>0.84</v>
      </c>
      <c r="AH725" s="84" t="n">
        <v>0</v>
      </c>
      <c r="AI725" s="84" t="n">
        <v>0</v>
      </c>
      <c r="AJ725" s="84">
        <f>SUMIFS(AH$8:AH$1039,$O$8:$O$1039,O725,$AB$8:$AB$1039,AB725,$R$8:$R$1039,R725,$AA$8:$AA$1039,"&lt;="&amp;AA725)</f>
        <v/>
      </c>
      <c r="AK725" s="84">
        <f>C72</f>
        <v/>
      </c>
      <c r="AL725" s="84">
        <f>C78</f>
        <v/>
      </c>
      <c r="AM725" s="84">
        <f>MAX(0,AJ725-AK725)</f>
        <v/>
      </c>
      <c r="AN725" s="84">
        <f>IF(AM725=0,AH725,IF(AM725&gt;=AH725,0,AH725-AM725))</f>
        <v/>
      </c>
      <c r="AO725" s="84">
        <f>IF(AM725&gt;=AH725,AI725,AI725*AM725/AH725)</f>
        <v/>
      </c>
      <c r="AP725">
        <f t="array" ref="AP725">INDEX($AU$8:$BB$25,6*(R725-1)+MATCH(AB725,$AS$8:$AS$13,0),MATCH(O725,$AU$7:$BB$7,0))</f>
        <v/>
      </c>
    </row>
    <row r="726" ht="14.25" customHeight="1">
      <c r="O726" s="43" t="inlineStr">
        <is>
          <t>Q2’27</t>
        </is>
      </c>
      <c r="P726" s="43" t="n">
        <v>2</v>
      </c>
      <c r="Q726" s="43" t="n">
        <v>14</v>
      </c>
      <c r="R726" s="43" t="n">
        <v>2</v>
      </c>
      <c r="S726" s="45" t="n">
        <v>1319.999999999991</v>
      </c>
      <c r="T726">
        <f>(S725+S726+S727)=S3</f>
        <v/>
      </c>
      <c r="X726" s="84">
        <f>MAX(S723-S726,0)</f>
        <v/>
      </c>
      <c r="Y726" s="83" t="n">
        <v>0</v>
      </c>
      <c r="AA726" s="84" t="n">
        <v>5</v>
      </c>
      <c r="AB726" s="84" t="inlineStr">
        <is>
          <t>E</t>
        </is>
      </c>
      <c r="AC726" s="84" t="inlineStr">
        <is>
          <t>E+</t>
        </is>
      </c>
      <c r="AD726" s="84" t="n">
        <v>15</v>
      </c>
      <c r="AE726" s="84" t="n">
        <v>12</v>
      </c>
      <c r="AF726" s="84" t="n">
        <v>0.76</v>
      </c>
      <c r="AG726" s="84" t="n">
        <v>0.84</v>
      </c>
      <c r="AH726" s="84" t="n">
        <v>0</v>
      </c>
      <c r="AI726" s="84" t="n">
        <v>0</v>
      </c>
      <c r="AJ726" s="84">
        <f>SUMIFS(AH$8:AH$1039,$O$8:$O$1039,O726,$AB$8:$AB$1039,AB726,$R$8:$R$1039,R726,$AA$8:$AA$1039,"&lt;="&amp;AA726)</f>
        <v/>
      </c>
      <c r="AK726" s="84">
        <f>D72</f>
        <v/>
      </c>
      <c r="AL726" s="84">
        <f>D78</f>
        <v/>
      </c>
      <c r="AM726" s="84">
        <f>MAX(0,AJ726-AK726)</f>
        <v/>
      </c>
      <c r="AN726" s="84">
        <f>IF(AM726=0,AH726,IF(AM726&gt;=AH726,0,AH726-AM726))</f>
        <v/>
      </c>
      <c r="AO726" s="84">
        <f>IF(AM726&gt;=AH726,AI726,AI726*AM726/AH726)</f>
        <v/>
      </c>
      <c r="AP726">
        <f t="array" ref="AP726">INDEX($AU$8:$BB$25,6*(R726-1)+MATCH(AB726,$AS$8:$AS$13,0),MATCH(O726,$AU$7:$BB$7,0))</f>
        <v/>
      </c>
    </row>
    <row r="727" ht="14.25" customHeight="1">
      <c r="O727" s="43" t="inlineStr">
        <is>
          <t>Q2’27</t>
        </is>
      </c>
      <c r="P727" s="43" t="n">
        <v>2</v>
      </c>
      <c r="Q727" s="43" t="n">
        <v>14</v>
      </c>
      <c r="R727" s="43" t="n">
        <v>3</v>
      </c>
      <c r="S727" s="45" t="n">
        <v>-1e-12</v>
      </c>
      <c r="T727">
        <f>(S725+S726+S727)=S3</f>
        <v/>
      </c>
      <c r="X727" s="84">
        <f>MAX(S724-S727,0)</f>
        <v/>
      </c>
      <c r="Y727" s="83" t="n">
        <v>0</v>
      </c>
      <c r="AA727" s="84" t="n">
        <v>5</v>
      </c>
      <c r="AB727" s="84" t="inlineStr">
        <is>
          <t>E</t>
        </is>
      </c>
      <c r="AC727" s="84" t="inlineStr">
        <is>
          <t>E+</t>
        </is>
      </c>
      <c r="AD727" s="84" t="n">
        <v>15</v>
      </c>
      <c r="AE727" s="84" t="n">
        <v>12</v>
      </c>
      <c r="AF727" s="84" t="n">
        <v>0.76</v>
      </c>
      <c r="AG727" s="84" t="n">
        <v>0.84</v>
      </c>
      <c r="AH727" s="84" t="n">
        <v>0</v>
      </c>
      <c r="AI727" s="84" t="n">
        <v>0</v>
      </c>
      <c r="AJ727" s="84">
        <f>SUMIFS(AH$8:AH$1039,$O$8:$O$1039,O727,$AB$8:$AB$1039,AB727,$R$8:$R$1039,R727,$AA$8:$AA$1039,"&lt;="&amp;AA727)</f>
        <v/>
      </c>
      <c r="AK727" s="84">
        <f>E72</f>
        <v/>
      </c>
      <c r="AL727" s="84">
        <f>E78</f>
        <v/>
      </c>
      <c r="AM727" s="84">
        <f>MAX(0,AJ727-AK727)</f>
        <v/>
      </c>
      <c r="AN727" s="84">
        <f>IF(AM727=0,AH727,IF(AM727&gt;=AH727,0,AH727-AM727))</f>
        <v/>
      </c>
      <c r="AO727" s="84">
        <f>IF(AM727&gt;=AH727,AI727,AI727*AM727/AH727)</f>
        <v/>
      </c>
      <c r="AP727">
        <f t="array" ref="AP727">INDEX($AU$8:$BB$25,6*(R727-1)+MATCH(AB727,$AS$8:$AS$13,0),MATCH(O727,$AU$7:$BB$7,0))</f>
        <v/>
      </c>
    </row>
    <row r="728" ht="14.25" customHeight="1">
      <c r="O728" s="43" t="inlineStr">
        <is>
          <t>Q2’27</t>
        </is>
      </c>
      <c r="P728" s="43" t="n">
        <v>2</v>
      </c>
      <c r="Q728" s="43" t="n">
        <v>15</v>
      </c>
      <c r="R728" s="43" t="n">
        <v>1</v>
      </c>
      <c r="S728" s="45" t="n">
        <v>5180.000000000009</v>
      </c>
      <c r="T728">
        <f>(S728+S729+S730)=S3</f>
        <v/>
      </c>
      <c r="X728" s="84">
        <f>MAX(S725-S728,0)</f>
        <v/>
      </c>
      <c r="Y728" s="83" t="n">
        <v>0</v>
      </c>
      <c r="AA728" s="84" t="n">
        <v>7</v>
      </c>
      <c r="AB728" s="84" t="inlineStr">
        <is>
          <t>E</t>
        </is>
      </c>
      <c r="AC728" s="84" t="inlineStr">
        <is>
          <t>E+</t>
        </is>
      </c>
      <c r="AD728" s="84" t="n">
        <v>13</v>
      </c>
      <c r="AE728" s="84" t="n">
        <v>10</v>
      </c>
      <c r="AF728" s="84" t="n">
        <v>0.76</v>
      </c>
      <c r="AG728" s="84" t="n">
        <v>0.84</v>
      </c>
      <c r="AH728" s="84" t="n">
        <v>0</v>
      </c>
      <c r="AI728" s="84" t="n">
        <v>0</v>
      </c>
      <c r="AJ728" s="84">
        <f>SUMIFS(AH$8:AH$1039,$O$8:$O$1039,O728,$AB$8:$AB$1039,AB728,$R$8:$R$1039,R728,$AA$8:$AA$1039,"&lt;="&amp;AA728)</f>
        <v/>
      </c>
      <c r="AK728" s="84">
        <f>C72</f>
        <v/>
      </c>
      <c r="AL728" s="84">
        <f>C78</f>
        <v/>
      </c>
      <c r="AM728" s="84">
        <f>MAX(0,AJ728-AK728)</f>
        <v/>
      </c>
      <c r="AN728" s="84">
        <f>IF(AM728=0,AH728,IF(AM728&gt;=AH728,0,AH728-AM728))</f>
        <v/>
      </c>
      <c r="AO728" s="84">
        <f>IF(AM728&gt;=AH728,AI728,AI728*AM728/AH728)</f>
        <v/>
      </c>
      <c r="AP728">
        <f t="array" ref="AP728">INDEX($AU$8:$BB$25,6*(R728-1)+MATCH(AB728,$AS$8:$AS$13,0),MATCH(O728,$AU$7:$BB$7,0))</f>
        <v/>
      </c>
    </row>
    <row r="729" ht="14.25" customHeight="1">
      <c r="O729" s="43" t="inlineStr">
        <is>
          <t>Q2’27</t>
        </is>
      </c>
      <c r="P729" s="43" t="n">
        <v>2</v>
      </c>
      <c r="Q729" s="43" t="n">
        <v>15</v>
      </c>
      <c r="R729" s="43" t="n">
        <v>2</v>
      </c>
      <c r="S729" s="45" t="n">
        <v>1319.999999999991</v>
      </c>
      <c r="T729">
        <f>(S728+S729+S730)=S3</f>
        <v/>
      </c>
      <c r="X729" s="84">
        <f>MAX(S726-S729,0)</f>
        <v/>
      </c>
      <c r="Y729" s="83" t="n">
        <v>0</v>
      </c>
      <c r="AA729" s="84" t="n">
        <v>7</v>
      </c>
      <c r="AB729" s="84" t="inlineStr">
        <is>
          <t>E</t>
        </is>
      </c>
      <c r="AC729" s="84" t="inlineStr">
        <is>
          <t>E+</t>
        </is>
      </c>
      <c r="AD729" s="84" t="n">
        <v>13</v>
      </c>
      <c r="AE729" s="84" t="n">
        <v>10</v>
      </c>
      <c r="AF729" s="84" t="n">
        <v>0.76</v>
      </c>
      <c r="AG729" s="84" t="n">
        <v>0.84</v>
      </c>
      <c r="AH729" s="84" t="n">
        <v>0</v>
      </c>
      <c r="AI729" s="84" t="n">
        <v>0</v>
      </c>
      <c r="AJ729" s="84">
        <f>SUMIFS(AH$8:AH$1039,$O$8:$O$1039,O729,$AB$8:$AB$1039,AB729,$R$8:$R$1039,R729,$AA$8:$AA$1039,"&lt;="&amp;AA729)</f>
        <v/>
      </c>
      <c r="AK729" s="84">
        <f>D72</f>
        <v/>
      </c>
      <c r="AL729" s="84">
        <f>D78</f>
        <v/>
      </c>
      <c r="AM729" s="84">
        <f>MAX(0,AJ729-AK729)</f>
        <v/>
      </c>
      <c r="AN729" s="84">
        <f>IF(AM729=0,AH729,IF(AM729&gt;=AH729,0,AH729-AM729))</f>
        <v/>
      </c>
      <c r="AO729" s="84">
        <f>IF(AM729&gt;=AH729,AI729,AI729*AM729/AH729)</f>
        <v/>
      </c>
      <c r="AP729">
        <f t="array" ref="AP729">INDEX($AU$8:$BB$25,6*(R729-1)+MATCH(AB729,$AS$8:$AS$13,0),MATCH(O729,$AU$7:$BB$7,0))</f>
        <v/>
      </c>
    </row>
    <row r="730" ht="14.25" customHeight="1">
      <c r="O730" s="43" t="inlineStr">
        <is>
          <t>Q2’27</t>
        </is>
      </c>
      <c r="P730" s="43" t="n">
        <v>2</v>
      </c>
      <c r="Q730" s="43" t="n">
        <v>15</v>
      </c>
      <c r="R730" s="43" t="n">
        <v>3</v>
      </c>
      <c r="S730" s="45" t="n">
        <v>0</v>
      </c>
      <c r="T730">
        <f>(S728+S729+S730)=S3</f>
        <v/>
      </c>
      <c r="X730" s="84">
        <f>MAX(S727-S730,0)</f>
        <v/>
      </c>
      <c r="Y730" s="83" t="n">
        <v>0</v>
      </c>
      <c r="AA730" s="84" t="n">
        <v>7</v>
      </c>
      <c r="AB730" s="84" t="inlineStr">
        <is>
          <t>E</t>
        </is>
      </c>
      <c r="AC730" s="84" t="inlineStr">
        <is>
          <t>E+</t>
        </is>
      </c>
      <c r="AD730" s="84" t="n">
        <v>13</v>
      </c>
      <c r="AE730" s="84" t="n">
        <v>10</v>
      </c>
      <c r="AF730" s="84" t="n">
        <v>0.76</v>
      </c>
      <c r="AG730" s="84" t="n">
        <v>0.84</v>
      </c>
      <c r="AH730" s="84" t="n">
        <v>0</v>
      </c>
      <c r="AI730" s="84" t="n">
        <v>0</v>
      </c>
      <c r="AJ730" s="84">
        <f>SUMIFS(AH$8:AH$1039,$O$8:$O$1039,O730,$AB$8:$AB$1039,AB730,$R$8:$R$1039,R730,$AA$8:$AA$1039,"&lt;="&amp;AA730)</f>
        <v/>
      </c>
      <c r="AK730" s="84">
        <f>E72</f>
        <v/>
      </c>
      <c r="AL730" s="84">
        <f>E78</f>
        <v/>
      </c>
      <c r="AM730" s="84">
        <f>MAX(0,AJ730-AK730)</f>
        <v/>
      </c>
      <c r="AN730" s="84">
        <f>IF(AM730=0,AH730,IF(AM730&gt;=AH730,0,AH730-AM730))</f>
        <v/>
      </c>
      <c r="AO730" s="84">
        <f>IF(AM730&gt;=AH730,AI730,AI730*AM730/AH730)</f>
        <v/>
      </c>
      <c r="AP730">
        <f t="array" ref="AP730">INDEX($AU$8:$BB$25,6*(R730-1)+MATCH(AB730,$AS$8:$AS$13,0),MATCH(O730,$AU$7:$BB$7,0))</f>
        <v/>
      </c>
    </row>
    <row r="731" ht="14.25" customHeight="1">
      <c r="O731" s="43" t="inlineStr">
        <is>
          <t>Q2’27</t>
        </is>
      </c>
      <c r="P731" s="43" t="n">
        <v>3</v>
      </c>
      <c r="Q731" s="43" t="n">
        <v>1</v>
      </c>
      <c r="R731" s="43" t="n">
        <v>1</v>
      </c>
      <c r="S731" s="45" t="n">
        <v>2141.703529411772</v>
      </c>
      <c r="T731">
        <f>(S731+S732+S733)=S4</f>
        <v/>
      </c>
      <c r="X731" s="84" t="n">
        <v>0</v>
      </c>
      <c r="Y731" s="83" t="n">
        <v>0</v>
      </c>
      <c r="AA731" s="84" t="n">
        <v>1</v>
      </c>
      <c r="AB731" s="84" t="inlineStr">
        <is>
          <t>C</t>
        </is>
      </c>
      <c r="AC731" s="84" t="inlineStr">
        <is>
          <t>C+</t>
        </is>
      </c>
      <c r="AD731" s="84" t="n">
        <v>21</v>
      </c>
      <c r="AE731" s="84" t="n">
        <v>20</v>
      </c>
      <c r="AF731" s="84" t="n">
        <v>0.8</v>
      </c>
      <c r="AG731" s="84" t="n">
        <v>0.86</v>
      </c>
      <c r="AH731" s="84" t="n">
        <v>0</v>
      </c>
      <c r="AI731" s="84" t="n">
        <v>0</v>
      </c>
      <c r="AJ731" s="84">
        <f>SUMIFS(AH$8:AH$1039,$O$8:$O$1039,O731,$AB$8:$AB$1039,AB731,$R$8:$R$1039,R731,$AA$8:$AA$1039,"&lt;="&amp;AA731)</f>
        <v/>
      </c>
      <c r="AK731" s="84">
        <f>C70</f>
        <v/>
      </c>
      <c r="AL731" s="84">
        <f>C76</f>
        <v/>
      </c>
      <c r="AM731" s="84">
        <f>MAX(0,AJ731-AK731)</f>
        <v/>
      </c>
      <c r="AN731" s="84">
        <f>IF(AM731=0,AH731,IF(AM731&gt;=AH731,0,AH731-AM731))</f>
        <v/>
      </c>
      <c r="AO731" s="84">
        <f>IF(AM731&gt;=AH731,AI731,AI731*AM731/AH731)</f>
        <v/>
      </c>
      <c r="AP731">
        <f t="array" ref="AP731">INDEX($AU$8:$BB$25,6*(R731-1)+MATCH(AB731,$AS$8:$AS$13,0),MATCH(O731,$AU$7:$BB$7,0))</f>
        <v/>
      </c>
    </row>
    <row r="732" ht="14.25" customHeight="1">
      <c r="O732" s="43" t="inlineStr">
        <is>
          <t>Q2’27</t>
        </is>
      </c>
      <c r="P732" s="43" t="n">
        <v>3</v>
      </c>
      <c r="Q732" s="43" t="n">
        <v>1</v>
      </c>
      <c r="R732" s="43" t="n">
        <v>2</v>
      </c>
      <c r="S732" s="45" t="n">
        <v>5099.294117647045</v>
      </c>
      <c r="T732">
        <f>(S731+S732+S733)=S4</f>
        <v/>
      </c>
      <c r="X732" s="84" t="n">
        <v>0</v>
      </c>
      <c r="Y732" s="83" t="n">
        <v>0</v>
      </c>
      <c r="AA732" s="84" t="n">
        <v>1</v>
      </c>
      <c r="AB732" s="84" t="inlineStr">
        <is>
          <t>C</t>
        </is>
      </c>
      <c r="AC732" s="84" t="inlineStr">
        <is>
          <t>C+</t>
        </is>
      </c>
      <c r="AD732" s="84" t="n">
        <v>21</v>
      </c>
      <c r="AE732" s="84" t="n">
        <v>20</v>
      </c>
      <c r="AF732" s="84" t="n">
        <v>0.8</v>
      </c>
      <c r="AG732" s="84" t="n">
        <v>0.86</v>
      </c>
      <c r="AH732" s="84" t="n">
        <v>0</v>
      </c>
      <c r="AI732" s="84" t="n">
        <v>0</v>
      </c>
      <c r="AJ732" s="84">
        <f>SUMIFS(AH$8:AH$1039,$O$8:$O$1039,O732,$AB$8:$AB$1039,AB732,$R$8:$R$1039,R732,$AA$8:$AA$1039,"&lt;="&amp;AA732)</f>
        <v/>
      </c>
      <c r="AK732" s="84">
        <f>D70</f>
        <v/>
      </c>
      <c r="AL732" s="84">
        <f>D76</f>
        <v/>
      </c>
      <c r="AM732" s="84">
        <f>MAX(0,AJ732-AK732)</f>
        <v/>
      </c>
      <c r="AN732" s="84">
        <f>IF(AM732=0,AH732,IF(AM732&gt;=AH732,0,AH732-AM732))</f>
        <v/>
      </c>
      <c r="AO732" s="84">
        <f>IF(AM732&gt;=AH732,AI732,AI732*AM732/AH732)</f>
        <v/>
      </c>
      <c r="AP732">
        <f t="array" ref="AP732">INDEX($AU$8:$BB$25,6*(R732-1)+MATCH(AB732,$AS$8:$AS$13,0),MATCH(O732,$AU$7:$BB$7,0))</f>
        <v/>
      </c>
    </row>
    <row r="733" ht="14.25" customHeight="1">
      <c r="O733" s="43" t="inlineStr">
        <is>
          <t>Q2’27</t>
        </is>
      </c>
      <c r="P733" s="43" t="n">
        <v>3</v>
      </c>
      <c r="Q733" s="43" t="n">
        <v>1</v>
      </c>
      <c r="R733" s="43" t="n">
        <v>3</v>
      </c>
      <c r="S733" s="45" t="n">
        <v>3759.002352941183</v>
      </c>
      <c r="T733">
        <f>(S731+S732+S733)=S4</f>
        <v/>
      </c>
      <c r="X733" s="84" t="n">
        <v>0</v>
      </c>
      <c r="Y733" s="83" t="n">
        <v>0</v>
      </c>
      <c r="AA733" s="84" t="n">
        <v>1</v>
      </c>
      <c r="AB733" s="84" t="inlineStr">
        <is>
          <t>C</t>
        </is>
      </c>
      <c r="AC733" s="84" t="inlineStr">
        <is>
          <t>C+</t>
        </is>
      </c>
      <c r="AD733" s="84" t="n">
        <v>21</v>
      </c>
      <c r="AE733" s="84" t="n">
        <v>20</v>
      </c>
      <c r="AF733" s="84" t="n">
        <v>0.8</v>
      </c>
      <c r="AG733" s="84" t="n">
        <v>0.86</v>
      </c>
      <c r="AH733" s="84" t="n">
        <v>0</v>
      </c>
      <c r="AI733" s="84" t="n">
        <v>0</v>
      </c>
      <c r="AJ733" s="84">
        <f>SUMIFS(AH$8:AH$1039,$O$8:$O$1039,O733,$AB$8:$AB$1039,AB733,$R$8:$R$1039,R733,$AA$8:$AA$1039,"&lt;="&amp;AA733)</f>
        <v/>
      </c>
      <c r="AK733" s="84">
        <f>E70</f>
        <v/>
      </c>
      <c r="AL733" s="84">
        <f>E76</f>
        <v/>
      </c>
      <c r="AM733" s="84">
        <f>MAX(0,AJ733-AK733)</f>
        <v/>
      </c>
      <c r="AN733" s="84">
        <f>IF(AM733=0,AH733,IF(AM733&gt;=AH733,0,AH733-AM733))</f>
        <v/>
      </c>
      <c r="AO733" s="84">
        <f>IF(AM733&gt;=AH733,AI733,AI733*AM733/AH733)</f>
        <v/>
      </c>
      <c r="AP733">
        <f t="array" ref="AP733">INDEX($AU$8:$BB$25,6*(R733-1)+MATCH(AB733,$AS$8:$AS$13,0),MATCH(O733,$AU$7:$BB$7,0))</f>
        <v/>
      </c>
    </row>
    <row r="734" ht="14.25" customHeight="1">
      <c r="O734" s="43" t="inlineStr">
        <is>
          <t>Q2’27</t>
        </is>
      </c>
      <c r="P734" s="43" t="n">
        <v>3</v>
      </c>
      <c r="Q734" s="43" t="n">
        <v>2</v>
      </c>
      <c r="R734" s="43" t="n">
        <v>1</v>
      </c>
      <c r="S734" s="45" t="n">
        <v>2141.703529411772</v>
      </c>
      <c r="T734">
        <f>(S734+S735+S736)=S4</f>
        <v/>
      </c>
      <c r="X734" s="84">
        <f>MAX(S731-S734,0)</f>
        <v/>
      </c>
      <c r="Y734" s="83" t="n">
        <v>0</v>
      </c>
      <c r="AA734" s="84" t="n">
        <v>8</v>
      </c>
      <c r="AB734" s="84" t="inlineStr">
        <is>
          <t>D</t>
        </is>
      </c>
      <c r="AC734" s="84" t="inlineStr">
        <is>
          <t>D+</t>
        </is>
      </c>
      <c r="AD734" s="84" t="n">
        <v>9</v>
      </c>
      <c r="AE734" s="84" t="n">
        <v>7</v>
      </c>
      <c r="AF734" s="84" t="n">
        <v>0.8</v>
      </c>
      <c r="AG734" s="84" t="n">
        <v>0.88</v>
      </c>
      <c r="AH734" s="84" t="n">
        <v>0</v>
      </c>
      <c r="AI734" s="84" t="n">
        <v>0</v>
      </c>
      <c r="AJ734" s="84">
        <f>SUMIFS(AH$8:AH$1039,$O$8:$O$1039,O734,$AB$8:$AB$1039,AB734,$R$8:$R$1039,R734,$AA$8:$AA$1039,"&lt;="&amp;AA734)</f>
        <v/>
      </c>
      <c r="AK734" s="84">
        <f>C71</f>
        <v/>
      </c>
      <c r="AL734" s="84">
        <f>C77</f>
        <v/>
      </c>
      <c r="AM734" s="84">
        <f>MAX(0,AJ734-AK734)</f>
        <v/>
      </c>
      <c r="AN734" s="84">
        <f>IF(AM734=0,AH734,IF(AM734&gt;=AH734,0,AH734-AM734))</f>
        <v/>
      </c>
      <c r="AO734" s="84">
        <f>IF(AM734&gt;=AH734,AI734,AI734*AM734/AH734)</f>
        <v/>
      </c>
      <c r="AP734">
        <f t="array" ref="AP734">INDEX($AU$8:$BB$25,6*(R734-1)+MATCH(AB734,$AS$8:$AS$13,0),MATCH(O734,$AU$7:$BB$7,0))</f>
        <v/>
      </c>
    </row>
    <row r="735" ht="14.25" customHeight="1">
      <c r="O735" s="43" t="inlineStr">
        <is>
          <t>Q2’27</t>
        </is>
      </c>
      <c r="P735" s="43" t="n">
        <v>3</v>
      </c>
      <c r="Q735" s="43" t="n">
        <v>2</v>
      </c>
      <c r="R735" s="43" t="n">
        <v>2</v>
      </c>
      <c r="S735" s="45" t="n">
        <v>5099.294117647045</v>
      </c>
      <c r="T735">
        <f>(S734+S735+S736)=S4</f>
        <v/>
      </c>
      <c r="X735" s="84">
        <f>MAX(S732-S735,0)</f>
        <v/>
      </c>
      <c r="Y735" s="83" t="n">
        <v>0</v>
      </c>
      <c r="AA735" s="84" t="n">
        <v>8</v>
      </c>
      <c r="AB735" s="84" t="inlineStr">
        <is>
          <t>D</t>
        </is>
      </c>
      <c r="AC735" s="84" t="inlineStr">
        <is>
          <t>D+</t>
        </is>
      </c>
      <c r="AD735" s="84" t="n">
        <v>9</v>
      </c>
      <c r="AE735" s="84" t="n">
        <v>7</v>
      </c>
      <c r="AF735" s="84" t="n">
        <v>0.8</v>
      </c>
      <c r="AG735" s="84" t="n">
        <v>0.88</v>
      </c>
      <c r="AH735" s="84" t="n">
        <v>0</v>
      </c>
      <c r="AI735" s="84" t="n">
        <v>0</v>
      </c>
      <c r="AJ735" s="84">
        <f>SUMIFS(AH$8:AH$1039,$O$8:$O$1039,O735,$AB$8:$AB$1039,AB735,$R$8:$R$1039,R735,$AA$8:$AA$1039,"&lt;="&amp;AA735)</f>
        <v/>
      </c>
      <c r="AK735" s="84">
        <f>D71</f>
        <v/>
      </c>
      <c r="AL735" s="84">
        <f>D77</f>
        <v/>
      </c>
      <c r="AM735" s="84">
        <f>MAX(0,AJ735-AK735)</f>
        <v/>
      </c>
      <c r="AN735" s="84">
        <f>IF(AM735=0,AH735,IF(AM735&gt;=AH735,0,AH735-AM735))</f>
        <v/>
      </c>
      <c r="AO735" s="84">
        <f>IF(AM735&gt;=AH735,AI735,AI735*AM735/AH735)</f>
        <v/>
      </c>
      <c r="AP735">
        <f t="array" ref="AP735">INDEX($AU$8:$BB$25,6*(R735-1)+MATCH(AB735,$AS$8:$AS$13,0),MATCH(O735,$AU$7:$BB$7,0))</f>
        <v/>
      </c>
    </row>
    <row r="736" ht="14.25" customHeight="1">
      <c r="O736" s="43" t="inlineStr">
        <is>
          <t>Q2’27</t>
        </is>
      </c>
      <c r="P736" s="43" t="n">
        <v>3</v>
      </c>
      <c r="Q736" s="43" t="n">
        <v>2</v>
      </c>
      <c r="R736" s="43" t="n">
        <v>3</v>
      </c>
      <c r="S736" s="45" t="n">
        <v>3759.002352941183</v>
      </c>
      <c r="T736">
        <f>(S734+S735+S736)=S4</f>
        <v/>
      </c>
      <c r="X736" s="84">
        <f>MAX(S733-S736,0)</f>
        <v/>
      </c>
      <c r="Y736" s="83" t="n">
        <v>0</v>
      </c>
      <c r="AA736" s="84" t="n">
        <v>8</v>
      </c>
      <c r="AB736" s="84" t="inlineStr">
        <is>
          <t>D</t>
        </is>
      </c>
      <c r="AC736" s="84" t="inlineStr">
        <is>
          <t>D+</t>
        </is>
      </c>
      <c r="AD736" s="84" t="n">
        <v>9</v>
      </c>
      <c r="AE736" s="84" t="n">
        <v>7</v>
      </c>
      <c r="AF736" s="84" t="n">
        <v>0.8</v>
      </c>
      <c r="AG736" s="84" t="n">
        <v>0.88</v>
      </c>
      <c r="AH736" s="84" t="n">
        <v>0</v>
      </c>
      <c r="AI736" s="84" t="n">
        <v>0</v>
      </c>
      <c r="AJ736" s="84">
        <f>SUMIFS(AH$8:AH$1039,$O$8:$O$1039,O736,$AB$8:$AB$1039,AB736,$R$8:$R$1039,R736,$AA$8:$AA$1039,"&lt;="&amp;AA736)</f>
        <v/>
      </c>
      <c r="AK736" s="84">
        <f>E71</f>
        <v/>
      </c>
      <c r="AL736" s="84">
        <f>E77</f>
        <v/>
      </c>
      <c r="AM736" s="84">
        <f>MAX(0,AJ736-AK736)</f>
        <v/>
      </c>
      <c r="AN736" s="84">
        <f>IF(AM736=0,AH736,IF(AM736&gt;=AH736,0,AH736-AM736))</f>
        <v/>
      </c>
      <c r="AO736" s="84">
        <f>IF(AM736&gt;=AH736,AI736,AI736*AM736/AH736)</f>
        <v/>
      </c>
      <c r="AP736">
        <f t="array" ref="AP736">INDEX($AU$8:$BB$25,6*(R736-1)+MATCH(AB736,$AS$8:$AS$13,0),MATCH(O736,$AU$7:$BB$7,0))</f>
        <v/>
      </c>
    </row>
    <row r="737" ht="14.25" customHeight="1">
      <c r="O737" s="43" t="inlineStr">
        <is>
          <t>Q2’27</t>
        </is>
      </c>
      <c r="P737" s="43" t="n">
        <v>3</v>
      </c>
      <c r="Q737" s="43" t="n">
        <v>3</v>
      </c>
      <c r="R737" s="43" t="n">
        <v>1</v>
      </c>
      <c r="S737" s="45" t="n">
        <v>2141.703529411772</v>
      </c>
      <c r="T737">
        <f>(S737+S738+S739)=S4</f>
        <v/>
      </c>
      <c r="X737" s="84">
        <f>MAX(S734-S737,0)</f>
        <v/>
      </c>
      <c r="Y737" s="83" t="n">
        <v>0</v>
      </c>
      <c r="AA737" s="84" t="n">
        <v>1</v>
      </c>
      <c r="AB737" s="84" t="inlineStr">
        <is>
          <t>E</t>
        </is>
      </c>
      <c r="AC737" s="84" t="inlineStr">
        <is>
          <t>E+</t>
        </is>
      </c>
      <c r="AD737" s="84" t="n">
        <v>24</v>
      </c>
      <c r="AE737" s="84" t="n">
        <v>23</v>
      </c>
      <c r="AF737" s="84" t="n">
        <v>0.76</v>
      </c>
      <c r="AG737" s="84" t="n">
        <v>0.84</v>
      </c>
      <c r="AH737" s="84" t="n">
        <v>0</v>
      </c>
      <c r="AI737" s="84" t="n">
        <v>0</v>
      </c>
      <c r="AJ737" s="84">
        <f>SUMIFS(AH$8:AH$1039,$O$8:$O$1039,O737,$AB$8:$AB$1039,AB737,$R$8:$R$1039,R737,$AA$8:$AA$1039,"&lt;="&amp;AA737)</f>
        <v/>
      </c>
      <c r="AK737" s="84">
        <f>C72</f>
        <v/>
      </c>
      <c r="AL737" s="84">
        <f>C78</f>
        <v/>
      </c>
      <c r="AM737" s="84">
        <f>MAX(0,AJ737-AK737)</f>
        <v/>
      </c>
      <c r="AN737" s="84">
        <f>IF(AM737=0,AH737,IF(AM737&gt;=AH737,0,AH737-AM737))</f>
        <v/>
      </c>
      <c r="AO737" s="84">
        <f>IF(AM737&gt;=AH737,AI737,AI737*AM737/AH737)</f>
        <v/>
      </c>
      <c r="AP737">
        <f t="array" ref="AP737">INDEX($AU$8:$BB$25,6*(R737-1)+MATCH(AB737,$AS$8:$AS$13,0),MATCH(O737,$AU$7:$BB$7,0))</f>
        <v/>
      </c>
    </row>
    <row r="738" ht="14.25" customHeight="1">
      <c r="O738" s="43" t="inlineStr">
        <is>
          <t>Q2’27</t>
        </is>
      </c>
      <c r="P738" s="43" t="n">
        <v>3</v>
      </c>
      <c r="Q738" s="43" t="n">
        <v>3</v>
      </c>
      <c r="R738" s="43" t="n">
        <v>2</v>
      </c>
      <c r="S738" s="45" t="n">
        <v>5099.294117647045</v>
      </c>
      <c r="T738">
        <f>(S737+S738+S739)=S4</f>
        <v/>
      </c>
      <c r="X738" s="84">
        <f>MAX(S735-S738,0)</f>
        <v/>
      </c>
      <c r="Y738" s="83" t="n">
        <v>0</v>
      </c>
      <c r="AA738" s="84" t="n">
        <v>1</v>
      </c>
      <c r="AB738" s="84" t="inlineStr">
        <is>
          <t>E</t>
        </is>
      </c>
      <c r="AC738" s="84" t="inlineStr">
        <is>
          <t>E+</t>
        </is>
      </c>
      <c r="AD738" s="84" t="n">
        <v>24</v>
      </c>
      <c r="AE738" s="84" t="n">
        <v>23</v>
      </c>
      <c r="AF738" s="84" t="n">
        <v>0.76</v>
      </c>
      <c r="AG738" s="84" t="n">
        <v>0.84</v>
      </c>
      <c r="AH738" s="84" t="n">
        <v>0</v>
      </c>
      <c r="AI738" s="84" t="n">
        <v>0</v>
      </c>
      <c r="AJ738" s="84">
        <f>SUMIFS(AH$8:AH$1039,$O$8:$O$1039,O738,$AB$8:$AB$1039,AB738,$R$8:$R$1039,R738,$AA$8:$AA$1039,"&lt;="&amp;AA738)</f>
        <v/>
      </c>
      <c r="AK738" s="84">
        <f>D72</f>
        <v/>
      </c>
      <c r="AL738" s="84">
        <f>D78</f>
        <v/>
      </c>
      <c r="AM738" s="84">
        <f>MAX(0,AJ738-AK738)</f>
        <v/>
      </c>
      <c r="AN738" s="84">
        <f>IF(AM738=0,AH738,IF(AM738&gt;=AH738,0,AH738-AM738))</f>
        <v/>
      </c>
      <c r="AO738" s="84">
        <f>IF(AM738&gt;=AH738,AI738,AI738*AM738/AH738)</f>
        <v/>
      </c>
      <c r="AP738">
        <f t="array" ref="AP738">INDEX($AU$8:$BB$25,6*(R738-1)+MATCH(AB738,$AS$8:$AS$13,0),MATCH(O738,$AU$7:$BB$7,0))</f>
        <v/>
      </c>
    </row>
    <row r="739" ht="14.25" customHeight="1">
      <c r="O739" s="43" t="inlineStr">
        <is>
          <t>Q2’27</t>
        </is>
      </c>
      <c r="P739" s="43" t="n">
        <v>3</v>
      </c>
      <c r="Q739" s="43" t="n">
        <v>3</v>
      </c>
      <c r="R739" s="43" t="n">
        <v>3</v>
      </c>
      <c r="S739" s="45" t="n">
        <v>3759.002352941183</v>
      </c>
      <c r="T739">
        <f>(S737+S738+S739)=S4</f>
        <v/>
      </c>
      <c r="X739" s="84">
        <f>MAX(S736-S739,0)</f>
        <v/>
      </c>
      <c r="Y739" s="83" t="n">
        <v>0</v>
      </c>
      <c r="AA739" s="84" t="n">
        <v>1</v>
      </c>
      <c r="AB739" s="84" t="inlineStr">
        <is>
          <t>E</t>
        </is>
      </c>
      <c r="AC739" s="84" t="inlineStr">
        <is>
          <t>E+</t>
        </is>
      </c>
      <c r="AD739" s="84" t="n">
        <v>24</v>
      </c>
      <c r="AE739" s="84" t="n">
        <v>23</v>
      </c>
      <c r="AF739" s="84" t="n">
        <v>0.76</v>
      </c>
      <c r="AG739" s="84" t="n">
        <v>0.84</v>
      </c>
      <c r="AH739" s="84" t="n">
        <v>0</v>
      </c>
      <c r="AI739" s="84" t="n">
        <v>0</v>
      </c>
      <c r="AJ739" s="84">
        <f>SUMIFS(AH$8:AH$1039,$O$8:$O$1039,O739,$AB$8:$AB$1039,AB739,$R$8:$R$1039,R739,$AA$8:$AA$1039,"&lt;="&amp;AA739)</f>
        <v/>
      </c>
      <c r="AK739" s="84">
        <f>E72</f>
        <v/>
      </c>
      <c r="AL739" s="84">
        <f>E78</f>
        <v/>
      </c>
      <c r="AM739" s="84">
        <f>MAX(0,AJ739-AK739)</f>
        <v/>
      </c>
      <c r="AN739" s="84">
        <f>IF(AM739=0,AH739,IF(AM739&gt;=AH739,0,AH739-AM739))</f>
        <v/>
      </c>
      <c r="AO739" s="84">
        <f>IF(AM739&gt;=AH739,AI739,AI739*AM739/AH739)</f>
        <v/>
      </c>
      <c r="AP739">
        <f t="array" ref="AP739">INDEX($AU$8:$BB$25,6*(R739-1)+MATCH(AB739,$AS$8:$AS$13,0),MATCH(O739,$AU$7:$BB$7,0))</f>
        <v/>
      </c>
    </row>
    <row r="740" ht="14.25" customHeight="1">
      <c r="O740" s="43" t="inlineStr">
        <is>
          <t>Q2’27</t>
        </is>
      </c>
      <c r="P740" s="43" t="n">
        <v>3</v>
      </c>
      <c r="Q740" s="43" t="n">
        <v>4</v>
      </c>
      <c r="R740" s="43" t="n">
        <v>1</v>
      </c>
      <c r="S740" s="45" t="n">
        <v>2141.703529411765</v>
      </c>
      <c r="T740">
        <f>(S740+S741+S742)=S4</f>
        <v/>
      </c>
      <c r="X740" s="84">
        <f>MAX(S737-S740,0)</f>
        <v/>
      </c>
      <c r="Y740" s="83" t="n">
        <v>0</v>
      </c>
      <c r="AA740" s="84" t="n">
        <v>9</v>
      </c>
      <c r="AB740" s="84" t="inlineStr">
        <is>
          <t>E</t>
        </is>
      </c>
      <c r="AC740" s="84" t="inlineStr">
        <is>
          <t>E+</t>
        </is>
      </c>
      <c r="AD740" s="84" t="n">
        <v>15</v>
      </c>
      <c r="AE740" s="84" t="n">
        <v>11</v>
      </c>
      <c r="AF740" s="84" t="n">
        <v>0.76</v>
      </c>
      <c r="AG740" s="84" t="n">
        <v>0.84</v>
      </c>
      <c r="AH740" s="84" t="n">
        <v>0</v>
      </c>
      <c r="AI740" s="84" t="n">
        <v>0</v>
      </c>
      <c r="AJ740" s="84">
        <f>SUMIFS(AH$8:AH$1039,$O$8:$O$1039,O740,$AB$8:$AB$1039,AB740,$R$8:$R$1039,R740,$AA$8:$AA$1039,"&lt;="&amp;AA740)</f>
        <v/>
      </c>
      <c r="AK740" s="84">
        <f>C72</f>
        <v/>
      </c>
      <c r="AL740" s="84">
        <f>C78</f>
        <v/>
      </c>
      <c r="AM740" s="84">
        <f>MAX(0,AJ740-AK740)</f>
        <v/>
      </c>
      <c r="AN740" s="84">
        <f>IF(AM740=0,AH740,IF(AM740&gt;=AH740,0,AH740-AM740))</f>
        <v/>
      </c>
      <c r="AO740" s="84">
        <f>IF(AM740&gt;=AH740,AI740,AI740*AM740/AH740)</f>
        <v/>
      </c>
      <c r="AP740">
        <f t="array" ref="AP740">INDEX($AU$8:$BB$25,6*(R740-1)+MATCH(AB740,$AS$8:$AS$13,0),MATCH(O740,$AU$7:$BB$7,0))</f>
        <v/>
      </c>
    </row>
    <row r="741" ht="14.25" customHeight="1">
      <c r="O741" s="43" t="inlineStr">
        <is>
          <t>Q2’27</t>
        </is>
      </c>
      <c r="P741" s="43" t="n">
        <v>3</v>
      </c>
      <c r="Q741" s="43" t="n">
        <v>4</v>
      </c>
      <c r="R741" s="43" t="n">
        <v>2</v>
      </c>
      <c r="S741" s="45" t="n">
        <v>5099.294117647052</v>
      </c>
      <c r="T741">
        <f>(S740+S741+S742)=S4</f>
        <v/>
      </c>
      <c r="X741" s="84">
        <f>MAX(S738-S741,0)</f>
        <v/>
      </c>
      <c r="Y741" s="83" t="n">
        <v>0</v>
      </c>
      <c r="AA741" s="84" t="n">
        <v>9</v>
      </c>
      <c r="AB741" s="84" t="inlineStr">
        <is>
          <t>E</t>
        </is>
      </c>
      <c r="AC741" s="84" t="inlineStr">
        <is>
          <t>E+</t>
        </is>
      </c>
      <c r="AD741" s="84" t="n">
        <v>15</v>
      </c>
      <c r="AE741" s="84" t="n">
        <v>11</v>
      </c>
      <c r="AF741" s="84" t="n">
        <v>0.76</v>
      </c>
      <c r="AG741" s="84" t="n">
        <v>0.84</v>
      </c>
      <c r="AH741" s="84" t="n">
        <v>0</v>
      </c>
      <c r="AI741" s="84" t="n">
        <v>0</v>
      </c>
      <c r="AJ741" s="84">
        <f>SUMIFS(AH$8:AH$1039,$O$8:$O$1039,O741,$AB$8:$AB$1039,AB741,$R$8:$R$1039,R741,$AA$8:$AA$1039,"&lt;="&amp;AA741)</f>
        <v/>
      </c>
      <c r="AK741" s="84">
        <f>D72</f>
        <v/>
      </c>
      <c r="AL741" s="84">
        <f>D78</f>
        <v/>
      </c>
      <c r="AM741" s="84">
        <f>MAX(0,AJ741-AK741)</f>
        <v/>
      </c>
      <c r="AN741" s="84">
        <f>IF(AM741=0,AH741,IF(AM741&gt;=AH741,0,AH741-AM741))</f>
        <v/>
      </c>
      <c r="AO741" s="84">
        <f>IF(AM741&gt;=AH741,AI741,AI741*AM741/AH741)</f>
        <v/>
      </c>
      <c r="AP741">
        <f t="array" ref="AP741">INDEX($AU$8:$BB$25,6*(R741-1)+MATCH(AB741,$AS$8:$AS$13,0),MATCH(O741,$AU$7:$BB$7,0))</f>
        <v/>
      </c>
    </row>
    <row r="742" ht="14.25" customHeight="1">
      <c r="O742" s="43" t="inlineStr">
        <is>
          <t>Q2’27</t>
        </is>
      </c>
      <c r="P742" s="43" t="n">
        <v>3</v>
      </c>
      <c r="Q742" s="43" t="n">
        <v>4</v>
      </c>
      <c r="R742" s="43" t="n">
        <v>3</v>
      </c>
      <c r="S742" s="45" t="n">
        <v>3759.002352941183</v>
      </c>
      <c r="T742">
        <f>(S740+S741+S742)=S4</f>
        <v/>
      </c>
      <c r="X742" s="84">
        <f>MAX(S739-S742,0)</f>
        <v/>
      </c>
      <c r="Y742" s="83" t="n">
        <v>0</v>
      </c>
      <c r="AA742" s="84" t="n">
        <v>9</v>
      </c>
      <c r="AB742" s="84" t="inlineStr">
        <is>
          <t>E</t>
        </is>
      </c>
      <c r="AC742" s="84" t="inlineStr">
        <is>
          <t>E+</t>
        </is>
      </c>
      <c r="AD742" s="84" t="n">
        <v>15</v>
      </c>
      <c r="AE742" s="84" t="n">
        <v>11</v>
      </c>
      <c r="AF742" s="84" t="n">
        <v>0.76</v>
      </c>
      <c r="AG742" s="84" t="n">
        <v>0.84</v>
      </c>
      <c r="AH742" s="84" t="n">
        <v>0</v>
      </c>
      <c r="AI742" s="84" t="n">
        <v>0</v>
      </c>
      <c r="AJ742" s="84">
        <f>SUMIFS(AH$8:AH$1039,$O$8:$O$1039,O742,$AB$8:$AB$1039,AB742,$R$8:$R$1039,R742,$AA$8:$AA$1039,"&lt;="&amp;AA742)</f>
        <v/>
      </c>
      <c r="AK742" s="84">
        <f>E72</f>
        <v/>
      </c>
      <c r="AL742" s="84">
        <f>E78</f>
        <v/>
      </c>
      <c r="AM742" s="84">
        <f>MAX(0,AJ742-AK742)</f>
        <v/>
      </c>
      <c r="AN742" s="84">
        <f>IF(AM742=0,AH742,IF(AM742&gt;=AH742,0,AH742-AM742))</f>
        <v/>
      </c>
      <c r="AO742" s="84">
        <f>IF(AM742&gt;=AH742,AI742,AI742*AM742/AH742)</f>
        <v/>
      </c>
      <c r="AP742">
        <f t="array" ref="AP742">INDEX($AU$8:$BB$25,6*(R742-1)+MATCH(AB742,$AS$8:$AS$13,0),MATCH(O742,$AU$7:$BB$7,0))</f>
        <v/>
      </c>
    </row>
    <row r="743" ht="14.25" customHeight="1">
      <c r="O743" s="43" t="inlineStr">
        <is>
          <t>Q2’27</t>
        </is>
      </c>
      <c r="P743" s="43" t="n">
        <v>3</v>
      </c>
      <c r="Q743" s="43" t="n">
        <v>5</v>
      </c>
      <c r="R743" s="43" t="n">
        <v>1</v>
      </c>
      <c r="S743" s="45" t="n">
        <v>2141.703529411765</v>
      </c>
      <c r="T743">
        <f>(S743+S744+S745)=S4</f>
        <v/>
      </c>
      <c r="X743" s="84">
        <f>MAX(S740-S743,0)</f>
        <v/>
      </c>
      <c r="Y743" s="83" t="n">
        <v>0</v>
      </c>
      <c r="AA743" s="84" t="n">
        <v>6</v>
      </c>
      <c r="AB743" s="84" t="inlineStr">
        <is>
          <t>F</t>
        </is>
      </c>
      <c r="AC743" s="84" t="inlineStr">
        <is>
          <t>F+</t>
        </is>
      </c>
      <c r="AD743" s="84" t="n">
        <v>16</v>
      </c>
      <c r="AE743" s="84" t="n">
        <v>14</v>
      </c>
      <c r="AF743" s="84" t="n">
        <v>0.8</v>
      </c>
      <c r="AG743" s="84" t="n">
        <v>0.9</v>
      </c>
      <c r="AH743" s="84" t="n">
        <v>0</v>
      </c>
      <c r="AI743" s="84" t="n">
        <v>0</v>
      </c>
      <c r="AJ743" s="84">
        <f>SUMIFS(AH$8:AH$1039,$O$8:$O$1039,O743,$AB$8:$AB$1039,AB743,$R$8:$R$1039,R743,$AA$8:$AA$1039,"&lt;="&amp;AA743)</f>
        <v/>
      </c>
      <c r="AK743" s="84">
        <f>C73</f>
        <v/>
      </c>
      <c r="AL743" s="84">
        <f>C79</f>
        <v/>
      </c>
      <c r="AM743" s="84">
        <f>MAX(0,AJ743-AK743)</f>
        <v/>
      </c>
      <c r="AN743" s="84">
        <f>IF(AM743=0,AH743,IF(AM743&gt;=AH743,0,AH743-AM743))</f>
        <v/>
      </c>
      <c r="AO743" s="84">
        <f>IF(AM743&gt;=AH743,AI743,AI743*AM743/AH743)</f>
        <v/>
      </c>
      <c r="AP743">
        <f t="array" ref="AP743">INDEX($AU$8:$BB$25,6*(R743-1)+MATCH(AB743,$AS$8:$AS$13,0),MATCH(O743,$AU$7:$BB$7,0))</f>
        <v/>
      </c>
    </row>
    <row r="744" ht="14.25" customHeight="1">
      <c r="O744" s="43" t="inlineStr">
        <is>
          <t>Q2’27</t>
        </is>
      </c>
      <c r="P744" s="43" t="n">
        <v>3</v>
      </c>
      <c r="Q744" s="43" t="n">
        <v>5</v>
      </c>
      <c r="R744" s="43" t="n">
        <v>2</v>
      </c>
      <c r="S744" s="45" t="n">
        <v>5099.294117647052</v>
      </c>
      <c r="T744">
        <f>(S743+S744+S745)=S4</f>
        <v/>
      </c>
      <c r="X744" s="84">
        <f>MAX(S741-S744,0)</f>
        <v/>
      </c>
      <c r="Y744" s="83" t="n">
        <v>0</v>
      </c>
      <c r="AA744" s="84" t="n">
        <v>6</v>
      </c>
      <c r="AB744" s="84" t="inlineStr">
        <is>
          <t>F</t>
        </is>
      </c>
      <c r="AC744" s="84" t="inlineStr">
        <is>
          <t>F+</t>
        </is>
      </c>
      <c r="AD744" s="84" t="n">
        <v>16</v>
      </c>
      <c r="AE744" s="84" t="n">
        <v>14</v>
      </c>
      <c r="AF744" s="84" t="n">
        <v>0.8</v>
      </c>
      <c r="AG744" s="84" t="n">
        <v>0.9</v>
      </c>
      <c r="AH744" s="84" t="n">
        <v>0</v>
      </c>
      <c r="AI744" s="84" t="n">
        <v>0</v>
      </c>
      <c r="AJ744" s="84">
        <f>SUMIFS(AH$8:AH$1039,$O$8:$O$1039,O744,$AB$8:$AB$1039,AB744,$R$8:$R$1039,R744,$AA$8:$AA$1039,"&lt;="&amp;AA744)</f>
        <v/>
      </c>
      <c r="AK744" s="84">
        <f>D73</f>
        <v/>
      </c>
      <c r="AL744" s="84">
        <f>D79</f>
        <v/>
      </c>
      <c r="AM744" s="84">
        <f>MAX(0,AJ744-AK744)</f>
        <v/>
      </c>
      <c r="AN744" s="84">
        <f>IF(AM744=0,AH744,IF(AM744&gt;=AH744,0,AH744-AM744))</f>
        <v/>
      </c>
      <c r="AO744" s="84">
        <f>IF(AM744&gt;=AH744,AI744,AI744*AM744/AH744)</f>
        <v/>
      </c>
      <c r="AP744">
        <f t="array" ref="AP744">INDEX($AU$8:$BB$25,6*(R744-1)+MATCH(AB744,$AS$8:$AS$13,0),MATCH(O744,$AU$7:$BB$7,0))</f>
        <v/>
      </c>
    </row>
    <row r="745" ht="14.25" customHeight="1">
      <c r="O745" s="43" t="inlineStr">
        <is>
          <t>Q2’27</t>
        </is>
      </c>
      <c r="P745" s="43" t="n">
        <v>3</v>
      </c>
      <c r="Q745" s="43" t="n">
        <v>5</v>
      </c>
      <c r="R745" s="43" t="n">
        <v>3</v>
      </c>
      <c r="S745" s="45" t="n">
        <v>3759.002352941183</v>
      </c>
      <c r="T745">
        <f>(S743+S744+S745)=S4</f>
        <v/>
      </c>
      <c r="X745" s="84">
        <f>MAX(S742-S745,0)</f>
        <v/>
      </c>
      <c r="Y745" s="83" t="n">
        <v>0</v>
      </c>
      <c r="AA745" s="84" t="n">
        <v>6</v>
      </c>
      <c r="AB745" s="84" t="inlineStr">
        <is>
          <t>F</t>
        </is>
      </c>
      <c r="AC745" s="84" t="inlineStr">
        <is>
          <t>F+</t>
        </is>
      </c>
      <c r="AD745" s="84" t="n">
        <v>16</v>
      </c>
      <c r="AE745" s="84" t="n">
        <v>14</v>
      </c>
      <c r="AF745" s="84" t="n">
        <v>0.8</v>
      </c>
      <c r="AG745" s="84" t="n">
        <v>0.9</v>
      </c>
      <c r="AH745" s="84" t="n">
        <v>0</v>
      </c>
      <c r="AI745" s="84" t="n">
        <v>0</v>
      </c>
      <c r="AJ745" s="84">
        <f>SUMIFS(AH$8:AH$1039,$O$8:$O$1039,O745,$AB$8:$AB$1039,AB745,$R$8:$R$1039,R745,$AA$8:$AA$1039,"&lt;="&amp;AA745)</f>
        <v/>
      </c>
      <c r="AK745" s="84">
        <f>E73</f>
        <v/>
      </c>
      <c r="AL745" s="84">
        <f>E79</f>
        <v/>
      </c>
      <c r="AM745" s="84">
        <f>MAX(0,AJ745-AK745)</f>
        <v/>
      </c>
      <c r="AN745" s="84">
        <f>IF(AM745=0,AH745,IF(AM745&gt;=AH745,0,AH745-AM745))</f>
        <v/>
      </c>
      <c r="AO745" s="84">
        <f>IF(AM745&gt;=AH745,AI745,AI745*AM745/AH745)</f>
        <v/>
      </c>
      <c r="AP745">
        <f t="array" ref="AP745">INDEX($AU$8:$BB$25,6*(R745-1)+MATCH(AB745,$AS$8:$AS$13,0),MATCH(O745,$AU$7:$BB$7,0))</f>
        <v/>
      </c>
    </row>
    <row r="746" ht="14.25" customHeight="1">
      <c r="O746" s="43" t="inlineStr">
        <is>
          <t>Q2’27</t>
        </is>
      </c>
      <c r="P746" s="43" t="n">
        <v>3</v>
      </c>
      <c r="Q746" s="43" t="n">
        <v>6</v>
      </c>
      <c r="R746" s="43" t="n">
        <v>1</v>
      </c>
      <c r="S746" s="45" t="n">
        <v>2141.703529411765</v>
      </c>
      <c r="T746">
        <f>(S746+S747+S748)=S4</f>
        <v/>
      </c>
      <c r="X746" s="84">
        <f>MAX(S743-S746,0)</f>
        <v/>
      </c>
      <c r="Y746" s="83" t="n">
        <v>0</v>
      </c>
      <c r="AA746" s="84" t="n">
        <v>1</v>
      </c>
      <c r="AB746" s="84" t="inlineStr">
        <is>
          <t>D</t>
        </is>
      </c>
      <c r="AC746" s="84" t="inlineStr">
        <is>
          <t>D+</t>
        </is>
      </c>
      <c r="AD746" s="84" t="n">
        <v>12</v>
      </c>
      <c r="AE746" s="84" t="n">
        <v>11</v>
      </c>
      <c r="AF746" s="84" t="n">
        <v>0.8</v>
      </c>
      <c r="AG746" s="84" t="n">
        <v>0.88</v>
      </c>
      <c r="AH746" s="84" t="n">
        <v>0</v>
      </c>
      <c r="AI746" s="84" t="n">
        <v>0</v>
      </c>
      <c r="AJ746" s="84">
        <f>SUMIFS(AH$8:AH$1039,$O$8:$O$1039,O746,$AB$8:$AB$1039,AB746,$R$8:$R$1039,R746,$AA$8:$AA$1039,"&lt;="&amp;AA746)</f>
        <v/>
      </c>
      <c r="AK746" s="84">
        <f>C71</f>
        <v/>
      </c>
      <c r="AL746" s="84">
        <f>C77</f>
        <v/>
      </c>
      <c r="AM746" s="84">
        <f>MAX(0,AJ746-AK746)</f>
        <v/>
      </c>
      <c r="AN746" s="84">
        <f>IF(AM746=0,AH746,IF(AM746&gt;=AH746,0,AH746-AM746))</f>
        <v/>
      </c>
      <c r="AO746" s="84">
        <f>IF(AM746&gt;=AH746,AI746,AI746*AM746/AH746)</f>
        <v/>
      </c>
      <c r="AP746">
        <f t="array" ref="AP746">INDEX($AU$8:$BB$25,6*(R746-1)+MATCH(AB746,$AS$8:$AS$13,0),MATCH(O746,$AU$7:$BB$7,0))</f>
        <v/>
      </c>
    </row>
    <row r="747" ht="14.25" customHeight="1">
      <c r="O747" s="43" t="inlineStr">
        <is>
          <t>Q2’27</t>
        </is>
      </c>
      <c r="P747" s="43" t="n">
        <v>3</v>
      </c>
      <c r="Q747" s="43" t="n">
        <v>6</v>
      </c>
      <c r="R747" s="43" t="n">
        <v>2</v>
      </c>
      <c r="S747" s="45" t="n">
        <v>5099.294117647052</v>
      </c>
      <c r="T747">
        <f>(S746+S747+S748)=S4</f>
        <v/>
      </c>
      <c r="X747" s="84">
        <f>MAX(S744-S747,0)</f>
        <v/>
      </c>
      <c r="Y747" s="83" t="n">
        <v>0</v>
      </c>
      <c r="AA747" s="84" t="n">
        <v>1</v>
      </c>
      <c r="AB747" s="84" t="inlineStr">
        <is>
          <t>D</t>
        </is>
      </c>
      <c r="AC747" s="84" t="inlineStr">
        <is>
          <t>D+</t>
        </is>
      </c>
      <c r="AD747" s="84" t="n">
        <v>12</v>
      </c>
      <c r="AE747" s="84" t="n">
        <v>11</v>
      </c>
      <c r="AF747" s="84" t="n">
        <v>0.8</v>
      </c>
      <c r="AG747" s="84" t="n">
        <v>0.88</v>
      </c>
      <c r="AH747" s="84" t="n">
        <v>0</v>
      </c>
      <c r="AI747" s="84" t="n">
        <v>0</v>
      </c>
      <c r="AJ747" s="84">
        <f>SUMIFS(AH$8:AH$1039,$O$8:$O$1039,O747,$AB$8:$AB$1039,AB747,$R$8:$R$1039,R747,$AA$8:$AA$1039,"&lt;="&amp;AA747)</f>
        <v/>
      </c>
      <c r="AK747" s="84">
        <f>D71</f>
        <v/>
      </c>
      <c r="AL747" s="84">
        <f>D77</f>
        <v/>
      </c>
      <c r="AM747" s="84">
        <f>MAX(0,AJ747-AK747)</f>
        <v/>
      </c>
      <c r="AN747" s="84">
        <f>IF(AM747=0,AH747,IF(AM747&gt;=AH747,0,AH747-AM747))</f>
        <v/>
      </c>
      <c r="AO747" s="84">
        <f>IF(AM747&gt;=AH747,AI747,AI747*AM747/AH747)</f>
        <v/>
      </c>
      <c r="AP747">
        <f t="array" ref="AP747">INDEX($AU$8:$BB$25,6*(R747-1)+MATCH(AB747,$AS$8:$AS$13,0),MATCH(O747,$AU$7:$BB$7,0))</f>
        <v/>
      </c>
    </row>
    <row r="748" ht="14.25" customHeight="1">
      <c r="O748" s="43" t="inlineStr">
        <is>
          <t>Q2’27</t>
        </is>
      </c>
      <c r="P748" s="43" t="n">
        <v>3</v>
      </c>
      <c r="Q748" s="43" t="n">
        <v>6</v>
      </c>
      <c r="R748" s="43" t="n">
        <v>3</v>
      </c>
      <c r="S748" s="45" t="n">
        <v>3759.002352941183</v>
      </c>
      <c r="T748">
        <f>(S746+S747+S748)=S4</f>
        <v/>
      </c>
      <c r="X748" s="84">
        <f>MAX(S745-S748,0)</f>
        <v/>
      </c>
      <c r="Y748" s="83" t="n">
        <v>0</v>
      </c>
      <c r="AA748" s="84" t="n">
        <v>1</v>
      </c>
      <c r="AB748" s="84" t="inlineStr">
        <is>
          <t>D</t>
        </is>
      </c>
      <c r="AC748" s="84" t="inlineStr">
        <is>
          <t>D+</t>
        </is>
      </c>
      <c r="AD748" s="84" t="n">
        <v>12</v>
      </c>
      <c r="AE748" s="84" t="n">
        <v>11</v>
      </c>
      <c r="AF748" s="84" t="n">
        <v>0.8</v>
      </c>
      <c r="AG748" s="84" t="n">
        <v>0.88</v>
      </c>
      <c r="AH748" s="84" t="n">
        <v>0</v>
      </c>
      <c r="AI748" s="84" t="n">
        <v>0</v>
      </c>
      <c r="AJ748" s="84">
        <f>SUMIFS(AH$8:AH$1039,$O$8:$O$1039,O748,$AB$8:$AB$1039,AB748,$R$8:$R$1039,R748,$AA$8:$AA$1039,"&lt;="&amp;AA748)</f>
        <v/>
      </c>
      <c r="AK748" s="84">
        <f>E71</f>
        <v/>
      </c>
      <c r="AL748" s="84">
        <f>E77</f>
        <v/>
      </c>
      <c r="AM748" s="84">
        <f>MAX(0,AJ748-AK748)</f>
        <v/>
      </c>
      <c r="AN748" s="84">
        <f>IF(AM748=0,AH748,IF(AM748&gt;=AH748,0,AH748-AM748))</f>
        <v/>
      </c>
      <c r="AO748" s="84">
        <f>IF(AM748&gt;=AH748,AI748,AI748*AM748/AH748)</f>
        <v/>
      </c>
      <c r="AP748">
        <f t="array" ref="AP748">INDEX($AU$8:$BB$25,6*(R748-1)+MATCH(AB748,$AS$8:$AS$13,0),MATCH(O748,$AU$7:$BB$7,0))</f>
        <v/>
      </c>
    </row>
    <row r="749" ht="14.25" customHeight="1">
      <c r="O749" s="43" t="inlineStr">
        <is>
          <t>Q2’27</t>
        </is>
      </c>
      <c r="P749" s="43" t="n">
        <v>3</v>
      </c>
      <c r="Q749" s="43" t="n">
        <v>7</v>
      </c>
      <c r="R749" s="43" t="n">
        <v>1</v>
      </c>
      <c r="S749" s="45" t="n">
        <v>2141.703529411765</v>
      </c>
      <c r="T749">
        <f>(S749+S750+S751)=S4</f>
        <v/>
      </c>
      <c r="X749" s="84">
        <f>MAX(S746-S749,0)</f>
        <v/>
      </c>
      <c r="Y749" s="83" t="n">
        <v>0</v>
      </c>
      <c r="AA749" s="84" t="n">
        <v>3</v>
      </c>
      <c r="AB749" s="84" t="inlineStr">
        <is>
          <t>C</t>
        </is>
      </c>
      <c r="AC749" s="84" t="inlineStr">
        <is>
          <t>C+</t>
        </is>
      </c>
      <c r="AD749" s="84" t="n">
        <v>24</v>
      </c>
      <c r="AE749" s="84" t="n">
        <v>21</v>
      </c>
      <c r="AF749" s="84" t="n">
        <v>0.8</v>
      </c>
      <c r="AG749" s="84" t="n">
        <v>0.86</v>
      </c>
      <c r="AH749" s="84" t="n">
        <v>0</v>
      </c>
      <c r="AI749" s="84" t="n">
        <v>0</v>
      </c>
      <c r="AJ749" s="84">
        <f>SUMIFS(AH$8:AH$1039,$O$8:$O$1039,O749,$AB$8:$AB$1039,AB749,$R$8:$R$1039,R749,$AA$8:$AA$1039,"&lt;="&amp;AA749)</f>
        <v/>
      </c>
      <c r="AK749" s="84">
        <f>C70</f>
        <v/>
      </c>
      <c r="AL749" s="84">
        <f>C76</f>
        <v/>
      </c>
      <c r="AM749" s="84">
        <f>MAX(0,AJ749-AK749)</f>
        <v/>
      </c>
      <c r="AN749" s="84">
        <f>IF(AM749=0,AH749,IF(AM749&gt;=AH749,0,AH749-AM749))</f>
        <v/>
      </c>
      <c r="AO749" s="84">
        <f>IF(AM749&gt;=AH749,AI749,AI749*AM749/AH749)</f>
        <v/>
      </c>
      <c r="AP749">
        <f t="array" ref="AP749">INDEX($AU$8:$BB$25,6*(R749-1)+MATCH(AB749,$AS$8:$AS$13,0),MATCH(O749,$AU$7:$BB$7,0))</f>
        <v/>
      </c>
    </row>
    <row r="750" ht="14.25" customHeight="1">
      <c r="O750" s="43" t="inlineStr">
        <is>
          <t>Q2’27</t>
        </is>
      </c>
      <c r="P750" s="43" t="n">
        <v>3</v>
      </c>
      <c r="Q750" s="43" t="n">
        <v>7</v>
      </c>
      <c r="R750" s="43" t="n">
        <v>2</v>
      </c>
      <c r="S750" s="45" t="n">
        <v>5099.294117647052</v>
      </c>
      <c r="T750">
        <f>(S749+S750+S751)=S4</f>
        <v/>
      </c>
      <c r="X750" s="84">
        <f>MAX(S747-S750,0)</f>
        <v/>
      </c>
      <c r="Y750" s="83" t="n">
        <v>0</v>
      </c>
      <c r="AA750" s="84" t="n">
        <v>3</v>
      </c>
      <c r="AB750" s="84" t="inlineStr">
        <is>
          <t>C</t>
        </is>
      </c>
      <c r="AC750" s="84" t="inlineStr">
        <is>
          <t>C+</t>
        </is>
      </c>
      <c r="AD750" s="84" t="n">
        <v>24</v>
      </c>
      <c r="AE750" s="84" t="n">
        <v>21</v>
      </c>
      <c r="AF750" s="84" t="n">
        <v>0.8</v>
      </c>
      <c r="AG750" s="84" t="n">
        <v>0.86</v>
      </c>
      <c r="AH750" s="84" t="n">
        <v>0</v>
      </c>
      <c r="AI750" s="84" t="n">
        <v>0</v>
      </c>
      <c r="AJ750" s="84">
        <f>SUMIFS(AH$8:AH$1039,$O$8:$O$1039,O750,$AB$8:$AB$1039,AB750,$R$8:$R$1039,R750,$AA$8:$AA$1039,"&lt;="&amp;AA750)</f>
        <v/>
      </c>
      <c r="AK750" s="84">
        <f>D70</f>
        <v/>
      </c>
      <c r="AL750" s="84">
        <f>D76</f>
        <v/>
      </c>
      <c r="AM750" s="84">
        <f>MAX(0,AJ750-AK750)</f>
        <v/>
      </c>
      <c r="AN750" s="84">
        <f>IF(AM750=0,AH750,IF(AM750&gt;=AH750,0,AH750-AM750))</f>
        <v/>
      </c>
      <c r="AO750" s="84">
        <f>IF(AM750&gt;=AH750,AI750,AI750*AM750/AH750)</f>
        <v/>
      </c>
      <c r="AP750">
        <f t="array" ref="AP750">INDEX($AU$8:$BB$25,6*(R750-1)+MATCH(AB750,$AS$8:$AS$13,0),MATCH(O750,$AU$7:$BB$7,0))</f>
        <v/>
      </c>
    </row>
    <row r="751" ht="14.25" customHeight="1">
      <c r="O751" s="43" t="inlineStr">
        <is>
          <t>Q2’27</t>
        </is>
      </c>
      <c r="P751" s="43" t="n">
        <v>3</v>
      </c>
      <c r="Q751" s="43" t="n">
        <v>7</v>
      </c>
      <c r="R751" s="43" t="n">
        <v>3</v>
      </c>
      <c r="S751" s="45" t="n">
        <v>3759.002352941183</v>
      </c>
      <c r="T751">
        <f>(S749+S750+S751)=S4</f>
        <v/>
      </c>
      <c r="X751" s="84">
        <f>MAX(S748-S751,0)</f>
        <v/>
      </c>
      <c r="Y751" s="83" t="n">
        <v>0</v>
      </c>
      <c r="AA751" s="84" t="n">
        <v>3</v>
      </c>
      <c r="AB751" s="84" t="inlineStr">
        <is>
          <t>C</t>
        </is>
      </c>
      <c r="AC751" s="84" t="inlineStr">
        <is>
          <t>C+</t>
        </is>
      </c>
      <c r="AD751" s="84" t="n">
        <v>24</v>
      </c>
      <c r="AE751" s="84" t="n">
        <v>21</v>
      </c>
      <c r="AF751" s="84" t="n">
        <v>0.8</v>
      </c>
      <c r="AG751" s="84" t="n">
        <v>0.86</v>
      </c>
      <c r="AH751" s="84" t="n">
        <v>0</v>
      </c>
      <c r="AI751" s="84" t="n">
        <v>0</v>
      </c>
      <c r="AJ751" s="84">
        <f>SUMIFS(AH$8:AH$1039,$O$8:$O$1039,O751,$AB$8:$AB$1039,AB751,$R$8:$R$1039,R751,$AA$8:$AA$1039,"&lt;="&amp;AA751)</f>
        <v/>
      </c>
      <c r="AK751" s="84">
        <f>E70</f>
        <v/>
      </c>
      <c r="AL751" s="84">
        <f>E76</f>
        <v/>
      </c>
      <c r="AM751" s="84">
        <f>MAX(0,AJ751-AK751)</f>
        <v/>
      </c>
      <c r="AN751" s="84">
        <f>IF(AM751=0,AH751,IF(AM751&gt;=AH751,0,AH751-AM751))</f>
        <v/>
      </c>
      <c r="AO751" s="84">
        <f>IF(AM751&gt;=AH751,AI751,AI751*AM751/AH751)</f>
        <v/>
      </c>
      <c r="AP751">
        <f t="array" ref="AP751">INDEX($AU$8:$BB$25,6*(R751-1)+MATCH(AB751,$AS$8:$AS$13,0),MATCH(O751,$AU$7:$BB$7,0))</f>
        <v/>
      </c>
    </row>
    <row r="752" ht="14.25" customHeight="1">
      <c r="O752" s="43" t="inlineStr">
        <is>
          <t>Q2’27</t>
        </is>
      </c>
      <c r="P752" s="43" t="n">
        <v>3</v>
      </c>
      <c r="Q752" s="43" t="n">
        <v>8</v>
      </c>
      <c r="R752" s="43" t="n">
        <v>1</v>
      </c>
      <c r="S752" s="45" t="n">
        <v>2141.703529411756</v>
      </c>
      <c r="T752">
        <f>(S752+S753+S754)=S4</f>
        <v/>
      </c>
      <c r="X752" s="84">
        <f>MAX(S749-S752,0)</f>
        <v/>
      </c>
      <c r="Y752" s="83" t="n">
        <v>0</v>
      </c>
      <c r="AA752" s="84" t="n">
        <v>5</v>
      </c>
      <c r="AB752" s="84" t="inlineStr">
        <is>
          <t>C</t>
        </is>
      </c>
      <c r="AC752" s="84" t="inlineStr">
        <is>
          <t>C+</t>
        </is>
      </c>
      <c r="AD752" s="84" t="n">
        <v>19</v>
      </c>
      <c r="AE752" s="84" t="n">
        <v>13</v>
      </c>
      <c r="AF752" s="84" t="n">
        <v>0.8</v>
      </c>
      <c r="AG752" s="84" t="n">
        <v>0.86</v>
      </c>
      <c r="AH752" s="84" t="n">
        <v>0</v>
      </c>
      <c r="AI752" s="84" t="n">
        <v>0</v>
      </c>
      <c r="AJ752" s="84">
        <f>SUMIFS(AH$8:AH$1039,$O$8:$O$1039,O752,$AB$8:$AB$1039,AB752,$R$8:$R$1039,R752,$AA$8:$AA$1039,"&lt;="&amp;AA752)</f>
        <v/>
      </c>
      <c r="AK752" s="84">
        <f>C70</f>
        <v/>
      </c>
      <c r="AL752" s="84">
        <f>C76</f>
        <v/>
      </c>
      <c r="AM752" s="84">
        <f>MAX(0,AJ752-AK752)</f>
        <v/>
      </c>
      <c r="AN752" s="84">
        <f>IF(AM752=0,AH752,IF(AM752&gt;=AH752,0,AH752-AM752))</f>
        <v/>
      </c>
      <c r="AO752" s="84">
        <f>IF(AM752&gt;=AH752,AI752,AI752*AM752/AH752)</f>
        <v/>
      </c>
      <c r="AP752">
        <f t="array" ref="AP752">INDEX($AU$8:$BB$25,6*(R752-1)+MATCH(AB752,$AS$8:$AS$13,0),MATCH(O752,$AU$7:$BB$7,0))</f>
        <v/>
      </c>
    </row>
    <row r="753" ht="14.25" customHeight="1">
      <c r="O753" s="43" t="inlineStr">
        <is>
          <t>Q2’27</t>
        </is>
      </c>
      <c r="P753" s="43" t="n">
        <v>3</v>
      </c>
      <c r="Q753" s="43" t="n">
        <v>8</v>
      </c>
      <c r="R753" s="43" t="n">
        <v>2</v>
      </c>
      <c r="S753" s="45" t="n">
        <v>5099.29411764705</v>
      </c>
      <c r="T753">
        <f>(S752+S753+S754)=S4</f>
        <v/>
      </c>
      <c r="X753" s="84">
        <f>MAX(S750-S753,0)</f>
        <v/>
      </c>
      <c r="Y753" s="83" t="n">
        <v>0</v>
      </c>
      <c r="AA753" s="84" t="n">
        <v>5</v>
      </c>
      <c r="AB753" s="84" t="inlineStr">
        <is>
          <t>C</t>
        </is>
      </c>
      <c r="AC753" s="84" t="inlineStr">
        <is>
          <t>C+</t>
        </is>
      </c>
      <c r="AD753" s="84" t="n">
        <v>19</v>
      </c>
      <c r="AE753" s="84" t="n">
        <v>13</v>
      </c>
      <c r="AF753" s="84" t="n">
        <v>0.8</v>
      </c>
      <c r="AG753" s="84" t="n">
        <v>0.86</v>
      </c>
      <c r="AH753" s="84" t="n">
        <v>0</v>
      </c>
      <c r="AI753" s="84" t="n">
        <v>0</v>
      </c>
      <c r="AJ753" s="84">
        <f>SUMIFS(AH$8:AH$1039,$O$8:$O$1039,O753,$AB$8:$AB$1039,AB753,$R$8:$R$1039,R753,$AA$8:$AA$1039,"&lt;="&amp;AA753)</f>
        <v/>
      </c>
      <c r="AK753" s="84">
        <f>D70</f>
        <v/>
      </c>
      <c r="AL753" s="84">
        <f>D76</f>
        <v/>
      </c>
      <c r="AM753" s="84">
        <f>MAX(0,AJ753-AK753)</f>
        <v/>
      </c>
      <c r="AN753" s="84">
        <f>IF(AM753=0,AH753,IF(AM753&gt;=AH753,0,AH753-AM753))</f>
        <v/>
      </c>
      <c r="AO753" s="84">
        <f>IF(AM753&gt;=AH753,AI753,AI753*AM753/AH753)</f>
        <v/>
      </c>
      <c r="AP753">
        <f t="array" ref="AP753">INDEX($AU$8:$BB$25,6*(R753-1)+MATCH(AB753,$AS$8:$AS$13,0),MATCH(O753,$AU$7:$BB$7,0))</f>
        <v/>
      </c>
    </row>
    <row r="754" ht="14.25" customHeight="1">
      <c r="O754" s="43" t="inlineStr">
        <is>
          <t>Q2’27</t>
        </is>
      </c>
      <c r="P754" s="43" t="n">
        <v>3</v>
      </c>
      <c r="Q754" s="43" t="n">
        <v>8</v>
      </c>
      <c r="R754" s="43" t="n">
        <v>3</v>
      </c>
      <c r="S754" s="45" t="n">
        <v>3759.002352941194</v>
      </c>
      <c r="T754">
        <f>(S752+S753+S754)=S4</f>
        <v/>
      </c>
      <c r="X754" s="84">
        <f>MAX(S751-S754,0)</f>
        <v/>
      </c>
      <c r="Y754" s="83" t="n">
        <v>0</v>
      </c>
      <c r="AA754" s="84" t="n">
        <v>5</v>
      </c>
      <c r="AB754" s="84" t="inlineStr">
        <is>
          <t>C</t>
        </is>
      </c>
      <c r="AC754" s="84" t="inlineStr">
        <is>
          <t>C+</t>
        </is>
      </c>
      <c r="AD754" s="84" t="n">
        <v>19</v>
      </c>
      <c r="AE754" s="84" t="n">
        <v>13</v>
      </c>
      <c r="AF754" s="84" t="n">
        <v>0.8</v>
      </c>
      <c r="AG754" s="84" t="n">
        <v>0.86</v>
      </c>
      <c r="AH754" s="84" t="n">
        <v>0</v>
      </c>
      <c r="AI754" s="84" t="n">
        <v>0</v>
      </c>
      <c r="AJ754" s="84">
        <f>SUMIFS(AH$8:AH$1039,$O$8:$O$1039,O754,$AB$8:$AB$1039,AB754,$R$8:$R$1039,R754,$AA$8:$AA$1039,"&lt;="&amp;AA754)</f>
        <v/>
      </c>
      <c r="AK754" s="84">
        <f>E70</f>
        <v/>
      </c>
      <c r="AL754" s="84">
        <f>E76</f>
        <v/>
      </c>
      <c r="AM754" s="84">
        <f>MAX(0,AJ754-AK754)</f>
        <v/>
      </c>
      <c r="AN754" s="84">
        <f>IF(AM754=0,AH754,IF(AM754&gt;=AH754,0,AH754-AM754))</f>
        <v/>
      </c>
      <c r="AO754" s="84">
        <f>IF(AM754&gt;=AH754,AI754,AI754*AM754/AH754)</f>
        <v/>
      </c>
      <c r="AP754">
        <f t="array" ref="AP754">INDEX($AU$8:$BB$25,6*(R754-1)+MATCH(AB754,$AS$8:$AS$13,0),MATCH(O754,$AU$7:$BB$7,0))</f>
        <v/>
      </c>
    </row>
    <row r="755" ht="14.25" customHeight="1">
      <c r="O755" s="43" t="inlineStr">
        <is>
          <t>Q2’27</t>
        </is>
      </c>
      <c r="P755" s="43" t="n">
        <v>3</v>
      </c>
      <c r="Q755" s="43" t="n">
        <v>9</v>
      </c>
      <c r="R755" s="43" t="n">
        <v>1</v>
      </c>
      <c r="S755" s="45" t="n">
        <v>2141.703529411767</v>
      </c>
      <c r="T755">
        <f>(S755+S756+S757)=S4</f>
        <v/>
      </c>
      <c r="X755" s="84">
        <f>MAX(S752-S755,0)</f>
        <v/>
      </c>
      <c r="Y755" s="83" t="n">
        <v>0</v>
      </c>
      <c r="AA755" s="84" t="n">
        <v>3</v>
      </c>
      <c r="AB755" s="84" t="inlineStr">
        <is>
          <t>D</t>
        </is>
      </c>
      <c r="AC755" s="84" t="inlineStr">
        <is>
          <t>D+</t>
        </is>
      </c>
      <c r="AD755" s="84" t="n">
        <v>15</v>
      </c>
      <c r="AE755" s="84" t="n">
        <v>13</v>
      </c>
      <c r="AF755" s="84" t="n">
        <v>0.8</v>
      </c>
      <c r="AG755" s="84" t="n">
        <v>0.88</v>
      </c>
      <c r="AH755" s="84" t="n">
        <v>0</v>
      </c>
      <c r="AI755" s="84" t="n">
        <v>0</v>
      </c>
      <c r="AJ755" s="84">
        <f>SUMIFS(AH$8:AH$1039,$O$8:$O$1039,O755,$AB$8:$AB$1039,AB755,$R$8:$R$1039,R755,$AA$8:$AA$1039,"&lt;="&amp;AA755)</f>
        <v/>
      </c>
      <c r="AK755" s="84">
        <f>C71</f>
        <v/>
      </c>
      <c r="AL755" s="84">
        <f>C77</f>
        <v/>
      </c>
      <c r="AM755" s="84">
        <f>MAX(0,AJ755-AK755)</f>
        <v/>
      </c>
      <c r="AN755" s="84">
        <f>IF(AM755=0,AH755,IF(AM755&gt;=AH755,0,AH755-AM755))</f>
        <v/>
      </c>
      <c r="AO755" s="84">
        <f>IF(AM755&gt;=AH755,AI755,AI755*AM755/AH755)</f>
        <v/>
      </c>
      <c r="AP755">
        <f t="array" ref="AP755">INDEX($AU$8:$BB$25,6*(R755-1)+MATCH(AB755,$AS$8:$AS$13,0),MATCH(O755,$AU$7:$BB$7,0))</f>
        <v/>
      </c>
    </row>
    <row r="756" ht="14.25" customHeight="1">
      <c r="O756" s="43" t="inlineStr">
        <is>
          <t>Q2’27</t>
        </is>
      </c>
      <c r="P756" s="43" t="n">
        <v>3</v>
      </c>
      <c r="Q756" s="43" t="n">
        <v>9</v>
      </c>
      <c r="R756" s="43" t="n">
        <v>2</v>
      </c>
      <c r="S756" s="45" t="n">
        <v>5099.29411764705</v>
      </c>
      <c r="T756">
        <f>(S755+S756+S757)=S4</f>
        <v/>
      </c>
      <c r="X756" s="84">
        <f>MAX(S753-S756,0)</f>
        <v/>
      </c>
      <c r="Y756" s="83" t="n">
        <v>0</v>
      </c>
      <c r="AA756" s="84" t="n">
        <v>3</v>
      </c>
      <c r="AB756" s="84" t="inlineStr">
        <is>
          <t>D</t>
        </is>
      </c>
      <c r="AC756" s="84" t="inlineStr">
        <is>
          <t>D+</t>
        </is>
      </c>
      <c r="AD756" s="84" t="n">
        <v>15</v>
      </c>
      <c r="AE756" s="84" t="n">
        <v>13</v>
      </c>
      <c r="AF756" s="84" t="n">
        <v>0.8</v>
      </c>
      <c r="AG756" s="84" t="n">
        <v>0.88</v>
      </c>
      <c r="AH756" s="84" t="n">
        <v>0</v>
      </c>
      <c r="AI756" s="84" t="n">
        <v>0</v>
      </c>
      <c r="AJ756" s="84">
        <f>SUMIFS(AH$8:AH$1039,$O$8:$O$1039,O756,$AB$8:$AB$1039,AB756,$R$8:$R$1039,R756,$AA$8:$AA$1039,"&lt;="&amp;AA756)</f>
        <v/>
      </c>
      <c r="AK756" s="84">
        <f>D71</f>
        <v/>
      </c>
      <c r="AL756" s="84">
        <f>D77</f>
        <v/>
      </c>
      <c r="AM756" s="84">
        <f>MAX(0,AJ756-AK756)</f>
        <v/>
      </c>
      <c r="AN756" s="84">
        <f>IF(AM756=0,AH756,IF(AM756&gt;=AH756,0,AH756-AM756))</f>
        <v/>
      </c>
      <c r="AO756" s="84">
        <f>IF(AM756&gt;=AH756,AI756,AI756*AM756/AH756)</f>
        <v/>
      </c>
      <c r="AP756">
        <f t="array" ref="AP756">INDEX($AU$8:$BB$25,6*(R756-1)+MATCH(AB756,$AS$8:$AS$13,0),MATCH(O756,$AU$7:$BB$7,0))</f>
        <v/>
      </c>
    </row>
    <row r="757" ht="14.25" customHeight="1">
      <c r="O757" s="43" t="inlineStr">
        <is>
          <t>Q2’27</t>
        </is>
      </c>
      <c r="P757" s="43" t="n">
        <v>3</v>
      </c>
      <c r="Q757" s="43" t="n">
        <v>9</v>
      </c>
      <c r="R757" s="43" t="n">
        <v>3</v>
      </c>
      <c r="S757" s="45" t="n">
        <v>3759.002352941183</v>
      </c>
      <c r="T757">
        <f>(S755+S756+S757)=S4</f>
        <v/>
      </c>
      <c r="X757" s="84">
        <f>MAX(S754-S757,0)</f>
        <v/>
      </c>
      <c r="Y757" s="83" t="n">
        <v>0</v>
      </c>
      <c r="AA757" s="84" t="n">
        <v>3</v>
      </c>
      <c r="AB757" s="84" t="inlineStr">
        <is>
          <t>D</t>
        </is>
      </c>
      <c r="AC757" s="84" t="inlineStr">
        <is>
          <t>D+</t>
        </is>
      </c>
      <c r="AD757" s="84" t="n">
        <v>15</v>
      </c>
      <c r="AE757" s="84" t="n">
        <v>13</v>
      </c>
      <c r="AF757" s="84" t="n">
        <v>0.8</v>
      </c>
      <c r="AG757" s="84" t="n">
        <v>0.88</v>
      </c>
      <c r="AH757" s="84" t="n">
        <v>0</v>
      </c>
      <c r="AI757" s="84" t="n">
        <v>0</v>
      </c>
      <c r="AJ757" s="84">
        <f>SUMIFS(AH$8:AH$1039,$O$8:$O$1039,O757,$AB$8:$AB$1039,AB757,$R$8:$R$1039,R757,$AA$8:$AA$1039,"&lt;="&amp;AA757)</f>
        <v/>
      </c>
      <c r="AK757" s="84">
        <f>E71</f>
        <v/>
      </c>
      <c r="AL757" s="84">
        <f>E77</f>
        <v/>
      </c>
      <c r="AM757" s="84">
        <f>MAX(0,AJ757-AK757)</f>
        <v/>
      </c>
      <c r="AN757" s="84">
        <f>IF(AM757=0,AH757,IF(AM757&gt;=AH757,0,AH757-AM757))</f>
        <v/>
      </c>
      <c r="AO757" s="84">
        <f>IF(AM757&gt;=AH757,AI757,AI757*AM757/AH757)</f>
        <v/>
      </c>
      <c r="AP757">
        <f t="array" ref="AP757">INDEX($AU$8:$BB$25,6*(R757-1)+MATCH(AB757,$AS$8:$AS$13,0),MATCH(O757,$AU$7:$BB$7,0))</f>
        <v/>
      </c>
    </row>
    <row r="758" ht="14.25" customHeight="1">
      <c r="O758" s="43" t="inlineStr">
        <is>
          <t>Q2’27</t>
        </is>
      </c>
      <c r="P758" s="43" t="n">
        <v>3</v>
      </c>
      <c r="Q758" s="43" t="n">
        <v>10</v>
      </c>
      <c r="R758" s="43" t="n">
        <v>1</v>
      </c>
      <c r="S758" s="45" t="n">
        <v>2141.703529411767</v>
      </c>
      <c r="T758">
        <f>(S758+S759+S760)=S4</f>
        <v/>
      </c>
      <c r="X758" s="84">
        <f>MAX(S755-S758,0)</f>
        <v/>
      </c>
      <c r="Y758" s="83" t="n">
        <v>0</v>
      </c>
      <c r="AA758" s="84" t="n">
        <v>5</v>
      </c>
      <c r="AB758" s="84" t="inlineStr">
        <is>
          <t>D</t>
        </is>
      </c>
      <c r="AC758" s="84" t="inlineStr">
        <is>
          <t>D+</t>
        </is>
      </c>
      <c r="AD758" s="84" t="n">
        <v>24</v>
      </c>
      <c r="AE758" s="84" t="n">
        <v>20</v>
      </c>
      <c r="AF758" s="84" t="n">
        <v>0.8</v>
      </c>
      <c r="AG758" s="84" t="n">
        <v>0.88</v>
      </c>
      <c r="AH758" s="84" t="n">
        <v>0</v>
      </c>
      <c r="AI758" s="84" t="n">
        <v>0</v>
      </c>
      <c r="AJ758" s="84">
        <f>SUMIFS(AH$8:AH$1039,$O$8:$O$1039,O758,$AB$8:$AB$1039,AB758,$R$8:$R$1039,R758,$AA$8:$AA$1039,"&lt;="&amp;AA758)</f>
        <v/>
      </c>
      <c r="AK758" s="84">
        <f>C71</f>
        <v/>
      </c>
      <c r="AL758" s="84">
        <f>C77</f>
        <v/>
      </c>
      <c r="AM758" s="84">
        <f>MAX(0,AJ758-AK758)</f>
        <v/>
      </c>
      <c r="AN758" s="84">
        <f>IF(AM758=0,AH758,IF(AM758&gt;=AH758,0,AH758-AM758))</f>
        <v/>
      </c>
      <c r="AO758" s="84">
        <f>IF(AM758&gt;=AH758,AI758,AI758*AM758/AH758)</f>
        <v/>
      </c>
      <c r="AP758">
        <f t="array" ref="AP758">INDEX($AU$8:$BB$25,6*(R758-1)+MATCH(AB758,$AS$8:$AS$13,0),MATCH(O758,$AU$7:$BB$7,0))</f>
        <v/>
      </c>
    </row>
    <row r="759" ht="14.25" customHeight="1">
      <c r="O759" s="43" t="inlineStr">
        <is>
          <t>Q2’27</t>
        </is>
      </c>
      <c r="P759" s="43" t="n">
        <v>3</v>
      </c>
      <c r="Q759" s="43" t="n">
        <v>10</v>
      </c>
      <c r="R759" s="43" t="n">
        <v>2</v>
      </c>
      <c r="S759" s="45" t="n">
        <v>5099.294117647069</v>
      </c>
      <c r="T759">
        <f>(S758+S759+S760)=S4</f>
        <v/>
      </c>
      <c r="X759" s="84">
        <f>MAX(S756-S759,0)</f>
        <v/>
      </c>
      <c r="Y759" s="83" t="n">
        <v>0</v>
      </c>
      <c r="AA759" s="84" t="n">
        <v>5</v>
      </c>
      <c r="AB759" s="84" t="inlineStr">
        <is>
          <t>D</t>
        </is>
      </c>
      <c r="AC759" s="84" t="inlineStr">
        <is>
          <t>D+</t>
        </is>
      </c>
      <c r="AD759" s="84" t="n">
        <v>24</v>
      </c>
      <c r="AE759" s="84" t="n">
        <v>20</v>
      </c>
      <c r="AF759" s="84" t="n">
        <v>0.8</v>
      </c>
      <c r="AG759" s="84" t="n">
        <v>0.88</v>
      </c>
      <c r="AH759" s="84" t="n">
        <v>0</v>
      </c>
      <c r="AI759" s="84" t="n">
        <v>0</v>
      </c>
      <c r="AJ759" s="84">
        <f>SUMIFS(AH$8:AH$1039,$O$8:$O$1039,O759,$AB$8:$AB$1039,AB759,$R$8:$R$1039,R759,$AA$8:$AA$1039,"&lt;="&amp;AA759)</f>
        <v/>
      </c>
      <c r="AK759" s="84">
        <f>D71</f>
        <v/>
      </c>
      <c r="AL759" s="84">
        <f>D77</f>
        <v/>
      </c>
      <c r="AM759" s="84">
        <f>MAX(0,AJ759-AK759)</f>
        <v/>
      </c>
      <c r="AN759" s="84">
        <f>IF(AM759=0,AH759,IF(AM759&gt;=AH759,0,AH759-AM759))</f>
        <v/>
      </c>
      <c r="AO759" s="84">
        <f>IF(AM759&gt;=AH759,AI759,AI759*AM759/AH759)</f>
        <v/>
      </c>
      <c r="AP759">
        <f t="array" ref="AP759">INDEX($AU$8:$BB$25,6*(R759-1)+MATCH(AB759,$AS$8:$AS$13,0),MATCH(O759,$AU$7:$BB$7,0))</f>
        <v/>
      </c>
    </row>
    <row r="760" ht="14.25" customHeight="1">
      <c r="O760" s="43" t="inlineStr">
        <is>
          <t>Q2’27</t>
        </is>
      </c>
      <c r="P760" s="43" t="n">
        <v>3</v>
      </c>
      <c r="Q760" s="43" t="n">
        <v>10</v>
      </c>
      <c r="R760" s="43" t="n">
        <v>3</v>
      </c>
      <c r="S760" s="45" t="n">
        <v>3759.002352941165</v>
      </c>
      <c r="T760">
        <f>(S758+S759+S760)=S4</f>
        <v/>
      </c>
      <c r="X760" s="84">
        <f>MAX(S757-S760,0)</f>
        <v/>
      </c>
      <c r="Y760" s="83" t="n">
        <v>0</v>
      </c>
      <c r="AA760" s="84" t="n">
        <v>5</v>
      </c>
      <c r="AB760" s="84" t="inlineStr">
        <is>
          <t>D</t>
        </is>
      </c>
      <c r="AC760" s="84" t="inlineStr">
        <is>
          <t>D+</t>
        </is>
      </c>
      <c r="AD760" s="84" t="n">
        <v>24</v>
      </c>
      <c r="AE760" s="84" t="n">
        <v>20</v>
      </c>
      <c r="AF760" s="84" t="n">
        <v>0.8</v>
      </c>
      <c r="AG760" s="84" t="n">
        <v>0.88</v>
      </c>
      <c r="AH760" s="84" t="n">
        <v>0</v>
      </c>
      <c r="AI760" s="84" t="n">
        <v>0</v>
      </c>
      <c r="AJ760" s="84">
        <f>SUMIFS(AH$8:AH$1039,$O$8:$O$1039,O760,$AB$8:$AB$1039,AB760,$R$8:$R$1039,R760,$AA$8:$AA$1039,"&lt;="&amp;AA760)</f>
        <v/>
      </c>
      <c r="AK760" s="84">
        <f>E71</f>
        <v/>
      </c>
      <c r="AL760" s="84">
        <f>E77</f>
        <v/>
      </c>
      <c r="AM760" s="84">
        <f>MAX(0,AJ760-AK760)</f>
        <v/>
      </c>
      <c r="AN760" s="84">
        <f>IF(AM760=0,AH760,IF(AM760&gt;=AH760,0,AH760-AM760))</f>
        <v/>
      </c>
      <c r="AO760" s="84">
        <f>IF(AM760&gt;=AH760,AI760,AI760*AM760/AH760)</f>
        <v/>
      </c>
      <c r="AP760">
        <f t="array" ref="AP760">INDEX($AU$8:$BB$25,6*(R760-1)+MATCH(AB760,$AS$8:$AS$13,0),MATCH(O760,$AU$7:$BB$7,0))</f>
        <v/>
      </c>
    </row>
    <row r="761" ht="14.25" customHeight="1">
      <c r="O761" s="43" t="inlineStr">
        <is>
          <t>Q2’27</t>
        </is>
      </c>
      <c r="P761" s="43" t="n">
        <v>3</v>
      </c>
      <c r="Q761" s="43" t="n">
        <v>11</v>
      </c>
      <c r="R761" s="43" t="n">
        <v>1</v>
      </c>
      <c r="S761" s="45" t="n">
        <v>2141.703529411767</v>
      </c>
      <c r="T761">
        <f>(S761+S762+S763)=S4</f>
        <v/>
      </c>
      <c r="X761" s="84">
        <f>MAX(S758-S761,0)</f>
        <v/>
      </c>
      <c r="Y761" s="83" t="n">
        <v>0</v>
      </c>
      <c r="AA761" s="84" t="n">
        <v>3</v>
      </c>
      <c r="AB761" s="84" t="inlineStr">
        <is>
          <t>E</t>
        </is>
      </c>
      <c r="AC761" s="84" t="inlineStr">
        <is>
          <t>E+</t>
        </is>
      </c>
      <c r="AD761" s="84" t="n">
        <v>17</v>
      </c>
      <c r="AE761" s="84" t="n">
        <v>15</v>
      </c>
      <c r="AF761" s="84" t="n">
        <v>0.76</v>
      </c>
      <c r="AG761" s="84" t="n">
        <v>0.84</v>
      </c>
      <c r="AH761" s="84" t="n">
        <v>0</v>
      </c>
      <c r="AI761" s="84" t="n">
        <v>0</v>
      </c>
      <c r="AJ761" s="84">
        <f>SUMIFS(AH$8:AH$1039,$O$8:$O$1039,O761,$AB$8:$AB$1039,AB761,$R$8:$R$1039,R761,$AA$8:$AA$1039,"&lt;="&amp;AA761)</f>
        <v/>
      </c>
      <c r="AK761" s="84">
        <f>C72</f>
        <v/>
      </c>
      <c r="AL761" s="84">
        <f>C78</f>
        <v/>
      </c>
      <c r="AM761" s="84">
        <f>MAX(0,AJ761-AK761)</f>
        <v/>
      </c>
      <c r="AN761" s="84">
        <f>IF(AM761=0,AH761,IF(AM761&gt;=AH761,0,AH761-AM761))</f>
        <v/>
      </c>
      <c r="AO761" s="84">
        <f>IF(AM761&gt;=AH761,AI761,AI761*AM761/AH761)</f>
        <v/>
      </c>
      <c r="AP761">
        <f t="array" ref="AP761">INDEX($AU$8:$BB$25,6*(R761-1)+MATCH(AB761,$AS$8:$AS$13,0),MATCH(O761,$AU$7:$BB$7,0))</f>
        <v/>
      </c>
    </row>
    <row r="762" ht="14.25" customHeight="1">
      <c r="O762" s="43" t="inlineStr">
        <is>
          <t>Q2’27</t>
        </is>
      </c>
      <c r="P762" s="43" t="n">
        <v>3</v>
      </c>
      <c r="Q762" s="43" t="n">
        <v>11</v>
      </c>
      <c r="R762" s="43" t="n">
        <v>2</v>
      </c>
      <c r="S762" s="45" t="n">
        <v>5099.294117647069</v>
      </c>
      <c r="T762">
        <f>(S761+S762+S763)=S4</f>
        <v/>
      </c>
      <c r="X762" s="84">
        <f>MAX(S759-S762,0)</f>
        <v/>
      </c>
      <c r="Y762" s="83" t="n">
        <v>0</v>
      </c>
      <c r="AA762" s="84" t="n">
        <v>3</v>
      </c>
      <c r="AB762" s="84" t="inlineStr">
        <is>
          <t>E</t>
        </is>
      </c>
      <c r="AC762" s="84" t="inlineStr">
        <is>
          <t>E+</t>
        </is>
      </c>
      <c r="AD762" s="84" t="n">
        <v>17</v>
      </c>
      <c r="AE762" s="84" t="n">
        <v>15</v>
      </c>
      <c r="AF762" s="84" t="n">
        <v>0.76</v>
      </c>
      <c r="AG762" s="84" t="n">
        <v>0.84</v>
      </c>
      <c r="AH762" s="84" t="n">
        <v>0</v>
      </c>
      <c r="AI762" s="84" t="n">
        <v>0</v>
      </c>
      <c r="AJ762" s="84">
        <f>SUMIFS(AH$8:AH$1039,$O$8:$O$1039,O762,$AB$8:$AB$1039,AB762,$R$8:$R$1039,R762,$AA$8:$AA$1039,"&lt;="&amp;AA762)</f>
        <v/>
      </c>
      <c r="AK762" s="84">
        <f>D72</f>
        <v/>
      </c>
      <c r="AL762" s="84">
        <f>D78</f>
        <v/>
      </c>
      <c r="AM762" s="84">
        <f>MAX(0,AJ762-AK762)</f>
        <v/>
      </c>
      <c r="AN762" s="84">
        <f>IF(AM762=0,AH762,IF(AM762&gt;=AH762,0,AH762-AM762))</f>
        <v/>
      </c>
      <c r="AO762" s="84">
        <f>IF(AM762&gt;=AH762,AI762,AI762*AM762/AH762)</f>
        <v/>
      </c>
      <c r="AP762">
        <f t="array" ref="AP762">INDEX($AU$8:$BB$25,6*(R762-1)+MATCH(AB762,$AS$8:$AS$13,0),MATCH(O762,$AU$7:$BB$7,0))</f>
        <v/>
      </c>
    </row>
    <row r="763" ht="14.25" customHeight="1">
      <c r="O763" s="43" t="inlineStr">
        <is>
          <t>Q2’27</t>
        </is>
      </c>
      <c r="P763" s="43" t="n">
        <v>3</v>
      </c>
      <c r="Q763" s="43" t="n">
        <v>11</v>
      </c>
      <c r="R763" s="43" t="n">
        <v>3</v>
      </c>
      <c r="S763" s="45" t="n">
        <v>3759.002352941165</v>
      </c>
      <c r="T763">
        <f>(S761+S762+S763)=S4</f>
        <v/>
      </c>
      <c r="X763" s="84">
        <f>MAX(S760-S763,0)</f>
        <v/>
      </c>
      <c r="Y763" s="83" t="n">
        <v>0</v>
      </c>
      <c r="AA763" s="84" t="n">
        <v>3</v>
      </c>
      <c r="AB763" s="84" t="inlineStr">
        <is>
          <t>E</t>
        </is>
      </c>
      <c r="AC763" s="84" t="inlineStr">
        <is>
          <t>E+</t>
        </is>
      </c>
      <c r="AD763" s="84" t="n">
        <v>17</v>
      </c>
      <c r="AE763" s="84" t="n">
        <v>15</v>
      </c>
      <c r="AF763" s="84" t="n">
        <v>0.76</v>
      </c>
      <c r="AG763" s="84" t="n">
        <v>0.84</v>
      </c>
      <c r="AH763" s="84" t="n">
        <v>0</v>
      </c>
      <c r="AI763" s="84" t="n">
        <v>0</v>
      </c>
      <c r="AJ763" s="84">
        <f>SUMIFS(AH$8:AH$1039,$O$8:$O$1039,O763,$AB$8:$AB$1039,AB763,$R$8:$R$1039,R763,$AA$8:$AA$1039,"&lt;="&amp;AA763)</f>
        <v/>
      </c>
      <c r="AK763" s="84">
        <f>E72</f>
        <v/>
      </c>
      <c r="AL763" s="84">
        <f>E78</f>
        <v/>
      </c>
      <c r="AM763" s="84">
        <f>MAX(0,AJ763-AK763)</f>
        <v/>
      </c>
      <c r="AN763" s="84">
        <f>IF(AM763=0,AH763,IF(AM763&gt;=AH763,0,AH763-AM763))</f>
        <v/>
      </c>
      <c r="AO763" s="84">
        <f>IF(AM763&gt;=AH763,AI763,AI763*AM763/AH763)</f>
        <v/>
      </c>
      <c r="AP763">
        <f t="array" ref="AP763">INDEX($AU$8:$BB$25,6*(R763-1)+MATCH(AB763,$AS$8:$AS$13,0),MATCH(O763,$AU$7:$BB$7,0))</f>
        <v/>
      </c>
    </row>
    <row r="764" ht="14.25" customHeight="1">
      <c r="O764" s="43" t="inlineStr">
        <is>
          <t>Q2’27</t>
        </is>
      </c>
      <c r="P764" s="43" t="n">
        <v>3</v>
      </c>
      <c r="Q764" s="43" t="n">
        <v>12</v>
      </c>
      <c r="R764" s="43" t="n">
        <v>1</v>
      </c>
      <c r="S764" s="45" t="n">
        <v>2141.703529411766</v>
      </c>
      <c r="T764">
        <f>(S764+S765+S766)=S4</f>
        <v/>
      </c>
      <c r="X764" s="84">
        <f>MAX(S761-S764,0)</f>
        <v/>
      </c>
      <c r="Y764" s="83" t="n">
        <v>0</v>
      </c>
      <c r="AA764" s="84" t="n">
        <v>10</v>
      </c>
      <c r="AB764" s="84" t="inlineStr">
        <is>
          <t>E</t>
        </is>
      </c>
      <c r="AC764" s="84" t="inlineStr">
        <is>
          <t>E+</t>
        </is>
      </c>
      <c r="AD764" s="84" t="n">
        <v>18</v>
      </c>
      <c r="AE764" s="84" t="n">
        <v>13</v>
      </c>
      <c r="AF764" s="84" t="n">
        <v>0.76</v>
      </c>
      <c r="AG764" s="84" t="n">
        <v>0.84</v>
      </c>
      <c r="AH764" s="84" t="n">
        <v>0</v>
      </c>
      <c r="AI764" s="84" t="n">
        <v>0</v>
      </c>
      <c r="AJ764" s="84">
        <f>SUMIFS(AH$8:AH$1039,$O$8:$O$1039,O764,$AB$8:$AB$1039,AB764,$R$8:$R$1039,R764,$AA$8:$AA$1039,"&lt;="&amp;AA764)</f>
        <v/>
      </c>
      <c r="AK764" s="84">
        <f>C72</f>
        <v/>
      </c>
      <c r="AL764" s="84">
        <f>C78</f>
        <v/>
      </c>
      <c r="AM764" s="84">
        <f>MAX(0,AJ764-AK764)</f>
        <v/>
      </c>
      <c r="AN764" s="84">
        <f>IF(AM764=0,AH764,IF(AM764&gt;=AH764,0,AH764-AM764))</f>
        <v/>
      </c>
      <c r="AO764" s="84">
        <f>IF(AM764&gt;=AH764,AI764,AI764*AM764/AH764)</f>
        <v/>
      </c>
      <c r="AP764">
        <f t="array" ref="AP764">INDEX($AU$8:$BB$25,6*(R764-1)+MATCH(AB764,$AS$8:$AS$13,0),MATCH(O764,$AU$7:$BB$7,0))</f>
        <v/>
      </c>
    </row>
    <row r="765" ht="14.25" customHeight="1">
      <c r="O765" s="43" t="inlineStr">
        <is>
          <t>Q2’27</t>
        </is>
      </c>
      <c r="P765" s="43" t="n">
        <v>3</v>
      </c>
      <c r="Q765" s="43" t="n">
        <v>12</v>
      </c>
      <c r="R765" s="43" t="n">
        <v>2</v>
      </c>
      <c r="S765" s="45" t="n">
        <v>5099.294117647069</v>
      </c>
      <c r="T765">
        <f>(S764+S765+S766)=S4</f>
        <v/>
      </c>
      <c r="X765" s="84">
        <f>MAX(S762-S765,0)</f>
        <v/>
      </c>
      <c r="Y765" s="83" t="n">
        <v>0</v>
      </c>
      <c r="AA765" s="84" t="n">
        <v>10</v>
      </c>
      <c r="AB765" s="84" t="inlineStr">
        <is>
          <t>E</t>
        </is>
      </c>
      <c r="AC765" s="84" t="inlineStr">
        <is>
          <t>E+</t>
        </is>
      </c>
      <c r="AD765" s="84" t="n">
        <v>18</v>
      </c>
      <c r="AE765" s="84" t="n">
        <v>13</v>
      </c>
      <c r="AF765" s="84" t="n">
        <v>0.76</v>
      </c>
      <c r="AG765" s="84" t="n">
        <v>0.84</v>
      </c>
      <c r="AH765" s="84" t="n">
        <v>0</v>
      </c>
      <c r="AI765" s="84" t="n">
        <v>0</v>
      </c>
      <c r="AJ765" s="84">
        <f>SUMIFS(AH$8:AH$1039,$O$8:$O$1039,O765,$AB$8:$AB$1039,AB765,$R$8:$R$1039,R765,$AA$8:$AA$1039,"&lt;="&amp;AA765)</f>
        <v/>
      </c>
      <c r="AK765" s="84">
        <f>D72</f>
        <v/>
      </c>
      <c r="AL765" s="84">
        <f>D78</f>
        <v/>
      </c>
      <c r="AM765" s="84">
        <f>MAX(0,AJ765-AK765)</f>
        <v/>
      </c>
      <c r="AN765" s="84">
        <f>IF(AM765=0,AH765,IF(AM765&gt;=AH765,0,AH765-AM765))</f>
        <v/>
      </c>
      <c r="AO765" s="84">
        <f>IF(AM765&gt;=AH765,AI765,AI765*AM765/AH765)</f>
        <v/>
      </c>
      <c r="AP765">
        <f t="array" ref="AP765">INDEX($AU$8:$BB$25,6*(R765-1)+MATCH(AB765,$AS$8:$AS$13,0),MATCH(O765,$AU$7:$BB$7,0))</f>
        <v/>
      </c>
    </row>
    <row r="766" ht="14.25" customHeight="1">
      <c r="O766" s="43" t="inlineStr">
        <is>
          <t>Q2’27</t>
        </is>
      </c>
      <c r="P766" s="43" t="n">
        <v>3</v>
      </c>
      <c r="Q766" s="43" t="n">
        <v>12</v>
      </c>
      <c r="R766" s="43" t="n">
        <v>3</v>
      </c>
      <c r="S766" s="45" t="n">
        <v>3759.002352941165</v>
      </c>
      <c r="T766">
        <f>(S764+S765+S766)=S4</f>
        <v/>
      </c>
      <c r="X766" s="84">
        <f>MAX(S763-S766,0)</f>
        <v/>
      </c>
      <c r="Y766" s="83" t="n">
        <v>0</v>
      </c>
      <c r="AA766" s="84" t="n">
        <v>10</v>
      </c>
      <c r="AB766" s="84" t="inlineStr">
        <is>
          <t>E</t>
        </is>
      </c>
      <c r="AC766" s="84" t="inlineStr">
        <is>
          <t>E+</t>
        </is>
      </c>
      <c r="AD766" s="84" t="n">
        <v>18</v>
      </c>
      <c r="AE766" s="84" t="n">
        <v>13</v>
      </c>
      <c r="AF766" s="84" t="n">
        <v>0.76</v>
      </c>
      <c r="AG766" s="84" t="n">
        <v>0.84</v>
      </c>
      <c r="AH766" s="84" t="n">
        <v>0</v>
      </c>
      <c r="AI766" s="84" t="n">
        <v>0</v>
      </c>
      <c r="AJ766" s="84">
        <f>SUMIFS(AH$8:AH$1039,$O$8:$O$1039,O766,$AB$8:$AB$1039,AB766,$R$8:$R$1039,R766,$AA$8:$AA$1039,"&lt;="&amp;AA766)</f>
        <v/>
      </c>
      <c r="AK766" s="84">
        <f>E72</f>
        <v/>
      </c>
      <c r="AL766" s="84">
        <f>E78</f>
        <v/>
      </c>
      <c r="AM766" s="84">
        <f>MAX(0,AJ766-AK766)</f>
        <v/>
      </c>
      <c r="AN766" s="84">
        <f>IF(AM766=0,AH766,IF(AM766&gt;=AH766,0,AH766-AM766))</f>
        <v/>
      </c>
      <c r="AO766" s="84">
        <f>IF(AM766&gt;=AH766,AI766,AI766*AM766/AH766)</f>
        <v/>
      </c>
      <c r="AP766">
        <f t="array" ref="AP766">INDEX($AU$8:$BB$25,6*(R766-1)+MATCH(AB766,$AS$8:$AS$13,0),MATCH(O766,$AU$7:$BB$7,0))</f>
        <v/>
      </c>
    </row>
    <row r="767" ht="14.25" customHeight="1">
      <c r="O767" s="43" t="inlineStr">
        <is>
          <t>Q2’27</t>
        </is>
      </c>
      <c r="P767" s="43" t="n">
        <v>3</v>
      </c>
      <c r="Q767" s="43" t="n">
        <v>13</v>
      </c>
      <c r="R767" s="43" t="n">
        <v>1</v>
      </c>
      <c r="S767" s="45" t="n">
        <v>2141.703529411764</v>
      </c>
      <c r="T767">
        <f>(S767+S768+S769)=S4</f>
        <v/>
      </c>
      <c r="X767" s="84">
        <f>MAX(S764-S767,0)</f>
        <v/>
      </c>
      <c r="Y767" s="83" t="n">
        <v>0</v>
      </c>
      <c r="AA767" s="84" t="n">
        <v>2</v>
      </c>
      <c r="AB767" s="84" t="inlineStr">
        <is>
          <t>F</t>
        </is>
      </c>
      <c r="AC767" s="84" t="inlineStr">
        <is>
          <t>F+</t>
        </is>
      </c>
      <c r="AD767" s="84" t="n">
        <v>20</v>
      </c>
      <c r="AE767" s="84" t="n">
        <v>18</v>
      </c>
      <c r="AF767" s="84" t="n">
        <v>0.8</v>
      </c>
      <c r="AG767" s="84" t="n">
        <v>0.9</v>
      </c>
      <c r="AH767" s="84" t="n">
        <v>0</v>
      </c>
      <c r="AI767" s="84" t="n">
        <v>0</v>
      </c>
      <c r="AJ767" s="84">
        <f>SUMIFS(AH$8:AH$1039,$O$8:$O$1039,O767,$AB$8:$AB$1039,AB767,$R$8:$R$1039,R767,$AA$8:$AA$1039,"&lt;="&amp;AA767)</f>
        <v/>
      </c>
      <c r="AK767" s="84">
        <f>C73</f>
        <v/>
      </c>
      <c r="AL767" s="84">
        <f>C79</f>
        <v/>
      </c>
      <c r="AM767" s="84">
        <f>MAX(0,AJ767-AK767)</f>
        <v/>
      </c>
      <c r="AN767" s="84">
        <f>IF(AM767=0,AH767,IF(AM767&gt;=AH767,0,AH767-AM767))</f>
        <v/>
      </c>
      <c r="AO767" s="84">
        <f>IF(AM767&gt;=AH767,AI767,AI767*AM767/AH767)</f>
        <v/>
      </c>
      <c r="AP767">
        <f t="array" ref="AP767">INDEX($AU$8:$BB$25,6*(R767-1)+MATCH(AB767,$AS$8:$AS$13,0),MATCH(O767,$AU$7:$BB$7,0))</f>
        <v/>
      </c>
    </row>
    <row r="768" ht="14.25" customHeight="1">
      <c r="O768" s="43" t="inlineStr">
        <is>
          <t>Q2’27</t>
        </is>
      </c>
      <c r="P768" s="43" t="n">
        <v>3</v>
      </c>
      <c r="Q768" s="43" t="n">
        <v>13</v>
      </c>
      <c r="R768" s="43" t="n">
        <v>2</v>
      </c>
      <c r="S768" s="45" t="n">
        <v>5099.29411764707</v>
      </c>
      <c r="T768">
        <f>(S767+S768+S769)=S4</f>
        <v/>
      </c>
      <c r="X768" s="84">
        <f>MAX(S765-S768,0)</f>
        <v/>
      </c>
      <c r="Y768" s="83" t="n">
        <v>0</v>
      </c>
      <c r="AA768" s="84" t="n">
        <v>2</v>
      </c>
      <c r="AB768" s="84" t="inlineStr">
        <is>
          <t>F</t>
        </is>
      </c>
      <c r="AC768" s="84" t="inlineStr">
        <is>
          <t>F+</t>
        </is>
      </c>
      <c r="AD768" s="84" t="n">
        <v>20</v>
      </c>
      <c r="AE768" s="84" t="n">
        <v>18</v>
      </c>
      <c r="AF768" s="84" t="n">
        <v>0.8</v>
      </c>
      <c r="AG768" s="84" t="n">
        <v>0.9</v>
      </c>
      <c r="AH768" s="84" t="n">
        <v>0</v>
      </c>
      <c r="AI768" s="84" t="n">
        <v>0</v>
      </c>
      <c r="AJ768" s="84">
        <f>SUMIFS(AH$8:AH$1039,$O$8:$O$1039,O768,$AB$8:$AB$1039,AB768,$R$8:$R$1039,R768,$AA$8:$AA$1039,"&lt;="&amp;AA768)</f>
        <v/>
      </c>
      <c r="AK768" s="84">
        <f>D73</f>
        <v/>
      </c>
      <c r="AL768" s="84">
        <f>D79</f>
        <v/>
      </c>
      <c r="AM768" s="84">
        <f>MAX(0,AJ768-AK768)</f>
        <v/>
      </c>
      <c r="AN768" s="84">
        <f>IF(AM768=0,AH768,IF(AM768&gt;=AH768,0,AH768-AM768))</f>
        <v/>
      </c>
      <c r="AO768" s="84">
        <f>IF(AM768&gt;=AH768,AI768,AI768*AM768/AH768)</f>
        <v/>
      </c>
      <c r="AP768">
        <f t="array" ref="AP768">INDEX($AU$8:$BB$25,6*(R768-1)+MATCH(AB768,$AS$8:$AS$13,0),MATCH(O768,$AU$7:$BB$7,0))</f>
        <v/>
      </c>
    </row>
    <row r="769" ht="14.25" customHeight="1">
      <c r="O769" s="43" t="inlineStr">
        <is>
          <t>Q2’27</t>
        </is>
      </c>
      <c r="P769" s="43" t="n">
        <v>3</v>
      </c>
      <c r="Q769" s="43" t="n">
        <v>13</v>
      </c>
      <c r="R769" s="43" t="n">
        <v>3</v>
      </c>
      <c r="S769" s="45" t="n">
        <v>3759.002352941166</v>
      </c>
      <c r="T769">
        <f>(S767+S768+S769)=S4</f>
        <v/>
      </c>
      <c r="X769" s="84">
        <f>MAX(S766-S769,0)</f>
        <v/>
      </c>
      <c r="Y769" s="83" t="n">
        <v>0</v>
      </c>
      <c r="AA769" s="84" t="n">
        <v>2</v>
      </c>
      <c r="AB769" s="84" t="inlineStr">
        <is>
          <t>F</t>
        </is>
      </c>
      <c r="AC769" s="84" t="inlineStr">
        <is>
          <t>F+</t>
        </is>
      </c>
      <c r="AD769" s="84" t="n">
        <v>20</v>
      </c>
      <c r="AE769" s="84" t="n">
        <v>18</v>
      </c>
      <c r="AF769" s="84" t="n">
        <v>0.8</v>
      </c>
      <c r="AG769" s="84" t="n">
        <v>0.9</v>
      </c>
      <c r="AH769" s="84" t="n">
        <v>0</v>
      </c>
      <c r="AI769" s="84" t="n">
        <v>0</v>
      </c>
      <c r="AJ769" s="84">
        <f>SUMIFS(AH$8:AH$1039,$O$8:$O$1039,O769,$AB$8:$AB$1039,AB769,$R$8:$R$1039,R769,$AA$8:$AA$1039,"&lt;="&amp;AA769)</f>
        <v/>
      </c>
      <c r="AK769" s="84">
        <f>E73</f>
        <v/>
      </c>
      <c r="AL769" s="84">
        <f>E79</f>
        <v/>
      </c>
      <c r="AM769" s="84">
        <f>MAX(0,AJ769-AK769)</f>
        <v/>
      </c>
      <c r="AN769" s="84">
        <f>IF(AM769=0,AH769,IF(AM769&gt;=AH769,0,AH769-AM769))</f>
        <v/>
      </c>
      <c r="AO769" s="84">
        <f>IF(AM769&gt;=AH769,AI769,AI769*AM769/AH769)</f>
        <v/>
      </c>
      <c r="AP769">
        <f t="array" ref="AP769">INDEX($AU$8:$BB$25,6*(R769-1)+MATCH(AB769,$AS$8:$AS$13,0),MATCH(O769,$AU$7:$BB$7,0))</f>
        <v/>
      </c>
    </row>
    <row r="770" ht="14.25" customHeight="1">
      <c r="O770" s="43" t="inlineStr">
        <is>
          <t>Q2’27</t>
        </is>
      </c>
      <c r="P770" s="43" t="n">
        <v>3</v>
      </c>
      <c r="Q770" s="43" t="n">
        <v>14</v>
      </c>
      <c r="R770" s="43" t="n">
        <v>1</v>
      </c>
      <c r="S770" s="45" t="n">
        <v>2141.703529411763</v>
      </c>
      <c r="T770">
        <f>(S770+S771+S772)=S4</f>
        <v/>
      </c>
      <c r="X770" s="84">
        <f>MAX(S767-S770,0)</f>
        <v/>
      </c>
      <c r="Y770" s="83" t="n">
        <v>0</v>
      </c>
      <c r="AA770" s="84" t="n">
        <v>2</v>
      </c>
      <c r="AB770" s="84" t="inlineStr">
        <is>
          <t>C</t>
        </is>
      </c>
      <c r="AC770" s="84" t="inlineStr">
        <is>
          <t>C+</t>
        </is>
      </c>
      <c r="AD770" s="84" t="n">
        <v>12</v>
      </c>
      <c r="AE770" s="84" t="n">
        <v>11</v>
      </c>
      <c r="AF770" s="84" t="n">
        <v>0.8</v>
      </c>
      <c r="AG770" s="84" t="n">
        <v>0.86</v>
      </c>
      <c r="AH770" s="84" t="n">
        <v>0</v>
      </c>
      <c r="AI770" s="84" t="n">
        <v>0</v>
      </c>
      <c r="AJ770" s="84">
        <f>SUMIFS(AH$8:AH$1039,$O$8:$O$1039,O770,$AB$8:$AB$1039,AB770,$R$8:$R$1039,R770,$AA$8:$AA$1039,"&lt;="&amp;AA770)</f>
        <v/>
      </c>
      <c r="AK770" s="84">
        <f>C70</f>
        <v/>
      </c>
      <c r="AL770" s="84">
        <f>C76</f>
        <v/>
      </c>
      <c r="AM770" s="84">
        <f>MAX(0,AJ770-AK770)</f>
        <v/>
      </c>
      <c r="AN770" s="84">
        <f>IF(AM770=0,AH770,IF(AM770&gt;=AH770,0,AH770-AM770))</f>
        <v/>
      </c>
      <c r="AO770" s="84">
        <f>IF(AM770&gt;=AH770,AI770,AI770*AM770/AH770)</f>
        <v/>
      </c>
      <c r="AP770">
        <f t="array" ref="AP770">INDEX($AU$8:$BB$25,6*(R770-1)+MATCH(AB770,$AS$8:$AS$13,0),MATCH(O770,$AU$7:$BB$7,0))</f>
        <v/>
      </c>
    </row>
    <row r="771" ht="14.25" customHeight="1">
      <c r="O771" s="43" t="inlineStr">
        <is>
          <t>Q2’27</t>
        </is>
      </c>
      <c r="P771" s="43" t="n">
        <v>3</v>
      </c>
      <c r="Q771" s="43" t="n">
        <v>14</v>
      </c>
      <c r="R771" s="43" t="n">
        <v>2</v>
      </c>
      <c r="S771" s="45" t="n">
        <v>5099.294117647072</v>
      </c>
      <c r="T771">
        <f>(S770+S771+S772)=S4</f>
        <v/>
      </c>
      <c r="X771" s="84">
        <f>MAX(S768-S771,0)</f>
        <v/>
      </c>
      <c r="Y771" s="83" t="n">
        <v>0</v>
      </c>
      <c r="AA771" s="84" t="n">
        <v>2</v>
      </c>
      <c r="AB771" s="84" t="inlineStr">
        <is>
          <t>C</t>
        </is>
      </c>
      <c r="AC771" s="84" t="inlineStr">
        <is>
          <t>C+</t>
        </is>
      </c>
      <c r="AD771" s="84" t="n">
        <v>12</v>
      </c>
      <c r="AE771" s="84" t="n">
        <v>11</v>
      </c>
      <c r="AF771" s="84" t="n">
        <v>0.8</v>
      </c>
      <c r="AG771" s="84" t="n">
        <v>0.86</v>
      </c>
      <c r="AH771" s="84" t="n">
        <v>0</v>
      </c>
      <c r="AI771" s="84" t="n">
        <v>0</v>
      </c>
      <c r="AJ771" s="84">
        <f>SUMIFS(AH$8:AH$1039,$O$8:$O$1039,O771,$AB$8:$AB$1039,AB771,$R$8:$R$1039,R771,$AA$8:$AA$1039,"&lt;="&amp;AA771)</f>
        <v/>
      </c>
      <c r="AK771" s="84">
        <f>D70</f>
        <v/>
      </c>
      <c r="AL771" s="84">
        <f>D76</f>
        <v/>
      </c>
      <c r="AM771" s="84">
        <f>MAX(0,AJ771-AK771)</f>
        <v/>
      </c>
      <c r="AN771" s="84">
        <f>IF(AM771=0,AH771,IF(AM771&gt;=AH771,0,AH771-AM771))</f>
        <v/>
      </c>
      <c r="AO771" s="84">
        <f>IF(AM771&gt;=AH771,AI771,AI771*AM771/AH771)</f>
        <v/>
      </c>
      <c r="AP771">
        <f t="array" ref="AP771">INDEX($AU$8:$BB$25,6*(R771-1)+MATCH(AB771,$AS$8:$AS$13,0),MATCH(O771,$AU$7:$BB$7,0))</f>
        <v/>
      </c>
    </row>
    <row r="772" ht="14.25" customHeight="1">
      <c r="O772" s="43" t="inlineStr">
        <is>
          <t>Q2’27</t>
        </is>
      </c>
      <c r="P772" s="43" t="n">
        <v>3</v>
      </c>
      <c r="Q772" s="43" t="n">
        <v>14</v>
      </c>
      <c r="R772" s="43" t="n">
        <v>3</v>
      </c>
      <c r="S772" s="45" t="n">
        <v>3759.002352941165</v>
      </c>
      <c r="T772">
        <f>(S770+S771+S772)=S4</f>
        <v/>
      </c>
      <c r="X772" s="84">
        <f>MAX(S769-S772,0)</f>
        <v/>
      </c>
      <c r="Y772" s="83" t="n">
        <v>0</v>
      </c>
      <c r="AA772" s="84" t="n">
        <v>2</v>
      </c>
      <c r="AB772" s="84" t="inlineStr">
        <is>
          <t>C</t>
        </is>
      </c>
      <c r="AC772" s="84" t="inlineStr">
        <is>
          <t>C+</t>
        </is>
      </c>
      <c r="AD772" s="84" t="n">
        <v>12</v>
      </c>
      <c r="AE772" s="84" t="n">
        <v>11</v>
      </c>
      <c r="AF772" s="84" t="n">
        <v>0.8</v>
      </c>
      <c r="AG772" s="84" t="n">
        <v>0.86</v>
      </c>
      <c r="AH772" s="84" t="n">
        <v>0</v>
      </c>
      <c r="AI772" s="84" t="n">
        <v>0</v>
      </c>
      <c r="AJ772" s="84">
        <f>SUMIFS(AH$8:AH$1039,$O$8:$O$1039,O772,$AB$8:$AB$1039,AB772,$R$8:$R$1039,R772,$AA$8:$AA$1039,"&lt;="&amp;AA772)</f>
        <v/>
      </c>
      <c r="AK772" s="84">
        <f>E70</f>
        <v/>
      </c>
      <c r="AL772" s="84">
        <f>E76</f>
        <v/>
      </c>
      <c r="AM772" s="84">
        <f>MAX(0,AJ772-AK772)</f>
        <v/>
      </c>
      <c r="AN772" s="84">
        <f>IF(AM772=0,AH772,IF(AM772&gt;=AH772,0,AH772-AM772))</f>
        <v/>
      </c>
      <c r="AO772" s="84">
        <f>IF(AM772&gt;=AH772,AI772,AI772*AM772/AH772)</f>
        <v/>
      </c>
      <c r="AP772">
        <f t="array" ref="AP772">INDEX($AU$8:$BB$25,6*(R772-1)+MATCH(AB772,$AS$8:$AS$13,0),MATCH(O772,$AU$7:$BB$7,0))</f>
        <v/>
      </c>
    </row>
    <row r="773" ht="14.25" customHeight="1">
      <c r="O773" s="43" t="inlineStr">
        <is>
          <t>Q2’27</t>
        </is>
      </c>
      <c r="P773" s="43" t="n">
        <v>3</v>
      </c>
      <c r="Q773" s="43" t="n">
        <v>15</v>
      </c>
      <c r="R773" s="43" t="n">
        <v>1</v>
      </c>
      <c r="S773" s="45" t="n">
        <v>2141.703529411763</v>
      </c>
      <c r="T773">
        <f>(S773+S774+S775)=S4</f>
        <v/>
      </c>
      <c r="X773" s="84">
        <f>MAX(S770-S773,0)</f>
        <v/>
      </c>
      <c r="Y773" s="83" t="n">
        <v>0</v>
      </c>
      <c r="AA773" s="84" t="n">
        <v>2</v>
      </c>
      <c r="AB773" s="84" t="inlineStr">
        <is>
          <t>D</t>
        </is>
      </c>
      <c r="AC773" s="84" t="inlineStr">
        <is>
          <t>D+</t>
        </is>
      </c>
      <c r="AD773" s="84" t="n">
        <v>11</v>
      </c>
      <c r="AE773" s="84" t="n">
        <v>10</v>
      </c>
      <c r="AF773" s="84" t="n">
        <v>0.8</v>
      </c>
      <c r="AG773" s="84" t="n">
        <v>0.88</v>
      </c>
      <c r="AH773" s="84" t="n">
        <v>0</v>
      </c>
      <c r="AI773" s="84" t="n">
        <v>0</v>
      </c>
      <c r="AJ773" s="84">
        <f>SUMIFS(AH$8:AH$1039,$O$8:$O$1039,O773,$AB$8:$AB$1039,AB773,$R$8:$R$1039,R773,$AA$8:$AA$1039,"&lt;="&amp;AA773)</f>
        <v/>
      </c>
      <c r="AK773" s="84">
        <f>C71</f>
        <v/>
      </c>
      <c r="AL773" s="84">
        <f>C77</f>
        <v/>
      </c>
      <c r="AM773" s="84">
        <f>MAX(0,AJ773-AK773)</f>
        <v/>
      </c>
      <c r="AN773" s="84">
        <f>IF(AM773=0,AH773,IF(AM773&gt;=AH773,0,AH773-AM773))</f>
        <v/>
      </c>
      <c r="AO773" s="84">
        <f>IF(AM773&gt;=AH773,AI773,AI773*AM773/AH773)</f>
        <v/>
      </c>
      <c r="AP773">
        <f t="array" ref="AP773">INDEX($AU$8:$BB$25,6*(R773-1)+MATCH(AB773,$AS$8:$AS$13,0),MATCH(O773,$AU$7:$BB$7,0))</f>
        <v/>
      </c>
    </row>
    <row r="774" ht="14.25" customHeight="1">
      <c r="O774" s="43" t="inlineStr">
        <is>
          <t>Q2’27</t>
        </is>
      </c>
      <c r="P774" s="43" t="n">
        <v>3</v>
      </c>
      <c r="Q774" s="43" t="n">
        <v>15</v>
      </c>
      <c r="R774" s="43" t="n">
        <v>2</v>
      </c>
      <c r="S774" s="45" t="n">
        <v>5099.294117647072</v>
      </c>
      <c r="T774">
        <f>(S773+S774+S775)=S4</f>
        <v/>
      </c>
      <c r="X774" s="84">
        <f>MAX(S771-S774,0)</f>
        <v/>
      </c>
      <c r="Y774" s="83" t="n">
        <v>0</v>
      </c>
      <c r="AA774" s="84" t="n">
        <v>2</v>
      </c>
      <c r="AB774" s="84" t="inlineStr">
        <is>
          <t>D</t>
        </is>
      </c>
      <c r="AC774" s="84" t="inlineStr">
        <is>
          <t>D+</t>
        </is>
      </c>
      <c r="AD774" s="84" t="n">
        <v>11</v>
      </c>
      <c r="AE774" s="84" t="n">
        <v>10</v>
      </c>
      <c r="AF774" s="84" t="n">
        <v>0.8</v>
      </c>
      <c r="AG774" s="84" t="n">
        <v>0.88</v>
      </c>
      <c r="AH774" s="84" t="n">
        <v>0</v>
      </c>
      <c r="AI774" s="84" t="n">
        <v>0</v>
      </c>
      <c r="AJ774" s="84">
        <f>SUMIFS(AH$8:AH$1039,$O$8:$O$1039,O774,$AB$8:$AB$1039,AB774,$R$8:$R$1039,R774,$AA$8:$AA$1039,"&lt;="&amp;AA774)</f>
        <v/>
      </c>
      <c r="AK774" s="84">
        <f>D71</f>
        <v/>
      </c>
      <c r="AL774" s="84">
        <f>D77</f>
        <v/>
      </c>
      <c r="AM774" s="84">
        <f>MAX(0,AJ774-AK774)</f>
        <v/>
      </c>
      <c r="AN774" s="84">
        <f>IF(AM774=0,AH774,IF(AM774&gt;=AH774,0,AH774-AM774))</f>
        <v/>
      </c>
      <c r="AO774" s="84">
        <f>IF(AM774&gt;=AH774,AI774,AI774*AM774/AH774)</f>
        <v/>
      </c>
      <c r="AP774">
        <f t="array" ref="AP774">INDEX($AU$8:$BB$25,6*(R774-1)+MATCH(AB774,$AS$8:$AS$13,0),MATCH(O774,$AU$7:$BB$7,0))</f>
        <v/>
      </c>
    </row>
    <row r="775" ht="14.25" customHeight="1">
      <c r="O775" s="43" t="inlineStr">
        <is>
          <t>Q2’27</t>
        </is>
      </c>
      <c r="P775" s="43" t="n">
        <v>3</v>
      </c>
      <c r="Q775" s="43" t="n">
        <v>15</v>
      </c>
      <c r="R775" s="43" t="n">
        <v>3</v>
      </c>
      <c r="S775" s="45" t="n">
        <v>3759.002352941165</v>
      </c>
      <c r="T775">
        <f>(S773+S774+S775)=S4</f>
        <v/>
      </c>
      <c r="X775" s="84">
        <f>MAX(S772-S775,0)</f>
        <v/>
      </c>
      <c r="Y775" s="83" t="n">
        <v>0</v>
      </c>
      <c r="AA775" s="84" t="n">
        <v>2</v>
      </c>
      <c r="AB775" s="84" t="inlineStr">
        <is>
          <t>D</t>
        </is>
      </c>
      <c r="AC775" s="84" t="inlineStr">
        <is>
          <t>D+</t>
        </is>
      </c>
      <c r="AD775" s="84" t="n">
        <v>11</v>
      </c>
      <c r="AE775" s="84" t="n">
        <v>10</v>
      </c>
      <c r="AF775" s="84" t="n">
        <v>0.8</v>
      </c>
      <c r="AG775" s="84" t="n">
        <v>0.88</v>
      </c>
      <c r="AH775" s="84" t="n">
        <v>0</v>
      </c>
      <c r="AI775" s="84" t="n">
        <v>0</v>
      </c>
      <c r="AJ775" s="84">
        <f>SUMIFS(AH$8:AH$1039,$O$8:$O$1039,O775,$AB$8:$AB$1039,AB775,$R$8:$R$1039,R775,$AA$8:$AA$1039,"&lt;="&amp;AA775)</f>
        <v/>
      </c>
      <c r="AK775" s="84">
        <f>E71</f>
        <v/>
      </c>
      <c r="AL775" s="84">
        <f>E77</f>
        <v/>
      </c>
      <c r="AM775" s="84">
        <f>MAX(0,AJ775-AK775)</f>
        <v/>
      </c>
      <c r="AN775" s="84">
        <f>IF(AM775=0,AH775,IF(AM775&gt;=AH775,0,AH775-AM775))</f>
        <v/>
      </c>
      <c r="AO775" s="84">
        <f>IF(AM775&gt;=AH775,AI775,AI775*AM775/AH775)</f>
        <v/>
      </c>
      <c r="AP775">
        <f t="array" ref="AP775">INDEX($AU$8:$BB$25,6*(R775-1)+MATCH(AB775,$AS$8:$AS$13,0),MATCH(O775,$AU$7:$BB$7,0))</f>
        <v/>
      </c>
    </row>
    <row r="776" ht="14.25" customHeight="1">
      <c r="O776" s="43" t="inlineStr">
        <is>
          <t>Q2’27</t>
        </is>
      </c>
      <c r="P776" s="43" t="n">
        <v>3</v>
      </c>
      <c r="Q776" s="43" t="n">
        <v>16</v>
      </c>
      <c r="R776" s="43" t="n">
        <v>1</v>
      </c>
      <c r="S776" s="45" t="n">
        <v>2141.703529411763</v>
      </c>
      <c r="T776">
        <f>(S776+S777+S778)=S4</f>
        <v/>
      </c>
      <c r="X776" s="84">
        <f>MAX(S773-S776,0)</f>
        <v/>
      </c>
      <c r="Y776" s="83" t="n">
        <v>0</v>
      </c>
      <c r="AA776" s="84" t="n">
        <v>4</v>
      </c>
      <c r="AB776" s="84" t="inlineStr">
        <is>
          <t>C</t>
        </is>
      </c>
      <c r="AC776" s="84" t="inlineStr">
        <is>
          <t>C+</t>
        </is>
      </c>
      <c r="AD776" s="84" t="n">
        <v>25</v>
      </c>
      <c r="AE776" s="84" t="n">
        <v>20</v>
      </c>
      <c r="AF776" s="84" t="n">
        <v>0.8</v>
      </c>
      <c r="AG776" s="84" t="n">
        <v>0.86</v>
      </c>
      <c r="AH776" s="84" t="n">
        <v>0</v>
      </c>
      <c r="AI776" s="84" t="n">
        <v>0</v>
      </c>
      <c r="AJ776" s="84">
        <f>SUMIFS(AH$8:AH$1039,$O$8:$O$1039,O776,$AB$8:$AB$1039,AB776,$R$8:$R$1039,R776,$AA$8:$AA$1039,"&lt;="&amp;AA776)</f>
        <v/>
      </c>
      <c r="AK776" s="84">
        <f>C70</f>
        <v/>
      </c>
      <c r="AL776" s="84">
        <f>C76</f>
        <v/>
      </c>
      <c r="AM776" s="84">
        <f>MAX(0,AJ776-AK776)</f>
        <v/>
      </c>
      <c r="AN776" s="84">
        <f>IF(AM776=0,AH776,IF(AM776&gt;=AH776,0,AH776-AM776))</f>
        <v/>
      </c>
      <c r="AO776" s="84">
        <f>IF(AM776&gt;=AH776,AI776,AI776*AM776/AH776)</f>
        <v/>
      </c>
      <c r="AP776">
        <f t="array" ref="AP776">INDEX($AU$8:$BB$25,6*(R776-1)+MATCH(AB776,$AS$8:$AS$13,0),MATCH(O776,$AU$7:$BB$7,0))</f>
        <v/>
      </c>
    </row>
    <row r="777" ht="14.25" customHeight="1">
      <c r="O777" s="43" t="inlineStr">
        <is>
          <t>Q2’27</t>
        </is>
      </c>
      <c r="P777" s="43" t="n">
        <v>3</v>
      </c>
      <c r="Q777" s="43" t="n">
        <v>16</v>
      </c>
      <c r="R777" s="43" t="n">
        <v>2</v>
      </c>
      <c r="S777" s="45" t="n">
        <v>5099.294117647072</v>
      </c>
      <c r="T777">
        <f>(S776+S777+S778)=S4</f>
        <v/>
      </c>
      <c r="X777" s="84">
        <f>MAX(S774-S777,0)</f>
        <v/>
      </c>
      <c r="Y777" s="83" t="n">
        <v>0</v>
      </c>
      <c r="AA777" s="84" t="n">
        <v>4</v>
      </c>
      <c r="AB777" s="84" t="inlineStr">
        <is>
          <t>C</t>
        </is>
      </c>
      <c r="AC777" s="84" t="inlineStr">
        <is>
          <t>C+</t>
        </is>
      </c>
      <c r="AD777" s="84" t="n">
        <v>25</v>
      </c>
      <c r="AE777" s="84" t="n">
        <v>20</v>
      </c>
      <c r="AF777" s="84" t="n">
        <v>0.8</v>
      </c>
      <c r="AG777" s="84" t="n">
        <v>0.86</v>
      </c>
      <c r="AH777" s="84" t="n">
        <v>0</v>
      </c>
      <c r="AI777" s="84" t="n">
        <v>0</v>
      </c>
      <c r="AJ777" s="84">
        <f>SUMIFS(AH$8:AH$1039,$O$8:$O$1039,O777,$AB$8:$AB$1039,AB777,$R$8:$R$1039,R777,$AA$8:$AA$1039,"&lt;="&amp;AA777)</f>
        <v/>
      </c>
      <c r="AK777" s="84">
        <f>D70</f>
        <v/>
      </c>
      <c r="AL777" s="84">
        <f>D76</f>
        <v/>
      </c>
      <c r="AM777" s="84">
        <f>MAX(0,AJ777-AK777)</f>
        <v/>
      </c>
      <c r="AN777" s="84">
        <f>IF(AM777=0,AH777,IF(AM777&gt;=AH777,0,AH777-AM777))</f>
        <v/>
      </c>
      <c r="AO777" s="84">
        <f>IF(AM777&gt;=AH777,AI777,AI777*AM777/AH777)</f>
        <v/>
      </c>
      <c r="AP777">
        <f t="array" ref="AP777">INDEX($AU$8:$BB$25,6*(R777-1)+MATCH(AB777,$AS$8:$AS$13,0),MATCH(O777,$AU$7:$BB$7,0))</f>
        <v/>
      </c>
    </row>
    <row r="778" ht="14.25" customHeight="1">
      <c r="O778" s="43" t="inlineStr">
        <is>
          <t>Q2’27</t>
        </is>
      </c>
      <c r="P778" s="43" t="n">
        <v>3</v>
      </c>
      <c r="Q778" s="43" t="n">
        <v>16</v>
      </c>
      <c r="R778" s="43" t="n">
        <v>3</v>
      </c>
      <c r="S778" s="45" t="n">
        <v>3759.002352941165</v>
      </c>
      <c r="T778">
        <f>(S776+S777+S778)=S4</f>
        <v/>
      </c>
      <c r="X778" s="84">
        <f>MAX(S775-S778,0)</f>
        <v/>
      </c>
      <c r="Y778" s="83" t="n">
        <v>0</v>
      </c>
      <c r="AA778" s="84" t="n">
        <v>4</v>
      </c>
      <c r="AB778" s="84" t="inlineStr">
        <is>
          <t>C</t>
        </is>
      </c>
      <c r="AC778" s="84" t="inlineStr">
        <is>
          <t>C+</t>
        </is>
      </c>
      <c r="AD778" s="84" t="n">
        <v>25</v>
      </c>
      <c r="AE778" s="84" t="n">
        <v>20</v>
      </c>
      <c r="AF778" s="84" t="n">
        <v>0.8</v>
      </c>
      <c r="AG778" s="84" t="n">
        <v>0.86</v>
      </c>
      <c r="AH778" s="84" t="n">
        <v>0</v>
      </c>
      <c r="AI778" s="84" t="n">
        <v>0</v>
      </c>
      <c r="AJ778" s="84">
        <f>SUMIFS(AH$8:AH$1039,$O$8:$O$1039,O778,$AB$8:$AB$1039,AB778,$R$8:$R$1039,R778,$AA$8:$AA$1039,"&lt;="&amp;AA778)</f>
        <v/>
      </c>
      <c r="AK778" s="84">
        <f>E70</f>
        <v/>
      </c>
      <c r="AL778" s="84">
        <f>E76</f>
        <v/>
      </c>
      <c r="AM778" s="84">
        <f>MAX(0,AJ778-AK778)</f>
        <v/>
      </c>
      <c r="AN778" s="84">
        <f>IF(AM778=0,AH778,IF(AM778&gt;=AH778,0,AH778-AM778))</f>
        <v/>
      </c>
      <c r="AO778" s="84">
        <f>IF(AM778&gt;=AH778,AI778,AI778*AM778/AH778)</f>
        <v/>
      </c>
      <c r="AP778">
        <f t="array" ref="AP778">INDEX($AU$8:$BB$25,6*(R778-1)+MATCH(AB778,$AS$8:$AS$13,0),MATCH(O778,$AU$7:$BB$7,0))</f>
        <v/>
      </c>
    </row>
    <row r="779" ht="14.25" customHeight="1">
      <c r="O779" s="43" t="inlineStr">
        <is>
          <t>Q2’27</t>
        </is>
      </c>
      <c r="P779" s="43" t="n">
        <v>3</v>
      </c>
      <c r="Q779" s="43" t="n">
        <v>17</v>
      </c>
      <c r="R779" s="43" t="n">
        <v>1</v>
      </c>
      <c r="S779" s="45" t="n">
        <v>2141.703529411762</v>
      </c>
      <c r="T779">
        <f>(S779+S780+S781)=S4</f>
        <v/>
      </c>
      <c r="X779" s="84">
        <f>MAX(S776-S779,0)</f>
        <v/>
      </c>
      <c r="Y779" s="83" t="n">
        <v>0</v>
      </c>
      <c r="AA779" s="84" t="n">
        <v>1</v>
      </c>
      <c r="AB779" s="84" t="inlineStr">
        <is>
          <t>F</t>
        </is>
      </c>
      <c r="AC779" s="84" t="inlineStr">
        <is>
          <t>F+</t>
        </is>
      </c>
      <c r="AD779" s="84" t="n">
        <v>14</v>
      </c>
      <c r="AE779" s="84" t="n">
        <v>13</v>
      </c>
      <c r="AF779" s="84" t="n">
        <v>0.8</v>
      </c>
      <c r="AG779" s="84" t="n">
        <v>0.9</v>
      </c>
      <c r="AH779" s="84" t="n">
        <v>0</v>
      </c>
      <c r="AI779" s="84" t="n">
        <v>0</v>
      </c>
      <c r="AJ779" s="84">
        <f>SUMIFS(AH$8:AH$1039,$O$8:$O$1039,O779,$AB$8:$AB$1039,AB779,$R$8:$R$1039,R779,$AA$8:$AA$1039,"&lt;="&amp;AA779)</f>
        <v/>
      </c>
      <c r="AK779" s="84">
        <f>C73</f>
        <v/>
      </c>
      <c r="AL779" s="84">
        <f>C79</f>
        <v/>
      </c>
      <c r="AM779" s="84">
        <f>MAX(0,AJ779-AK779)</f>
        <v/>
      </c>
      <c r="AN779" s="84">
        <f>IF(AM779=0,AH779,IF(AM779&gt;=AH779,0,AH779-AM779))</f>
        <v/>
      </c>
      <c r="AO779" s="84">
        <f>IF(AM779&gt;=AH779,AI779,AI779*AM779/AH779)</f>
        <v/>
      </c>
      <c r="AP779">
        <f t="array" ref="AP779">INDEX($AU$8:$BB$25,6*(R779-1)+MATCH(AB779,$AS$8:$AS$13,0),MATCH(O779,$AU$7:$BB$7,0))</f>
        <v/>
      </c>
    </row>
    <row r="780" ht="14.25" customHeight="1">
      <c r="O780" s="43" t="inlineStr">
        <is>
          <t>Q2’27</t>
        </is>
      </c>
      <c r="P780" s="43" t="n">
        <v>3</v>
      </c>
      <c r="Q780" s="43" t="n">
        <v>17</v>
      </c>
      <c r="R780" s="43" t="n">
        <v>2</v>
      </c>
      <c r="S780" s="45" t="n">
        <v>5099.294117647073</v>
      </c>
      <c r="T780">
        <f>(S779+S780+S781)=S4</f>
        <v/>
      </c>
      <c r="X780" s="84">
        <f>MAX(S777-S780,0)</f>
        <v/>
      </c>
      <c r="Y780" s="83" t="n">
        <v>0</v>
      </c>
      <c r="AA780" s="84" t="n">
        <v>1</v>
      </c>
      <c r="AB780" s="84" t="inlineStr">
        <is>
          <t>F</t>
        </is>
      </c>
      <c r="AC780" s="84" t="inlineStr">
        <is>
          <t>F+</t>
        </is>
      </c>
      <c r="AD780" s="84" t="n">
        <v>14</v>
      </c>
      <c r="AE780" s="84" t="n">
        <v>13</v>
      </c>
      <c r="AF780" s="84" t="n">
        <v>0.8</v>
      </c>
      <c r="AG780" s="84" t="n">
        <v>0.9</v>
      </c>
      <c r="AH780" s="84" t="n">
        <v>0</v>
      </c>
      <c r="AI780" s="84" t="n">
        <v>0</v>
      </c>
      <c r="AJ780" s="84">
        <f>SUMIFS(AH$8:AH$1039,$O$8:$O$1039,O780,$AB$8:$AB$1039,AB780,$R$8:$R$1039,R780,$AA$8:$AA$1039,"&lt;="&amp;AA780)</f>
        <v/>
      </c>
      <c r="AK780" s="84">
        <f>D73</f>
        <v/>
      </c>
      <c r="AL780" s="84">
        <f>D79</f>
        <v/>
      </c>
      <c r="AM780" s="84">
        <f>MAX(0,AJ780-AK780)</f>
        <v/>
      </c>
      <c r="AN780" s="84">
        <f>IF(AM780=0,AH780,IF(AM780&gt;=AH780,0,AH780-AM780))</f>
        <v/>
      </c>
      <c r="AO780" s="84">
        <f>IF(AM780&gt;=AH780,AI780,AI780*AM780/AH780)</f>
        <v/>
      </c>
      <c r="AP780">
        <f t="array" ref="AP780">INDEX($AU$8:$BB$25,6*(R780-1)+MATCH(AB780,$AS$8:$AS$13,0),MATCH(O780,$AU$7:$BB$7,0))</f>
        <v/>
      </c>
    </row>
    <row r="781" ht="14.25" customHeight="1">
      <c r="O781" s="43" t="inlineStr">
        <is>
          <t>Q2’27</t>
        </is>
      </c>
      <c r="P781" s="43" t="n">
        <v>3</v>
      </c>
      <c r="Q781" s="43" t="n">
        <v>17</v>
      </c>
      <c r="R781" s="43" t="n">
        <v>3</v>
      </c>
      <c r="S781" s="45" t="n">
        <v>3759.002352941165</v>
      </c>
      <c r="T781">
        <f>(S779+S780+S781)=S4</f>
        <v/>
      </c>
      <c r="X781" s="84">
        <f>MAX(S778-S781,0)</f>
        <v/>
      </c>
      <c r="Y781" s="83" t="n">
        <v>0</v>
      </c>
      <c r="AA781" s="84" t="n">
        <v>1</v>
      </c>
      <c r="AB781" s="84" t="inlineStr">
        <is>
          <t>F</t>
        </is>
      </c>
      <c r="AC781" s="84" t="inlineStr">
        <is>
          <t>F+</t>
        </is>
      </c>
      <c r="AD781" s="84" t="n">
        <v>14</v>
      </c>
      <c r="AE781" s="84" t="n">
        <v>13</v>
      </c>
      <c r="AF781" s="84" t="n">
        <v>0.8</v>
      </c>
      <c r="AG781" s="84" t="n">
        <v>0.9</v>
      </c>
      <c r="AH781" s="84" t="n">
        <v>0</v>
      </c>
      <c r="AI781" s="84" t="n">
        <v>0</v>
      </c>
      <c r="AJ781" s="84">
        <f>SUMIFS(AH$8:AH$1039,$O$8:$O$1039,O781,$AB$8:$AB$1039,AB781,$R$8:$R$1039,R781,$AA$8:$AA$1039,"&lt;="&amp;AA781)</f>
        <v/>
      </c>
      <c r="AK781" s="84">
        <f>E73</f>
        <v/>
      </c>
      <c r="AL781" s="84">
        <f>E79</f>
        <v/>
      </c>
      <c r="AM781" s="84">
        <f>MAX(0,AJ781-AK781)</f>
        <v/>
      </c>
      <c r="AN781" s="84">
        <f>IF(AM781=0,AH781,IF(AM781&gt;=AH781,0,AH781-AM781))</f>
        <v/>
      </c>
      <c r="AO781" s="84">
        <f>IF(AM781&gt;=AH781,AI781,AI781*AM781/AH781)</f>
        <v/>
      </c>
      <c r="AP781">
        <f t="array" ref="AP781">INDEX($AU$8:$BB$25,6*(R781-1)+MATCH(AB781,$AS$8:$AS$13,0),MATCH(O781,$AU$7:$BB$7,0))</f>
        <v/>
      </c>
    </row>
    <row r="782" ht="14.25" customHeight="1">
      <c r="O782" s="43" t="inlineStr">
        <is>
          <t>Q3’27</t>
        </is>
      </c>
      <c r="P782" s="43" t="n">
        <v>1</v>
      </c>
      <c r="Q782" s="43" t="n">
        <v>1</v>
      </c>
      <c r="R782" s="43" t="n">
        <v>1</v>
      </c>
      <c r="S782" s="45" t="n">
        <v>2558.578353576246</v>
      </c>
      <c r="T782">
        <f>(S782+S783+S784)=T2</f>
        <v/>
      </c>
      <c r="X782" s="84" t="n">
        <v>0</v>
      </c>
      <c r="Y782" s="83" t="n">
        <v>0</v>
      </c>
      <c r="AA782" s="84" t="n">
        <v>4</v>
      </c>
      <c r="AB782" s="84" t="inlineStr">
        <is>
          <t>D</t>
        </is>
      </c>
      <c r="AC782" s="84" t="inlineStr">
        <is>
          <t>D+</t>
        </is>
      </c>
      <c r="AD782" s="84" t="n">
        <v>14</v>
      </c>
      <c r="AE782" s="84" t="n">
        <v>12</v>
      </c>
      <c r="AF782" s="84" t="n">
        <v>0.8</v>
      </c>
      <c r="AG782" s="84" t="n">
        <v>0.88</v>
      </c>
      <c r="AH782" s="84" t="n">
        <v>0</v>
      </c>
      <c r="AI782" s="84" t="n">
        <v>0</v>
      </c>
      <c r="AJ782" s="84">
        <f>SUMIFS(AH$8:AH$1039,$O$8:$O$1039,O782,$AB$8:$AB$1039,AB782,$R$8:$R$1039,R782,$AA$8:$AA$1039,"&lt;="&amp;AA782)</f>
        <v/>
      </c>
      <c r="AK782" s="84">
        <f>C83</f>
        <v/>
      </c>
      <c r="AL782" s="84">
        <f>C89</f>
        <v/>
      </c>
      <c r="AM782" s="84">
        <f>MAX(0,AJ782-AK782)</f>
        <v/>
      </c>
      <c r="AN782" s="84">
        <f>IF(AM782=0,AH782,IF(AM782&gt;=AH782,0,AH782-AM782))</f>
        <v/>
      </c>
      <c r="AO782" s="84">
        <f>IF(AM782&gt;=AH782,AI782,AI782*AM782/AH782)</f>
        <v/>
      </c>
      <c r="AP782">
        <f t="array" ref="AP782">INDEX($AU$8:$BB$25,6*(R782-1)+MATCH(AB782,$AS$8:$AS$13,0),MATCH(O782,$AU$7:$BB$7,0))</f>
        <v/>
      </c>
    </row>
    <row r="783" ht="14.25" customHeight="1">
      <c r="O783" s="43" t="inlineStr">
        <is>
          <t>Q3’27</t>
        </is>
      </c>
      <c r="P783" s="43" t="n">
        <v>1</v>
      </c>
      <c r="Q783" s="43" t="n">
        <v>1</v>
      </c>
      <c r="R783" s="43" t="n">
        <v>2</v>
      </c>
      <c r="S783" s="45" t="n">
        <v>1031.111001031996</v>
      </c>
      <c r="T783">
        <f>(S782+S783+S784)=T2</f>
        <v/>
      </c>
      <c r="X783" s="84" t="n">
        <v>0</v>
      </c>
      <c r="Y783" s="83" t="n">
        <v>0</v>
      </c>
      <c r="AA783" s="84" t="n">
        <v>4</v>
      </c>
      <c r="AB783" s="84" t="inlineStr">
        <is>
          <t>D</t>
        </is>
      </c>
      <c r="AC783" s="84" t="inlineStr">
        <is>
          <t>D+</t>
        </is>
      </c>
      <c r="AD783" s="84" t="n">
        <v>14</v>
      </c>
      <c r="AE783" s="84" t="n">
        <v>12</v>
      </c>
      <c r="AF783" s="84" t="n">
        <v>0.8</v>
      </c>
      <c r="AG783" s="84" t="n">
        <v>0.88</v>
      </c>
      <c r="AH783" s="84" t="n">
        <v>0</v>
      </c>
      <c r="AI783" s="84" t="n">
        <v>0</v>
      </c>
      <c r="AJ783" s="84">
        <f>SUMIFS(AH$8:AH$1039,$O$8:$O$1039,O783,$AB$8:$AB$1039,AB783,$R$8:$R$1039,R783,$AA$8:$AA$1039,"&lt;="&amp;AA783)</f>
        <v/>
      </c>
      <c r="AK783" s="84">
        <f>D83</f>
        <v/>
      </c>
      <c r="AL783" s="84">
        <f>D89</f>
        <v/>
      </c>
      <c r="AM783" s="84">
        <f>MAX(0,AJ783-AK783)</f>
        <v/>
      </c>
      <c r="AN783" s="84">
        <f>IF(AM783=0,AH783,IF(AM783&gt;=AH783,0,AH783-AM783))</f>
        <v/>
      </c>
      <c r="AO783" s="84">
        <f>IF(AM783&gt;=AH783,AI783,AI783*AM783/AH783)</f>
        <v/>
      </c>
      <c r="AP783">
        <f t="array" ref="AP783">INDEX($AU$8:$BB$25,6*(R783-1)+MATCH(AB783,$AS$8:$AS$13,0),MATCH(O783,$AU$7:$BB$7,0))</f>
        <v/>
      </c>
    </row>
    <row r="784" ht="14.25" customHeight="1">
      <c r="O784" s="43" t="inlineStr">
        <is>
          <t>Q3’27</t>
        </is>
      </c>
      <c r="P784" s="43" t="n">
        <v>1</v>
      </c>
      <c r="Q784" s="43" t="n">
        <v>1</v>
      </c>
      <c r="R784" s="43" t="n">
        <v>3</v>
      </c>
      <c r="S784" s="45" t="n">
        <v>410.310645391758</v>
      </c>
      <c r="T784">
        <f>(S782+S783+S784)=T2</f>
        <v/>
      </c>
      <c r="X784" s="84" t="n">
        <v>0</v>
      </c>
      <c r="Y784" s="83" t="n">
        <v>0</v>
      </c>
      <c r="AA784" s="84" t="n">
        <v>4</v>
      </c>
      <c r="AB784" s="84" t="inlineStr">
        <is>
          <t>D</t>
        </is>
      </c>
      <c r="AC784" s="84" t="inlineStr">
        <is>
          <t>D+</t>
        </is>
      </c>
      <c r="AD784" s="84" t="n">
        <v>14</v>
      </c>
      <c r="AE784" s="84" t="n">
        <v>12</v>
      </c>
      <c r="AF784" s="84" t="n">
        <v>0.8</v>
      </c>
      <c r="AG784" s="84" t="n">
        <v>0.88</v>
      </c>
      <c r="AH784" s="84" t="n">
        <v>0</v>
      </c>
      <c r="AI784" s="84" t="n">
        <v>0</v>
      </c>
      <c r="AJ784" s="84">
        <f>SUMIFS(AH$8:AH$1039,$O$8:$O$1039,O784,$AB$8:$AB$1039,AB784,$R$8:$R$1039,R784,$AA$8:$AA$1039,"&lt;="&amp;AA784)</f>
        <v/>
      </c>
      <c r="AK784" s="84">
        <f>E83</f>
        <v/>
      </c>
      <c r="AL784" s="84">
        <f>E89</f>
        <v/>
      </c>
      <c r="AM784" s="84">
        <f>MAX(0,AJ784-AK784)</f>
        <v/>
      </c>
      <c r="AN784" s="84">
        <f>IF(AM784=0,AH784,IF(AM784&gt;=AH784,0,AH784-AM784))</f>
        <v/>
      </c>
      <c r="AO784" s="84">
        <f>IF(AM784&gt;=AH784,AI784,AI784*AM784/AH784)</f>
        <v/>
      </c>
      <c r="AP784">
        <f t="array" ref="AP784">INDEX($AU$8:$BB$25,6*(R784-1)+MATCH(AB784,$AS$8:$AS$13,0),MATCH(O784,$AU$7:$BB$7,0))</f>
        <v/>
      </c>
    </row>
    <row r="785" ht="14.25" customHeight="1">
      <c r="O785" s="43" t="inlineStr">
        <is>
          <t>Q3’27</t>
        </is>
      </c>
      <c r="P785" s="43" t="n">
        <v>1</v>
      </c>
      <c r="Q785" s="43" t="n">
        <v>2</v>
      </c>
      <c r="R785" s="43" t="n">
        <v>1</v>
      </c>
      <c r="S785" s="45" t="n">
        <v>2558.578353576246</v>
      </c>
      <c r="T785">
        <f>(S785+S786+S787)=T2</f>
        <v/>
      </c>
      <c r="X785" s="84">
        <f>MAX(S782-S785,0)</f>
        <v/>
      </c>
      <c r="Y785" s="83" t="n">
        <v>0</v>
      </c>
      <c r="AA785" s="84" t="n">
        <v>10</v>
      </c>
      <c r="AB785" s="84" t="inlineStr">
        <is>
          <t>F</t>
        </is>
      </c>
      <c r="AC785" s="84" t="inlineStr">
        <is>
          <t>F+</t>
        </is>
      </c>
      <c r="AD785" s="84" t="n">
        <v>25</v>
      </c>
      <c r="AE785" s="84" t="n">
        <v>21</v>
      </c>
      <c r="AF785" s="84" t="n">
        <v>0.8</v>
      </c>
      <c r="AG785" s="84" t="n">
        <v>0.9</v>
      </c>
      <c r="AH785" s="84" t="n">
        <v>0</v>
      </c>
      <c r="AI785" s="84" t="n">
        <v>0</v>
      </c>
      <c r="AJ785" s="84">
        <f>SUMIFS(AH$8:AH$1039,$O$8:$O$1039,O785,$AB$8:$AB$1039,AB785,$R$8:$R$1039,R785,$AA$8:$AA$1039,"&lt;="&amp;AA785)</f>
        <v/>
      </c>
      <c r="AK785" s="84">
        <f>C85</f>
        <v/>
      </c>
      <c r="AL785" s="84">
        <f>C91</f>
        <v/>
      </c>
      <c r="AM785" s="84">
        <f>MAX(0,AJ785-AK785)</f>
        <v/>
      </c>
      <c r="AN785" s="84">
        <f>IF(AM785=0,AH785,IF(AM785&gt;=AH785,0,AH785-AM785))</f>
        <v/>
      </c>
      <c r="AO785" s="84">
        <f>IF(AM785&gt;=AH785,AI785,AI785*AM785/AH785)</f>
        <v/>
      </c>
      <c r="AP785">
        <f t="array" ref="AP785">INDEX($AU$8:$BB$25,6*(R785-1)+MATCH(AB785,$AS$8:$AS$13,0),MATCH(O785,$AU$7:$BB$7,0))</f>
        <v/>
      </c>
    </row>
    <row r="786" ht="14.25" customHeight="1">
      <c r="O786" s="43" t="inlineStr">
        <is>
          <t>Q3’27</t>
        </is>
      </c>
      <c r="P786" s="43" t="n">
        <v>1</v>
      </c>
      <c r="Q786" s="43" t="n">
        <v>2</v>
      </c>
      <c r="R786" s="43" t="n">
        <v>2</v>
      </c>
      <c r="S786" s="45" t="n">
        <v>1031.111001031996</v>
      </c>
      <c r="T786">
        <f>(S785+S786+S787)=T2</f>
        <v/>
      </c>
      <c r="X786" s="84">
        <f>MAX(S783-S786,0)</f>
        <v/>
      </c>
      <c r="Y786" s="83" t="n">
        <v>0</v>
      </c>
      <c r="AA786" s="84" t="n">
        <v>10</v>
      </c>
      <c r="AB786" s="84" t="inlineStr">
        <is>
          <t>F</t>
        </is>
      </c>
      <c r="AC786" s="84" t="inlineStr">
        <is>
          <t>F+</t>
        </is>
      </c>
      <c r="AD786" s="84" t="n">
        <v>25</v>
      </c>
      <c r="AE786" s="84" t="n">
        <v>21</v>
      </c>
      <c r="AF786" s="84" t="n">
        <v>0.8</v>
      </c>
      <c r="AG786" s="84" t="n">
        <v>0.9</v>
      </c>
      <c r="AH786" s="84" t="n">
        <v>0</v>
      </c>
      <c r="AI786" s="84" t="n">
        <v>0</v>
      </c>
      <c r="AJ786" s="84">
        <f>SUMIFS(AH$8:AH$1039,$O$8:$O$1039,O786,$AB$8:$AB$1039,AB786,$R$8:$R$1039,R786,$AA$8:$AA$1039,"&lt;="&amp;AA786)</f>
        <v/>
      </c>
      <c r="AK786" s="84">
        <f>D85</f>
        <v/>
      </c>
      <c r="AL786" s="84">
        <f>D91</f>
        <v/>
      </c>
      <c r="AM786" s="84">
        <f>MAX(0,AJ786-AK786)</f>
        <v/>
      </c>
      <c r="AN786" s="84">
        <f>IF(AM786=0,AH786,IF(AM786&gt;=AH786,0,AH786-AM786))</f>
        <v/>
      </c>
      <c r="AO786" s="84">
        <f>IF(AM786&gt;=AH786,AI786,AI786*AM786/AH786)</f>
        <v/>
      </c>
      <c r="AP786">
        <f t="array" ref="AP786">INDEX($AU$8:$BB$25,6*(R786-1)+MATCH(AB786,$AS$8:$AS$13,0),MATCH(O786,$AU$7:$BB$7,0))</f>
        <v/>
      </c>
    </row>
    <row r="787" ht="14.25" customHeight="1">
      <c r="O787" s="43" t="inlineStr">
        <is>
          <t>Q3’27</t>
        </is>
      </c>
      <c r="P787" s="43" t="n">
        <v>1</v>
      </c>
      <c r="Q787" s="43" t="n">
        <v>2</v>
      </c>
      <c r="R787" s="43" t="n">
        <v>3</v>
      </c>
      <c r="S787" s="45" t="n">
        <v>410.310645391758</v>
      </c>
      <c r="T787">
        <f>(S785+S786+S787)=T2</f>
        <v/>
      </c>
      <c r="X787" s="84">
        <f>MAX(S784-S787,0)</f>
        <v/>
      </c>
      <c r="Y787" s="83" t="n">
        <v>0</v>
      </c>
      <c r="AA787" s="84" t="n">
        <v>10</v>
      </c>
      <c r="AB787" s="84" t="inlineStr">
        <is>
          <t>F</t>
        </is>
      </c>
      <c r="AC787" s="84" t="inlineStr">
        <is>
          <t>F+</t>
        </is>
      </c>
      <c r="AD787" s="84" t="n">
        <v>25</v>
      </c>
      <c r="AE787" s="84" t="n">
        <v>21</v>
      </c>
      <c r="AF787" s="84" t="n">
        <v>0.8</v>
      </c>
      <c r="AG787" s="84" t="n">
        <v>0.9</v>
      </c>
      <c r="AH787" s="84" t="n">
        <v>0</v>
      </c>
      <c r="AI787" s="84" t="n">
        <v>0</v>
      </c>
      <c r="AJ787" s="84">
        <f>SUMIFS(AH$8:AH$1039,$O$8:$O$1039,O787,$AB$8:$AB$1039,AB787,$R$8:$R$1039,R787,$AA$8:$AA$1039,"&lt;="&amp;AA787)</f>
        <v/>
      </c>
      <c r="AK787" s="84">
        <f>E85</f>
        <v/>
      </c>
      <c r="AL787" s="84">
        <f>E91</f>
        <v/>
      </c>
      <c r="AM787" s="84">
        <f>MAX(0,AJ787-AK787)</f>
        <v/>
      </c>
      <c r="AN787" s="84">
        <f>IF(AM787=0,AH787,IF(AM787&gt;=AH787,0,AH787-AM787))</f>
        <v/>
      </c>
      <c r="AO787" s="84">
        <f>IF(AM787&gt;=AH787,AI787,AI787*AM787/AH787)</f>
        <v/>
      </c>
      <c r="AP787">
        <f t="array" ref="AP787">INDEX($AU$8:$BB$25,6*(R787-1)+MATCH(AB787,$AS$8:$AS$13,0),MATCH(O787,$AU$7:$BB$7,0))</f>
        <v/>
      </c>
    </row>
    <row r="788" ht="14.25" customHeight="1">
      <c r="O788" s="43" t="inlineStr">
        <is>
          <t>Q3’27</t>
        </is>
      </c>
      <c r="P788" s="43" t="n">
        <v>1</v>
      </c>
      <c r="Q788" s="43" t="n">
        <v>3</v>
      </c>
      <c r="R788" s="43" t="n">
        <v>1</v>
      </c>
      <c r="S788" s="45" t="n">
        <v>2558.578353576246</v>
      </c>
      <c r="T788">
        <f>(S788+S789+S790)=T2</f>
        <v/>
      </c>
      <c r="X788" s="84">
        <f>MAX(S785-S788,0)</f>
        <v/>
      </c>
      <c r="Y788" s="83" t="n">
        <v>0</v>
      </c>
      <c r="AA788" s="84" t="n">
        <v>8</v>
      </c>
      <c r="AB788" s="84" t="inlineStr">
        <is>
          <t>F</t>
        </is>
      </c>
      <c r="AC788" s="84" t="inlineStr">
        <is>
          <t>F+</t>
        </is>
      </c>
      <c r="AD788" s="84" t="n">
        <v>27</v>
      </c>
      <c r="AE788" s="84" t="n">
        <v>23</v>
      </c>
      <c r="AF788" s="84" t="n">
        <v>0.8</v>
      </c>
      <c r="AG788" s="84" t="n">
        <v>0.9</v>
      </c>
      <c r="AH788" s="84" t="n">
        <v>0</v>
      </c>
      <c r="AI788" s="84" t="n">
        <v>0</v>
      </c>
      <c r="AJ788" s="84">
        <f>SUMIFS(AH$8:AH$1039,$O$8:$O$1039,O788,$AB$8:$AB$1039,AB788,$R$8:$R$1039,R788,$AA$8:$AA$1039,"&lt;="&amp;AA788)</f>
        <v/>
      </c>
      <c r="AK788" s="84">
        <f>C85</f>
        <v/>
      </c>
      <c r="AL788" s="84">
        <f>C91</f>
        <v/>
      </c>
      <c r="AM788" s="84">
        <f>MAX(0,AJ788-AK788)</f>
        <v/>
      </c>
      <c r="AN788" s="84">
        <f>IF(AM788=0,AH788,IF(AM788&gt;=AH788,0,AH788-AM788))</f>
        <v/>
      </c>
      <c r="AO788" s="84">
        <f>IF(AM788&gt;=AH788,AI788,AI788*AM788/AH788)</f>
        <v/>
      </c>
      <c r="AP788">
        <f t="array" ref="AP788">INDEX($AU$8:$BB$25,6*(R788-1)+MATCH(AB788,$AS$8:$AS$13,0),MATCH(O788,$AU$7:$BB$7,0))</f>
        <v/>
      </c>
    </row>
    <row r="789" ht="14.25" customHeight="1">
      <c r="O789" s="43" t="inlineStr">
        <is>
          <t>Q3’27</t>
        </is>
      </c>
      <c r="P789" s="43" t="n">
        <v>1</v>
      </c>
      <c r="Q789" s="43" t="n">
        <v>3</v>
      </c>
      <c r="R789" s="43" t="n">
        <v>2</v>
      </c>
      <c r="S789" s="45" t="n">
        <v>1031.111001031996</v>
      </c>
      <c r="T789">
        <f>(S788+S789+S790)=T2</f>
        <v/>
      </c>
      <c r="X789" s="84">
        <f>MAX(S786-S789,0)</f>
        <v/>
      </c>
      <c r="Y789" s="83" t="n">
        <v>0</v>
      </c>
      <c r="AA789" s="84" t="n">
        <v>8</v>
      </c>
      <c r="AB789" s="84" t="inlineStr">
        <is>
          <t>F</t>
        </is>
      </c>
      <c r="AC789" s="84" t="inlineStr">
        <is>
          <t>F+</t>
        </is>
      </c>
      <c r="AD789" s="84" t="n">
        <v>27</v>
      </c>
      <c r="AE789" s="84" t="n">
        <v>23</v>
      </c>
      <c r="AF789" s="84" t="n">
        <v>0.8</v>
      </c>
      <c r="AG789" s="84" t="n">
        <v>0.9</v>
      </c>
      <c r="AH789" s="84" t="n">
        <v>0</v>
      </c>
      <c r="AI789" s="84" t="n">
        <v>0</v>
      </c>
      <c r="AJ789" s="84">
        <f>SUMIFS(AH$8:AH$1039,$O$8:$O$1039,O789,$AB$8:$AB$1039,AB789,$R$8:$R$1039,R789,$AA$8:$AA$1039,"&lt;="&amp;AA789)</f>
        <v/>
      </c>
      <c r="AK789" s="84">
        <f>D85</f>
        <v/>
      </c>
      <c r="AL789" s="84">
        <f>D91</f>
        <v/>
      </c>
      <c r="AM789" s="84">
        <f>MAX(0,AJ789-AK789)</f>
        <v/>
      </c>
      <c r="AN789" s="84">
        <f>IF(AM789=0,AH789,IF(AM789&gt;=AH789,0,AH789-AM789))</f>
        <v/>
      </c>
      <c r="AO789" s="84">
        <f>IF(AM789&gt;=AH789,AI789,AI789*AM789/AH789)</f>
        <v/>
      </c>
      <c r="AP789">
        <f t="array" ref="AP789">INDEX($AU$8:$BB$25,6*(R789-1)+MATCH(AB789,$AS$8:$AS$13,0),MATCH(O789,$AU$7:$BB$7,0))</f>
        <v/>
      </c>
    </row>
    <row r="790" ht="14.25" customHeight="1">
      <c r="O790" s="43" t="inlineStr">
        <is>
          <t>Q3’27</t>
        </is>
      </c>
      <c r="P790" s="43" t="n">
        <v>1</v>
      </c>
      <c r="Q790" s="43" t="n">
        <v>3</v>
      </c>
      <c r="R790" s="43" t="n">
        <v>3</v>
      </c>
      <c r="S790" s="45" t="n">
        <v>410.310645391758</v>
      </c>
      <c r="T790">
        <f>(S788+S789+S790)=T2</f>
        <v/>
      </c>
      <c r="X790" s="84">
        <f>MAX(S787-S790,0)</f>
        <v/>
      </c>
      <c r="Y790" s="83" t="n">
        <v>0</v>
      </c>
      <c r="AA790" s="84" t="n">
        <v>8</v>
      </c>
      <c r="AB790" s="84" t="inlineStr">
        <is>
          <t>F</t>
        </is>
      </c>
      <c r="AC790" s="84" t="inlineStr">
        <is>
          <t>F+</t>
        </is>
      </c>
      <c r="AD790" s="84" t="n">
        <v>27</v>
      </c>
      <c r="AE790" s="84" t="n">
        <v>23</v>
      </c>
      <c r="AF790" s="84" t="n">
        <v>0.8</v>
      </c>
      <c r="AG790" s="84" t="n">
        <v>0.9</v>
      </c>
      <c r="AH790" s="84" t="n">
        <v>0</v>
      </c>
      <c r="AI790" s="84" t="n">
        <v>0</v>
      </c>
      <c r="AJ790" s="84">
        <f>SUMIFS(AH$8:AH$1039,$O$8:$O$1039,O790,$AB$8:$AB$1039,AB790,$R$8:$R$1039,R790,$AA$8:$AA$1039,"&lt;="&amp;AA790)</f>
        <v/>
      </c>
      <c r="AK790" s="84">
        <f>E85</f>
        <v/>
      </c>
      <c r="AL790" s="84">
        <f>E91</f>
        <v/>
      </c>
      <c r="AM790" s="84">
        <f>MAX(0,AJ790-AK790)</f>
        <v/>
      </c>
      <c r="AN790" s="84">
        <f>IF(AM790=0,AH790,IF(AM790&gt;=AH790,0,AH790-AM790))</f>
        <v/>
      </c>
      <c r="AO790" s="84">
        <f>IF(AM790&gt;=AH790,AI790,AI790*AM790/AH790)</f>
        <v/>
      </c>
      <c r="AP790">
        <f t="array" ref="AP790">INDEX($AU$8:$BB$25,6*(R790-1)+MATCH(AB790,$AS$8:$AS$13,0),MATCH(O790,$AU$7:$BB$7,0))</f>
        <v/>
      </c>
    </row>
    <row r="791" ht="14.25" customHeight="1">
      <c r="O791" s="43" t="inlineStr">
        <is>
          <t>Q3’27</t>
        </is>
      </c>
      <c r="P791" s="43" t="n">
        <v>1</v>
      </c>
      <c r="Q791" s="43" t="n">
        <v>4</v>
      </c>
      <c r="R791" s="43" t="n">
        <v>1</v>
      </c>
      <c r="S791" s="45" t="n">
        <v>1794.52</v>
      </c>
      <c r="T791">
        <f>(S791+S792+S793)=T2</f>
        <v/>
      </c>
      <c r="X791" s="84">
        <f>MAX(S788-S791,0)</f>
        <v/>
      </c>
      <c r="Y791" s="83" t="n">
        <v>0</v>
      </c>
      <c r="AA791" s="84" t="n">
        <v>3</v>
      </c>
      <c r="AB791" s="84" t="inlineStr">
        <is>
          <t>A</t>
        </is>
      </c>
      <c r="AC791" s="84" t="inlineStr">
        <is>
          <t>A+</t>
        </is>
      </c>
      <c r="AD791" s="84" t="n">
        <v>20</v>
      </c>
      <c r="AE791" s="84" t="n">
        <v>16</v>
      </c>
      <c r="AF791" s="84" t="n">
        <v>0.78</v>
      </c>
      <c r="AG791" s="84" t="n">
        <v>0.84</v>
      </c>
      <c r="AH791" s="84" t="n">
        <v>0</v>
      </c>
      <c r="AI791" s="84" t="n">
        <v>0</v>
      </c>
      <c r="AJ791" s="84">
        <f>SUMIFS(AH$8:AH$1039,$O$8:$O$1039,O791,$AB$8:$AB$1039,AB791,$R$8:$R$1039,R791,$AA$8:$AA$1039,"&lt;="&amp;AA791)</f>
        <v/>
      </c>
      <c r="AK791" s="84">
        <f>C80</f>
        <v/>
      </c>
      <c r="AL791" s="84">
        <f>C86</f>
        <v/>
      </c>
      <c r="AM791" s="84">
        <f>MAX(0,AJ791-AK791)</f>
        <v/>
      </c>
      <c r="AN791" s="84">
        <f>IF(AM791=0,AH791,IF(AM791&gt;=AH791,0,AH791-AM791))</f>
        <v/>
      </c>
      <c r="AO791" s="84">
        <f>IF(AM791&gt;=AH791,AI791,AI791*AM791/AH791)</f>
        <v/>
      </c>
      <c r="AP791">
        <f t="array" ref="AP791">INDEX($AU$8:$BB$25,6*(R791-1)+MATCH(AB791,$AS$8:$AS$13,0),MATCH(O791,$AU$7:$BB$7,0))</f>
        <v/>
      </c>
    </row>
    <row r="792" ht="14.25" customHeight="1">
      <c r="O792" s="43" t="inlineStr">
        <is>
          <t>Q3’27</t>
        </is>
      </c>
      <c r="P792" s="43" t="n">
        <v>1</v>
      </c>
      <c r="Q792" s="43" t="n">
        <v>4</v>
      </c>
      <c r="R792" s="43" t="n">
        <v>2</v>
      </c>
      <c r="S792" s="45" t="n">
        <v>1031.111001031996</v>
      </c>
      <c r="T792">
        <f>(S791+S792+S793)=T2</f>
        <v/>
      </c>
      <c r="X792" s="84">
        <f>MAX(S789-S792,0)</f>
        <v/>
      </c>
      <c r="Y792" s="83" t="n">
        <v>0</v>
      </c>
      <c r="AA792" s="84" t="n">
        <v>3</v>
      </c>
      <c r="AB792" s="84" t="inlineStr">
        <is>
          <t>A</t>
        </is>
      </c>
      <c r="AC792" s="84" t="inlineStr">
        <is>
          <t>A+</t>
        </is>
      </c>
      <c r="AD792" s="84" t="n">
        <v>20</v>
      </c>
      <c r="AE792" s="84" t="n">
        <v>16</v>
      </c>
      <c r="AF792" s="84" t="n">
        <v>0.78</v>
      </c>
      <c r="AG792" s="84" t="n">
        <v>0.84</v>
      </c>
      <c r="AH792" s="84" t="n">
        <v>0</v>
      </c>
      <c r="AI792" s="84" t="n">
        <v>0</v>
      </c>
      <c r="AJ792" s="84">
        <f>SUMIFS(AH$8:AH$1039,$O$8:$O$1039,O792,$AB$8:$AB$1039,AB792,$R$8:$R$1039,R792,$AA$8:$AA$1039,"&lt;="&amp;AA792)</f>
        <v/>
      </c>
      <c r="AK792" s="84">
        <f>D80</f>
        <v/>
      </c>
      <c r="AL792" s="84">
        <f>D86</f>
        <v/>
      </c>
      <c r="AM792" s="84">
        <f>MAX(0,AJ792-AK792)</f>
        <v/>
      </c>
      <c r="AN792" s="84">
        <f>IF(AM792=0,AH792,IF(AM792&gt;=AH792,0,AH792-AM792))</f>
        <v/>
      </c>
      <c r="AO792" s="84">
        <f>IF(AM792&gt;=AH792,AI792,AI792*AM792/AH792)</f>
        <v/>
      </c>
      <c r="AP792">
        <f t="array" ref="AP792">INDEX($AU$8:$BB$25,6*(R792-1)+MATCH(AB792,$AS$8:$AS$13,0),MATCH(O792,$AU$7:$BB$7,0))</f>
        <v/>
      </c>
    </row>
    <row r="793" ht="14.25" customHeight="1">
      <c r="O793" s="43" t="inlineStr">
        <is>
          <t>Q3’27</t>
        </is>
      </c>
      <c r="P793" s="43" t="n">
        <v>1</v>
      </c>
      <c r="Q793" s="43" t="n">
        <v>4</v>
      </c>
      <c r="R793" s="43" t="n">
        <v>3</v>
      </c>
      <c r="S793" s="45" t="n">
        <v>1174.368998968004</v>
      </c>
      <c r="T793">
        <f>(S791+S792+S793)=T2</f>
        <v/>
      </c>
      <c r="X793" s="84">
        <f>MAX(S790-S793,0)</f>
        <v/>
      </c>
      <c r="Y793" s="83" t="n">
        <v>0</v>
      </c>
      <c r="AA793" s="84" t="n">
        <v>3</v>
      </c>
      <c r="AB793" s="84" t="inlineStr">
        <is>
          <t>A</t>
        </is>
      </c>
      <c r="AC793" s="84" t="inlineStr">
        <is>
          <t>A+</t>
        </is>
      </c>
      <c r="AD793" s="84" t="n">
        <v>20</v>
      </c>
      <c r="AE793" s="84" t="n">
        <v>16</v>
      </c>
      <c r="AF793" s="84" t="n">
        <v>0.78</v>
      </c>
      <c r="AG793" s="84" t="n">
        <v>0.84</v>
      </c>
      <c r="AH793" s="84" t="n">
        <v>0</v>
      </c>
      <c r="AI793" s="84" t="n">
        <v>0</v>
      </c>
      <c r="AJ793" s="84">
        <f>SUMIFS(AH$8:AH$1039,$O$8:$O$1039,O793,$AB$8:$AB$1039,AB793,$R$8:$R$1039,R793,$AA$8:$AA$1039,"&lt;="&amp;AA793)</f>
        <v/>
      </c>
      <c r="AK793" s="84">
        <f>E80</f>
        <v/>
      </c>
      <c r="AL793" s="84">
        <f>E86</f>
        <v/>
      </c>
      <c r="AM793" s="84">
        <f>MAX(0,AJ793-AK793)</f>
        <v/>
      </c>
      <c r="AN793" s="84">
        <f>IF(AM793=0,AH793,IF(AM793&gt;=AH793,0,AH793-AM793))</f>
        <v/>
      </c>
      <c r="AO793" s="84">
        <f>IF(AM793&gt;=AH793,AI793,AI793*AM793/AH793)</f>
        <v/>
      </c>
      <c r="AP793">
        <f t="array" ref="AP793">INDEX($AU$8:$BB$25,6*(R793-1)+MATCH(AB793,$AS$8:$AS$13,0),MATCH(O793,$AU$7:$BB$7,0))</f>
        <v/>
      </c>
    </row>
    <row r="794" ht="14.25" customHeight="1">
      <c r="O794" s="43" t="inlineStr">
        <is>
          <t>Q3’27</t>
        </is>
      </c>
      <c r="P794" s="43" t="n">
        <v>1</v>
      </c>
      <c r="Q794" s="43" t="n">
        <v>5</v>
      </c>
      <c r="R794" s="43" t="n">
        <v>1</v>
      </c>
      <c r="S794" s="45" t="n">
        <v>3018.257898864806</v>
      </c>
      <c r="T794">
        <f>(S794+S795+S796)=T2</f>
        <v/>
      </c>
      <c r="X794" s="84">
        <f>MAX(S791-S794,0)</f>
        <v/>
      </c>
      <c r="Y794" s="83" t="n">
        <v>0</v>
      </c>
      <c r="AA794" s="84" t="n">
        <v>11</v>
      </c>
      <c r="AB794" s="84" t="inlineStr">
        <is>
          <t>F</t>
        </is>
      </c>
      <c r="AC794" s="84" t="inlineStr">
        <is>
          <t>F+</t>
        </is>
      </c>
      <c r="AD794" s="84" t="n">
        <v>12</v>
      </c>
      <c r="AE794" s="84" t="n">
        <v>9</v>
      </c>
      <c r="AF794" s="84" t="n">
        <v>0.8</v>
      </c>
      <c r="AG794" s="84" t="n">
        <v>0.9</v>
      </c>
      <c r="AH794" s="84" t="n">
        <v>0</v>
      </c>
      <c r="AI794" s="84" t="n">
        <v>0</v>
      </c>
      <c r="AJ794" s="84">
        <f>SUMIFS(AH$8:AH$1039,$O$8:$O$1039,O794,$AB$8:$AB$1039,AB794,$R$8:$R$1039,R794,$AA$8:$AA$1039,"&lt;="&amp;AA794)</f>
        <v/>
      </c>
      <c r="AK794" s="84">
        <f>C85</f>
        <v/>
      </c>
      <c r="AL794" s="84">
        <f>C91</f>
        <v/>
      </c>
      <c r="AM794" s="84">
        <f>MAX(0,AJ794-AK794)</f>
        <v/>
      </c>
      <c r="AN794" s="84">
        <f>IF(AM794=0,AH794,IF(AM794&gt;=AH794,0,AH794-AM794))</f>
        <v/>
      </c>
      <c r="AO794" s="84">
        <f>IF(AM794&gt;=AH794,AI794,AI794*AM794/AH794)</f>
        <v/>
      </c>
      <c r="AP794">
        <f t="array" ref="AP794">INDEX($AU$8:$BB$25,6*(R794-1)+MATCH(AB794,$AS$8:$AS$13,0),MATCH(O794,$AU$7:$BB$7,0))</f>
        <v/>
      </c>
    </row>
    <row r="795" ht="14.25" customHeight="1">
      <c r="O795" s="43" t="inlineStr">
        <is>
          <t>Q3’27</t>
        </is>
      </c>
      <c r="P795" s="43" t="n">
        <v>1</v>
      </c>
      <c r="Q795" s="43" t="n">
        <v>5</v>
      </c>
      <c r="R795" s="43" t="n">
        <v>2</v>
      </c>
      <c r="S795" s="45" t="n">
        <v>981.7421011351944</v>
      </c>
      <c r="T795">
        <f>(S794+S795+S796)=T2</f>
        <v/>
      </c>
      <c r="X795" s="84">
        <f>MAX(S792-S795,0)</f>
        <v/>
      </c>
      <c r="Y795" s="83" t="n">
        <v>0</v>
      </c>
      <c r="AA795" s="84" t="n">
        <v>11</v>
      </c>
      <c r="AB795" s="84" t="inlineStr">
        <is>
          <t>F</t>
        </is>
      </c>
      <c r="AC795" s="84" t="inlineStr">
        <is>
          <t>F+</t>
        </is>
      </c>
      <c r="AD795" s="84" t="n">
        <v>12</v>
      </c>
      <c r="AE795" s="84" t="n">
        <v>9</v>
      </c>
      <c r="AF795" s="84" t="n">
        <v>0.8</v>
      </c>
      <c r="AG795" s="84" t="n">
        <v>0.9</v>
      </c>
      <c r="AH795" s="84" t="n">
        <v>0</v>
      </c>
      <c r="AI795" s="84" t="n">
        <v>0</v>
      </c>
      <c r="AJ795" s="84">
        <f>SUMIFS(AH$8:AH$1039,$O$8:$O$1039,O795,$AB$8:$AB$1039,AB795,$R$8:$R$1039,R795,$AA$8:$AA$1039,"&lt;="&amp;AA795)</f>
        <v/>
      </c>
      <c r="AK795" s="84">
        <f>D85</f>
        <v/>
      </c>
      <c r="AL795" s="84">
        <f>D91</f>
        <v/>
      </c>
      <c r="AM795" s="84">
        <f>MAX(0,AJ795-AK795)</f>
        <v/>
      </c>
      <c r="AN795" s="84">
        <f>IF(AM795=0,AH795,IF(AM795&gt;=AH795,0,AH795-AM795))</f>
        <v/>
      </c>
      <c r="AO795" s="84">
        <f>IF(AM795&gt;=AH795,AI795,AI795*AM795/AH795)</f>
        <v/>
      </c>
      <c r="AP795">
        <f t="array" ref="AP795">INDEX($AU$8:$BB$25,6*(R795-1)+MATCH(AB795,$AS$8:$AS$13,0),MATCH(O795,$AU$7:$BB$7,0))</f>
        <v/>
      </c>
    </row>
    <row r="796" ht="14.25" customHeight="1">
      <c r="O796" s="43" t="inlineStr">
        <is>
          <t>Q3’27</t>
        </is>
      </c>
      <c r="P796" s="43" t="n">
        <v>1</v>
      </c>
      <c r="Q796" s="43" t="n">
        <v>5</v>
      </c>
      <c r="R796" s="43" t="n">
        <v>3</v>
      </c>
      <c r="S796" s="45" t="n">
        <v>0</v>
      </c>
      <c r="T796">
        <f>(S794+S795+S796)=T2</f>
        <v/>
      </c>
      <c r="X796" s="84">
        <f>MAX(S793-S796,0)</f>
        <v/>
      </c>
      <c r="Y796" s="83" t="n">
        <v>0</v>
      </c>
      <c r="AA796" s="84" t="n">
        <v>11</v>
      </c>
      <c r="AB796" s="84" t="inlineStr">
        <is>
          <t>F</t>
        </is>
      </c>
      <c r="AC796" s="84" t="inlineStr">
        <is>
          <t>F+</t>
        </is>
      </c>
      <c r="AD796" s="84" t="n">
        <v>12</v>
      </c>
      <c r="AE796" s="84" t="n">
        <v>9</v>
      </c>
      <c r="AF796" s="84" t="n">
        <v>0.8</v>
      </c>
      <c r="AG796" s="84" t="n">
        <v>0.9</v>
      </c>
      <c r="AH796" s="84" t="n">
        <v>0</v>
      </c>
      <c r="AI796" s="84" t="n">
        <v>0</v>
      </c>
      <c r="AJ796" s="84">
        <f>SUMIFS(AH$8:AH$1039,$O$8:$O$1039,O796,$AB$8:$AB$1039,AB796,$R$8:$R$1039,R796,$AA$8:$AA$1039,"&lt;="&amp;AA796)</f>
        <v/>
      </c>
      <c r="AK796" s="84">
        <f>E85</f>
        <v/>
      </c>
      <c r="AL796" s="84">
        <f>E91</f>
        <v/>
      </c>
      <c r="AM796" s="84">
        <f>MAX(0,AJ796-AK796)</f>
        <v/>
      </c>
      <c r="AN796" s="84">
        <f>IF(AM796=0,AH796,IF(AM796&gt;=AH796,0,AH796-AM796))</f>
        <v/>
      </c>
      <c r="AO796" s="84">
        <f>IF(AM796&gt;=AH796,AI796,AI796*AM796/AH796)</f>
        <v/>
      </c>
      <c r="AP796">
        <f t="array" ref="AP796">INDEX($AU$8:$BB$25,6*(R796-1)+MATCH(AB796,$AS$8:$AS$13,0),MATCH(O796,$AU$7:$BB$7,0))</f>
        <v/>
      </c>
    </row>
    <row r="797" ht="14.25" customHeight="1">
      <c r="O797" s="43" t="inlineStr">
        <is>
          <t>Q3’27</t>
        </is>
      </c>
      <c r="P797" s="43" t="n">
        <v>1</v>
      </c>
      <c r="Q797" s="43" t="n">
        <v>6</v>
      </c>
      <c r="R797" s="43" t="n">
        <v>1</v>
      </c>
      <c r="S797" s="45" t="n">
        <v>2475.2</v>
      </c>
      <c r="T797">
        <f>(S797+S798+S799)=T2</f>
        <v/>
      </c>
      <c r="X797" s="84">
        <f>MAX(S794-S797,0)</f>
        <v/>
      </c>
      <c r="Y797" s="83" t="n">
        <v>0</v>
      </c>
      <c r="AA797" s="84" t="n">
        <v>7</v>
      </c>
      <c r="AB797" s="84" t="inlineStr">
        <is>
          <t>D</t>
        </is>
      </c>
      <c r="AC797" s="84" t="inlineStr">
        <is>
          <t>D+</t>
        </is>
      </c>
      <c r="AD797" s="84" t="n">
        <v>27</v>
      </c>
      <c r="AE797" s="84" t="n">
        <v>21</v>
      </c>
      <c r="AF797" s="84" t="n">
        <v>0.8</v>
      </c>
      <c r="AG797" s="84" t="n">
        <v>0.88</v>
      </c>
      <c r="AH797" s="84" t="n">
        <v>0</v>
      </c>
      <c r="AI797" s="84" t="n">
        <v>0</v>
      </c>
      <c r="AJ797" s="84">
        <f>SUMIFS(AH$8:AH$1039,$O$8:$O$1039,O797,$AB$8:$AB$1039,AB797,$R$8:$R$1039,R797,$AA$8:$AA$1039,"&lt;="&amp;AA797)</f>
        <v/>
      </c>
      <c r="AK797" s="84">
        <f>C83</f>
        <v/>
      </c>
      <c r="AL797" s="84">
        <f>C89</f>
        <v/>
      </c>
      <c r="AM797" s="84">
        <f>MAX(0,AJ797-AK797)</f>
        <v/>
      </c>
      <c r="AN797" s="84">
        <f>IF(AM797=0,AH797,IF(AM797&gt;=AH797,0,AH797-AM797))</f>
        <v/>
      </c>
      <c r="AO797" s="84">
        <f>IF(AM797&gt;=AH797,AI797,AI797*AM797/AH797)</f>
        <v/>
      </c>
      <c r="AP797">
        <f t="array" ref="AP797">INDEX($AU$8:$BB$25,6*(R797-1)+MATCH(AB797,$AS$8:$AS$13,0),MATCH(O797,$AU$7:$BB$7,0))</f>
        <v/>
      </c>
    </row>
    <row r="798" ht="14.25" customHeight="1">
      <c r="O798" s="43" t="inlineStr">
        <is>
          <t>Q3’27</t>
        </is>
      </c>
      <c r="P798" s="43" t="n">
        <v>1</v>
      </c>
      <c r="Q798" s="43" t="n">
        <v>6</v>
      </c>
      <c r="R798" s="43" t="n">
        <v>2</v>
      </c>
      <c r="S798" s="45" t="n">
        <v>1031.111001031996</v>
      </c>
      <c r="T798">
        <f>(S797+S798+S799)=T2</f>
        <v/>
      </c>
      <c r="X798" s="84">
        <f>MAX(S795-S798,0)</f>
        <v/>
      </c>
      <c r="Y798" s="83" t="n">
        <v>0</v>
      </c>
      <c r="AA798" s="84" t="n">
        <v>7</v>
      </c>
      <c r="AB798" s="84" t="inlineStr">
        <is>
          <t>D</t>
        </is>
      </c>
      <c r="AC798" s="84" t="inlineStr">
        <is>
          <t>D+</t>
        </is>
      </c>
      <c r="AD798" s="84" t="n">
        <v>27</v>
      </c>
      <c r="AE798" s="84" t="n">
        <v>21</v>
      </c>
      <c r="AF798" s="84" t="n">
        <v>0.8</v>
      </c>
      <c r="AG798" s="84" t="n">
        <v>0.88</v>
      </c>
      <c r="AH798" s="84" t="n">
        <v>0</v>
      </c>
      <c r="AI798" s="84" t="n">
        <v>0</v>
      </c>
      <c r="AJ798" s="84">
        <f>SUMIFS(AH$8:AH$1039,$O$8:$O$1039,O798,$AB$8:$AB$1039,AB798,$R$8:$R$1039,R798,$AA$8:$AA$1039,"&lt;="&amp;AA798)</f>
        <v/>
      </c>
      <c r="AK798" s="84">
        <f>D83</f>
        <v/>
      </c>
      <c r="AL798" s="84">
        <f>D89</f>
        <v/>
      </c>
      <c r="AM798" s="84">
        <f>MAX(0,AJ798-AK798)</f>
        <v/>
      </c>
      <c r="AN798" s="84">
        <f>IF(AM798=0,AH798,IF(AM798&gt;=AH798,0,AH798-AM798))</f>
        <v/>
      </c>
      <c r="AO798" s="84">
        <f>IF(AM798&gt;=AH798,AI798,AI798*AM798/AH798)</f>
        <v/>
      </c>
      <c r="AP798">
        <f t="array" ref="AP798">INDEX($AU$8:$BB$25,6*(R798-1)+MATCH(AB798,$AS$8:$AS$13,0),MATCH(O798,$AU$7:$BB$7,0))</f>
        <v/>
      </c>
    </row>
    <row r="799" ht="14.25" customHeight="1">
      <c r="O799" s="43" t="inlineStr">
        <is>
          <t>Q3’27</t>
        </is>
      </c>
      <c r="P799" s="43" t="n">
        <v>1</v>
      </c>
      <c r="Q799" s="43" t="n">
        <v>6</v>
      </c>
      <c r="R799" s="43" t="n">
        <v>3</v>
      </c>
      <c r="S799" s="45" t="n">
        <v>493.6889989680039</v>
      </c>
      <c r="T799">
        <f>(S797+S798+S799)=T2</f>
        <v/>
      </c>
      <c r="X799" s="84">
        <f>MAX(S796-S799,0)</f>
        <v/>
      </c>
      <c r="Y799" s="83" t="n">
        <v>0</v>
      </c>
      <c r="AA799" s="84" t="n">
        <v>7</v>
      </c>
      <c r="AB799" s="84" t="inlineStr">
        <is>
          <t>D</t>
        </is>
      </c>
      <c r="AC799" s="84" t="inlineStr">
        <is>
          <t>D+</t>
        </is>
      </c>
      <c r="AD799" s="84" t="n">
        <v>27</v>
      </c>
      <c r="AE799" s="84" t="n">
        <v>21</v>
      </c>
      <c r="AF799" s="84" t="n">
        <v>0.8</v>
      </c>
      <c r="AG799" s="84" t="n">
        <v>0.88</v>
      </c>
      <c r="AH799" s="84" t="n">
        <v>0</v>
      </c>
      <c r="AI799" s="84" t="n">
        <v>0</v>
      </c>
      <c r="AJ799" s="84">
        <f>SUMIFS(AH$8:AH$1039,$O$8:$O$1039,O799,$AB$8:$AB$1039,AB799,$R$8:$R$1039,R799,$AA$8:$AA$1039,"&lt;="&amp;AA799)</f>
        <v/>
      </c>
      <c r="AK799" s="84">
        <f>E83</f>
        <v/>
      </c>
      <c r="AL799" s="84">
        <f>E89</f>
        <v/>
      </c>
      <c r="AM799" s="84">
        <f>MAX(0,AJ799-AK799)</f>
        <v/>
      </c>
      <c r="AN799" s="84">
        <f>IF(AM799=0,AH799,IF(AM799&gt;=AH799,0,AH799-AM799))</f>
        <v/>
      </c>
      <c r="AO799" s="84">
        <f>IF(AM799&gt;=AH799,AI799,AI799*AM799/AH799)</f>
        <v/>
      </c>
      <c r="AP799">
        <f t="array" ref="AP799">INDEX($AU$8:$BB$25,6*(R799-1)+MATCH(AB799,$AS$8:$AS$13,0),MATCH(O799,$AU$7:$BB$7,0))</f>
        <v/>
      </c>
    </row>
    <row r="800" ht="14.25" customHeight="1">
      <c r="O800" s="43" t="inlineStr">
        <is>
          <t>Q3’27</t>
        </is>
      </c>
      <c r="P800" s="43" t="n">
        <v>1</v>
      </c>
      <c r="Q800" s="43" t="n">
        <v>7</v>
      </c>
      <c r="R800" s="43" t="n">
        <v>1</v>
      </c>
      <c r="S800" s="45" t="n">
        <v>2475.200000000005</v>
      </c>
      <c r="T800">
        <f>(S800+S801+S802)=T2</f>
        <v/>
      </c>
      <c r="X800" s="84">
        <f>MAX(S797-S800,0)</f>
        <v/>
      </c>
      <c r="Y800" s="83" t="n">
        <v>0</v>
      </c>
      <c r="AA800" s="84" t="n">
        <v>9</v>
      </c>
      <c r="AB800" s="84" t="inlineStr">
        <is>
          <t>D</t>
        </is>
      </c>
      <c r="AC800" s="84" t="inlineStr">
        <is>
          <t>D+</t>
        </is>
      </c>
      <c r="AD800" s="84" t="n">
        <v>17</v>
      </c>
      <c r="AE800" s="84" t="n">
        <v>13</v>
      </c>
      <c r="AF800" s="84" t="n">
        <v>0.8</v>
      </c>
      <c r="AG800" s="84" t="n">
        <v>0.88</v>
      </c>
      <c r="AH800" s="84" t="n">
        <v>0</v>
      </c>
      <c r="AI800" s="84" t="n">
        <v>0</v>
      </c>
      <c r="AJ800" s="84">
        <f>SUMIFS(AH$8:AH$1039,$O$8:$O$1039,O800,$AB$8:$AB$1039,AB800,$R$8:$R$1039,R800,$AA$8:$AA$1039,"&lt;="&amp;AA800)</f>
        <v/>
      </c>
      <c r="AK800" s="84">
        <f>C83</f>
        <v/>
      </c>
      <c r="AL800" s="84">
        <f>C89</f>
        <v/>
      </c>
      <c r="AM800" s="84">
        <f>MAX(0,AJ800-AK800)</f>
        <v/>
      </c>
      <c r="AN800" s="84">
        <f>IF(AM800=0,AH800,IF(AM800&gt;=AH800,0,AH800-AM800))</f>
        <v/>
      </c>
      <c r="AO800" s="84">
        <f>IF(AM800&gt;=AH800,AI800,AI800*AM800/AH800)</f>
        <v/>
      </c>
      <c r="AP800">
        <f t="array" ref="AP800">INDEX($AU$8:$BB$25,6*(R800-1)+MATCH(AB800,$AS$8:$AS$13,0),MATCH(O800,$AU$7:$BB$7,0))</f>
        <v/>
      </c>
    </row>
    <row r="801" ht="14.25" customHeight="1">
      <c r="O801" s="43" t="inlineStr">
        <is>
          <t>Q3’27</t>
        </is>
      </c>
      <c r="P801" s="43" t="n">
        <v>1</v>
      </c>
      <c r="Q801" s="43" t="n">
        <v>7</v>
      </c>
      <c r="R801" s="43" t="n">
        <v>2</v>
      </c>
      <c r="S801" s="45" t="n">
        <v>1031.111001031991</v>
      </c>
      <c r="T801">
        <f>(S800+S801+S802)=T2</f>
        <v/>
      </c>
      <c r="X801" s="84">
        <f>MAX(S798-S801,0)</f>
        <v/>
      </c>
      <c r="Y801" s="83" t="n">
        <v>0</v>
      </c>
      <c r="AA801" s="84" t="n">
        <v>9</v>
      </c>
      <c r="AB801" s="84" t="inlineStr">
        <is>
          <t>D</t>
        </is>
      </c>
      <c r="AC801" s="84" t="inlineStr">
        <is>
          <t>D+</t>
        </is>
      </c>
      <c r="AD801" s="84" t="n">
        <v>17</v>
      </c>
      <c r="AE801" s="84" t="n">
        <v>13</v>
      </c>
      <c r="AF801" s="84" t="n">
        <v>0.8</v>
      </c>
      <c r="AG801" s="84" t="n">
        <v>0.88</v>
      </c>
      <c r="AH801" s="84" t="n">
        <v>0</v>
      </c>
      <c r="AI801" s="84" t="n">
        <v>0</v>
      </c>
      <c r="AJ801" s="84">
        <f>SUMIFS(AH$8:AH$1039,$O$8:$O$1039,O801,$AB$8:$AB$1039,AB801,$R$8:$R$1039,R801,$AA$8:$AA$1039,"&lt;="&amp;AA801)</f>
        <v/>
      </c>
      <c r="AK801" s="84">
        <f>D83</f>
        <v/>
      </c>
      <c r="AL801" s="84">
        <f>D89</f>
        <v/>
      </c>
      <c r="AM801" s="84">
        <f>MAX(0,AJ801-AK801)</f>
        <v/>
      </c>
      <c r="AN801" s="84">
        <f>IF(AM801=0,AH801,IF(AM801&gt;=AH801,0,AH801-AM801))</f>
        <v/>
      </c>
      <c r="AO801" s="84">
        <f>IF(AM801&gt;=AH801,AI801,AI801*AM801/AH801)</f>
        <v/>
      </c>
      <c r="AP801">
        <f t="array" ref="AP801">INDEX($AU$8:$BB$25,6*(R801-1)+MATCH(AB801,$AS$8:$AS$13,0),MATCH(O801,$AU$7:$BB$7,0))</f>
        <v/>
      </c>
    </row>
    <row r="802" ht="14.25" customHeight="1">
      <c r="O802" s="43" t="inlineStr">
        <is>
          <t>Q3’27</t>
        </is>
      </c>
      <c r="P802" s="43" t="n">
        <v>1</v>
      </c>
      <c r="Q802" s="43" t="n">
        <v>7</v>
      </c>
      <c r="R802" s="43" t="n">
        <v>3</v>
      </c>
      <c r="S802" s="45" t="n">
        <v>493.6889989680039</v>
      </c>
      <c r="T802">
        <f>(S800+S801+S802)=T2</f>
        <v/>
      </c>
      <c r="X802" s="84">
        <f>MAX(S799-S802,0)</f>
        <v/>
      </c>
      <c r="Y802" s="83" t="n">
        <v>0</v>
      </c>
      <c r="AA802" s="84" t="n">
        <v>9</v>
      </c>
      <c r="AB802" s="84" t="inlineStr">
        <is>
          <t>D</t>
        </is>
      </c>
      <c r="AC802" s="84" t="inlineStr">
        <is>
          <t>D+</t>
        </is>
      </c>
      <c r="AD802" s="84" t="n">
        <v>17</v>
      </c>
      <c r="AE802" s="84" t="n">
        <v>13</v>
      </c>
      <c r="AF802" s="84" t="n">
        <v>0.8</v>
      </c>
      <c r="AG802" s="84" t="n">
        <v>0.88</v>
      </c>
      <c r="AH802" s="84" t="n">
        <v>0</v>
      </c>
      <c r="AI802" s="84" t="n">
        <v>0</v>
      </c>
      <c r="AJ802" s="84">
        <f>SUMIFS(AH$8:AH$1039,$O$8:$O$1039,O802,$AB$8:$AB$1039,AB802,$R$8:$R$1039,R802,$AA$8:$AA$1039,"&lt;="&amp;AA802)</f>
        <v/>
      </c>
      <c r="AK802" s="84">
        <f>E83</f>
        <v/>
      </c>
      <c r="AL802" s="84">
        <f>E89</f>
        <v/>
      </c>
      <c r="AM802" s="84">
        <f>MAX(0,AJ802-AK802)</f>
        <v/>
      </c>
      <c r="AN802" s="84">
        <f>IF(AM802=0,AH802,IF(AM802&gt;=AH802,0,AH802-AM802))</f>
        <v/>
      </c>
      <c r="AO802" s="84">
        <f>IF(AM802&gt;=AH802,AI802,AI802*AM802/AH802)</f>
        <v/>
      </c>
      <c r="AP802">
        <f t="array" ref="AP802">INDEX($AU$8:$BB$25,6*(R802-1)+MATCH(AB802,$AS$8:$AS$13,0),MATCH(O802,$AU$7:$BB$7,0))</f>
        <v/>
      </c>
    </row>
    <row r="803" ht="14.25" customHeight="1">
      <c r="O803" s="43" t="inlineStr">
        <is>
          <t>Q3’27</t>
        </is>
      </c>
      <c r="P803" s="43" t="n">
        <v>1</v>
      </c>
      <c r="Q803" s="43" t="n">
        <v>8</v>
      </c>
      <c r="R803" s="43" t="n">
        <v>1</v>
      </c>
      <c r="S803" s="45" t="n">
        <v>2475.2</v>
      </c>
      <c r="T803">
        <f>(S803+S804+S805)=T2</f>
        <v/>
      </c>
      <c r="X803" s="84">
        <f>MAX(S800-S803,0)</f>
        <v/>
      </c>
      <c r="Y803" s="83" t="n">
        <v>0</v>
      </c>
      <c r="AA803" s="84" t="n">
        <v>1</v>
      </c>
      <c r="AB803" s="84" t="inlineStr">
        <is>
          <t>A</t>
        </is>
      </c>
      <c r="AC803" s="84" t="inlineStr">
        <is>
          <t>A+</t>
        </is>
      </c>
      <c r="AD803" s="84" t="n">
        <v>18</v>
      </c>
      <c r="AE803" s="84" t="n">
        <v>16</v>
      </c>
      <c r="AF803" s="84" t="n">
        <v>0.78</v>
      </c>
      <c r="AG803" s="84" t="n">
        <v>0.84</v>
      </c>
      <c r="AH803" s="84" t="n">
        <v>0</v>
      </c>
      <c r="AI803" s="84" t="n">
        <v>0</v>
      </c>
      <c r="AJ803" s="84">
        <f>SUMIFS(AH$8:AH$1039,$O$8:$O$1039,O803,$AB$8:$AB$1039,AB803,$R$8:$R$1039,R803,$AA$8:$AA$1039,"&lt;="&amp;AA803)</f>
        <v/>
      </c>
      <c r="AK803" s="84">
        <f>C80</f>
        <v/>
      </c>
      <c r="AL803" s="84">
        <f>C86</f>
        <v/>
      </c>
      <c r="AM803" s="84">
        <f>MAX(0,AJ803-AK803)</f>
        <v/>
      </c>
      <c r="AN803" s="84">
        <f>IF(AM803=0,AH803,IF(AM803&gt;=AH803,0,AH803-AM803))</f>
        <v/>
      </c>
      <c r="AO803" s="84">
        <f>IF(AM803&gt;=AH803,AI803,AI803*AM803/AH803)</f>
        <v/>
      </c>
      <c r="AP803">
        <f t="array" ref="AP803">INDEX($AU$8:$BB$25,6*(R803-1)+MATCH(AB803,$AS$8:$AS$13,0),MATCH(O803,$AU$7:$BB$7,0))</f>
        <v/>
      </c>
    </row>
    <row r="804" ht="14.25" customHeight="1">
      <c r="O804" s="43" t="inlineStr">
        <is>
          <t>Q3’27</t>
        </is>
      </c>
      <c r="P804" s="43" t="n">
        <v>1</v>
      </c>
      <c r="Q804" s="43" t="n">
        <v>8</v>
      </c>
      <c r="R804" s="43" t="n">
        <v>2</v>
      </c>
      <c r="S804" s="45" t="n">
        <v>1031.111001031988</v>
      </c>
      <c r="T804">
        <f>(S803+S804+S805)=T2</f>
        <v/>
      </c>
      <c r="X804" s="84">
        <f>MAX(S801-S804,0)</f>
        <v/>
      </c>
      <c r="Y804" s="83" t="n">
        <v>0</v>
      </c>
      <c r="AA804" s="84" t="n">
        <v>1</v>
      </c>
      <c r="AB804" s="84" t="inlineStr">
        <is>
          <t>A</t>
        </is>
      </c>
      <c r="AC804" s="84" t="inlineStr">
        <is>
          <t>A+</t>
        </is>
      </c>
      <c r="AD804" s="84" t="n">
        <v>18</v>
      </c>
      <c r="AE804" s="84" t="n">
        <v>16</v>
      </c>
      <c r="AF804" s="84" t="n">
        <v>0.78</v>
      </c>
      <c r="AG804" s="84" t="n">
        <v>0.84</v>
      </c>
      <c r="AH804" s="84" t="n">
        <v>0</v>
      </c>
      <c r="AI804" s="84" t="n">
        <v>0</v>
      </c>
      <c r="AJ804" s="84">
        <f>SUMIFS(AH$8:AH$1039,$O$8:$O$1039,O804,$AB$8:$AB$1039,AB804,$R$8:$R$1039,R804,$AA$8:$AA$1039,"&lt;="&amp;AA804)</f>
        <v/>
      </c>
      <c r="AK804" s="84">
        <f>D80</f>
        <v/>
      </c>
      <c r="AL804" s="84">
        <f>D86</f>
        <v/>
      </c>
      <c r="AM804" s="84">
        <f>MAX(0,AJ804-AK804)</f>
        <v/>
      </c>
      <c r="AN804" s="84">
        <f>IF(AM804=0,AH804,IF(AM804&gt;=AH804,0,AH804-AM804))</f>
        <v/>
      </c>
      <c r="AO804" s="84">
        <f>IF(AM804&gt;=AH804,AI804,AI804*AM804/AH804)</f>
        <v/>
      </c>
      <c r="AP804">
        <f t="array" ref="AP804">INDEX($AU$8:$BB$25,6*(R804-1)+MATCH(AB804,$AS$8:$AS$13,0),MATCH(O804,$AU$7:$BB$7,0))</f>
        <v/>
      </c>
    </row>
    <row r="805" ht="14.25" customHeight="1">
      <c r="O805" s="43" t="inlineStr">
        <is>
          <t>Q3’27</t>
        </is>
      </c>
      <c r="P805" s="43" t="n">
        <v>1</v>
      </c>
      <c r="Q805" s="43" t="n">
        <v>8</v>
      </c>
      <c r="R805" s="43" t="n">
        <v>3</v>
      </c>
      <c r="S805" s="45" t="n">
        <v>493.688998968012</v>
      </c>
      <c r="T805">
        <f>(S803+S804+S805)=T2</f>
        <v/>
      </c>
      <c r="X805" s="84">
        <f>MAX(S802-S805,0)</f>
        <v/>
      </c>
      <c r="Y805" s="83" t="n">
        <v>0</v>
      </c>
      <c r="AA805" s="84" t="n">
        <v>1</v>
      </c>
      <c r="AB805" s="84" t="inlineStr">
        <is>
          <t>A</t>
        </is>
      </c>
      <c r="AC805" s="84" t="inlineStr">
        <is>
          <t>A+</t>
        </is>
      </c>
      <c r="AD805" s="84" t="n">
        <v>18</v>
      </c>
      <c r="AE805" s="84" t="n">
        <v>16</v>
      </c>
      <c r="AF805" s="84" t="n">
        <v>0.78</v>
      </c>
      <c r="AG805" s="84" t="n">
        <v>0.84</v>
      </c>
      <c r="AH805" s="84" t="n">
        <v>0</v>
      </c>
      <c r="AI805" s="84" t="n">
        <v>0</v>
      </c>
      <c r="AJ805" s="84">
        <f>SUMIFS(AH$8:AH$1039,$O$8:$O$1039,O805,$AB$8:$AB$1039,AB805,$R$8:$R$1039,R805,$AA$8:$AA$1039,"&lt;="&amp;AA805)</f>
        <v/>
      </c>
      <c r="AK805" s="84">
        <f>E80</f>
        <v/>
      </c>
      <c r="AL805" s="84">
        <f>E86</f>
        <v/>
      </c>
      <c r="AM805" s="84">
        <f>MAX(0,AJ805-AK805)</f>
        <v/>
      </c>
      <c r="AN805" s="84">
        <f>IF(AM805=0,AH805,IF(AM805&gt;=AH805,0,AH805-AM805))</f>
        <v/>
      </c>
      <c r="AO805" s="84">
        <f>IF(AM805&gt;=AH805,AI805,AI805*AM805/AH805)</f>
        <v/>
      </c>
      <c r="AP805">
        <f t="array" ref="AP805">INDEX($AU$8:$BB$25,6*(R805-1)+MATCH(AB805,$AS$8:$AS$13,0),MATCH(O805,$AU$7:$BB$7,0))</f>
        <v/>
      </c>
    </row>
    <row r="806" ht="14.25" customHeight="1">
      <c r="O806" s="43" t="inlineStr">
        <is>
          <t>Q3’27</t>
        </is>
      </c>
      <c r="P806" s="43" t="n">
        <v>1</v>
      </c>
      <c r="Q806" s="43" t="n">
        <v>9</v>
      </c>
      <c r="R806" s="43" t="n">
        <v>1</v>
      </c>
      <c r="S806" s="45" t="n">
        <v>2475.200000000001</v>
      </c>
      <c r="T806">
        <f>(S806+S807+S808)=T2</f>
        <v/>
      </c>
      <c r="X806" s="84">
        <f>MAX(S803-S806,0)</f>
        <v/>
      </c>
      <c r="Y806" s="83" t="n">
        <v>0</v>
      </c>
      <c r="AA806" s="84" t="n">
        <v>2</v>
      </c>
      <c r="AB806" s="84" t="inlineStr">
        <is>
          <t>A</t>
        </is>
      </c>
      <c r="AC806" s="84" t="inlineStr">
        <is>
          <t>A+</t>
        </is>
      </c>
      <c r="AD806" s="84" t="n">
        <v>16</v>
      </c>
      <c r="AE806" s="84" t="n">
        <v>13</v>
      </c>
      <c r="AF806" s="84" t="n">
        <v>0.78</v>
      </c>
      <c r="AG806" s="84" t="n">
        <v>0.84</v>
      </c>
      <c r="AH806" s="84" t="n">
        <v>0</v>
      </c>
      <c r="AI806" s="84" t="n">
        <v>0</v>
      </c>
      <c r="AJ806" s="84">
        <f>SUMIFS(AH$8:AH$1039,$O$8:$O$1039,O806,$AB$8:$AB$1039,AB806,$R$8:$R$1039,R806,$AA$8:$AA$1039,"&lt;="&amp;AA806)</f>
        <v/>
      </c>
      <c r="AK806" s="84">
        <f>C80</f>
        <v/>
      </c>
      <c r="AL806" s="84">
        <f>C86</f>
        <v/>
      </c>
      <c r="AM806" s="84">
        <f>MAX(0,AJ806-AK806)</f>
        <v/>
      </c>
      <c r="AN806" s="84">
        <f>IF(AM806=0,AH806,IF(AM806&gt;=AH806,0,AH806-AM806))</f>
        <v/>
      </c>
      <c r="AO806" s="84">
        <f>IF(AM806&gt;=AH806,AI806,AI806*AM806/AH806)</f>
        <v/>
      </c>
      <c r="AP806">
        <f t="array" ref="AP806">INDEX($AU$8:$BB$25,6*(R806-1)+MATCH(AB806,$AS$8:$AS$13,0),MATCH(O806,$AU$7:$BB$7,0))</f>
        <v/>
      </c>
    </row>
    <row r="807" ht="14.25" customHeight="1">
      <c r="O807" s="43" t="inlineStr">
        <is>
          <t>Q3’27</t>
        </is>
      </c>
      <c r="P807" s="43" t="n">
        <v>1</v>
      </c>
      <c r="Q807" s="43" t="n">
        <v>9</v>
      </c>
      <c r="R807" s="43" t="n">
        <v>2</v>
      </c>
      <c r="S807" s="45" t="n">
        <v>1031.111001031987</v>
      </c>
      <c r="T807">
        <f>(S806+S807+S808)=T2</f>
        <v/>
      </c>
      <c r="X807" s="84">
        <f>MAX(S804-S807,0)</f>
        <v/>
      </c>
      <c r="Y807" s="83" t="n">
        <v>0</v>
      </c>
      <c r="AA807" s="84" t="n">
        <v>2</v>
      </c>
      <c r="AB807" s="84" t="inlineStr">
        <is>
          <t>A</t>
        </is>
      </c>
      <c r="AC807" s="84" t="inlineStr">
        <is>
          <t>A+</t>
        </is>
      </c>
      <c r="AD807" s="84" t="n">
        <v>16</v>
      </c>
      <c r="AE807" s="84" t="n">
        <v>13</v>
      </c>
      <c r="AF807" s="84" t="n">
        <v>0.78</v>
      </c>
      <c r="AG807" s="84" t="n">
        <v>0.84</v>
      </c>
      <c r="AH807" s="84" t="n">
        <v>0</v>
      </c>
      <c r="AI807" s="84" t="n">
        <v>0</v>
      </c>
      <c r="AJ807" s="84">
        <f>SUMIFS(AH$8:AH$1039,$O$8:$O$1039,O807,$AB$8:$AB$1039,AB807,$R$8:$R$1039,R807,$AA$8:$AA$1039,"&lt;="&amp;AA807)</f>
        <v/>
      </c>
      <c r="AK807" s="84">
        <f>D80</f>
        <v/>
      </c>
      <c r="AL807" s="84">
        <f>D86</f>
        <v/>
      </c>
      <c r="AM807" s="84">
        <f>MAX(0,AJ807-AK807)</f>
        <v/>
      </c>
      <c r="AN807" s="84">
        <f>IF(AM807=0,AH807,IF(AM807&gt;=AH807,0,AH807-AM807))</f>
        <v/>
      </c>
      <c r="AO807" s="84">
        <f>IF(AM807&gt;=AH807,AI807,AI807*AM807/AH807)</f>
        <v/>
      </c>
      <c r="AP807">
        <f t="array" ref="AP807">INDEX($AU$8:$BB$25,6*(R807-1)+MATCH(AB807,$AS$8:$AS$13,0),MATCH(O807,$AU$7:$BB$7,0))</f>
        <v/>
      </c>
    </row>
    <row r="808" ht="14.25" customHeight="1">
      <c r="O808" s="43" t="inlineStr">
        <is>
          <t>Q3’27</t>
        </is>
      </c>
      <c r="P808" s="43" t="n">
        <v>1</v>
      </c>
      <c r="Q808" s="43" t="n">
        <v>9</v>
      </c>
      <c r="R808" s="43" t="n">
        <v>3</v>
      </c>
      <c r="S808" s="45" t="n">
        <v>493.688998968012</v>
      </c>
      <c r="T808">
        <f>(S806+S807+S808)=T2</f>
        <v/>
      </c>
      <c r="X808" s="84">
        <f>MAX(S805-S808,0)</f>
        <v/>
      </c>
      <c r="Y808" s="83" t="n">
        <v>0</v>
      </c>
      <c r="AA808" s="84" t="n">
        <v>2</v>
      </c>
      <c r="AB808" s="84" t="inlineStr">
        <is>
          <t>A</t>
        </is>
      </c>
      <c r="AC808" s="84" t="inlineStr">
        <is>
          <t>A+</t>
        </is>
      </c>
      <c r="AD808" s="84" t="n">
        <v>16</v>
      </c>
      <c r="AE808" s="84" t="n">
        <v>13</v>
      </c>
      <c r="AF808" s="84" t="n">
        <v>0.78</v>
      </c>
      <c r="AG808" s="84" t="n">
        <v>0.84</v>
      </c>
      <c r="AH808" s="84" t="n">
        <v>0</v>
      </c>
      <c r="AI808" s="84" t="n">
        <v>0</v>
      </c>
      <c r="AJ808" s="84">
        <f>SUMIFS(AH$8:AH$1039,$O$8:$O$1039,O808,$AB$8:$AB$1039,AB808,$R$8:$R$1039,R808,$AA$8:$AA$1039,"&lt;="&amp;AA808)</f>
        <v/>
      </c>
      <c r="AK808" s="84">
        <f>E80</f>
        <v/>
      </c>
      <c r="AL808" s="84">
        <f>E86</f>
        <v/>
      </c>
      <c r="AM808" s="84">
        <f>MAX(0,AJ808-AK808)</f>
        <v/>
      </c>
      <c r="AN808" s="84">
        <f>IF(AM808=0,AH808,IF(AM808&gt;=AH808,0,AH808-AM808))</f>
        <v/>
      </c>
      <c r="AO808" s="84">
        <f>IF(AM808&gt;=AH808,AI808,AI808*AM808/AH808)</f>
        <v/>
      </c>
      <c r="AP808">
        <f t="array" ref="AP808">INDEX($AU$8:$BB$25,6*(R808-1)+MATCH(AB808,$AS$8:$AS$13,0),MATCH(O808,$AU$7:$BB$7,0))</f>
        <v/>
      </c>
    </row>
    <row r="809" ht="14.25" customHeight="1">
      <c r="O809" s="43" t="inlineStr">
        <is>
          <t>Q3’27</t>
        </is>
      </c>
      <c r="P809" s="43" t="n">
        <v>1</v>
      </c>
      <c r="Q809" s="43" t="n">
        <v>10</v>
      </c>
      <c r="R809" s="43" t="n">
        <v>1</v>
      </c>
      <c r="S809" s="45" t="n">
        <v>2475.200000000001</v>
      </c>
      <c r="T809">
        <f>(S809+S810+S811)=T2</f>
        <v/>
      </c>
      <c r="X809" s="84">
        <f>MAX(S806-S809,0)</f>
        <v/>
      </c>
      <c r="Y809" s="83" t="n">
        <v>0</v>
      </c>
      <c r="AA809" s="84" t="n">
        <v>6</v>
      </c>
      <c r="AB809" s="84" t="inlineStr">
        <is>
          <t>D</t>
        </is>
      </c>
      <c r="AC809" s="84" t="inlineStr">
        <is>
          <t>D+</t>
        </is>
      </c>
      <c r="AD809" s="84" t="n">
        <v>14</v>
      </c>
      <c r="AE809" s="84" t="n">
        <v>11</v>
      </c>
      <c r="AF809" s="84" t="n">
        <v>0.8</v>
      </c>
      <c r="AG809" s="84" t="n">
        <v>0.88</v>
      </c>
      <c r="AH809" s="84" t="n">
        <v>0</v>
      </c>
      <c r="AI809" s="84" t="n">
        <v>0</v>
      </c>
      <c r="AJ809" s="84">
        <f>SUMIFS(AH$8:AH$1039,$O$8:$O$1039,O809,$AB$8:$AB$1039,AB809,$R$8:$R$1039,R809,$AA$8:$AA$1039,"&lt;="&amp;AA809)</f>
        <v/>
      </c>
      <c r="AK809" s="84">
        <f>C83</f>
        <v/>
      </c>
      <c r="AL809" s="84">
        <f>C89</f>
        <v/>
      </c>
      <c r="AM809" s="84">
        <f>MAX(0,AJ809-AK809)</f>
        <v/>
      </c>
      <c r="AN809" s="84">
        <f>IF(AM809=0,AH809,IF(AM809&gt;=AH809,0,AH809-AM809))</f>
        <v/>
      </c>
      <c r="AO809" s="84">
        <f>IF(AM809&gt;=AH809,AI809,AI809*AM809/AH809)</f>
        <v/>
      </c>
      <c r="AP809">
        <f t="array" ref="AP809">INDEX($AU$8:$BB$25,6*(R809-1)+MATCH(AB809,$AS$8:$AS$13,0),MATCH(O809,$AU$7:$BB$7,0))</f>
        <v/>
      </c>
    </row>
    <row r="810" ht="14.25" customHeight="1">
      <c r="O810" s="43" t="inlineStr">
        <is>
          <t>Q3’27</t>
        </is>
      </c>
      <c r="P810" s="43" t="n">
        <v>1</v>
      </c>
      <c r="Q810" s="43" t="n">
        <v>10</v>
      </c>
      <c r="R810" s="43" t="n">
        <v>2</v>
      </c>
      <c r="S810" s="45" t="n">
        <v>1031.111001031987</v>
      </c>
      <c r="T810">
        <f>(S809+S810+S811)=T2</f>
        <v/>
      </c>
      <c r="X810" s="84">
        <f>MAX(S807-S810,0)</f>
        <v/>
      </c>
      <c r="Y810" s="83" t="n">
        <v>0</v>
      </c>
      <c r="AA810" s="84" t="n">
        <v>6</v>
      </c>
      <c r="AB810" s="84" t="inlineStr">
        <is>
          <t>D</t>
        </is>
      </c>
      <c r="AC810" s="84" t="inlineStr">
        <is>
          <t>D+</t>
        </is>
      </c>
      <c r="AD810" s="84" t="n">
        <v>14</v>
      </c>
      <c r="AE810" s="84" t="n">
        <v>11</v>
      </c>
      <c r="AF810" s="84" t="n">
        <v>0.8</v>
      </c>
      <c r="AG810" s="84" t="n">
        <v>0.88</v>
      </c>
      <c r="AH810" s="84" t="n">
        <v>0</v>
      </c>
      <c r="AI810" s="84" t="n">
        <v>0</v>
      </c>
      <c r="AJ810" s="84">
        <f>SUMIFS(AH$8:AH$1039,$O$8:$O$1039,O810,$AB$8:$AB$1039,AB810,$R$8:$R$1039,R810,$AA$8:$AA$1039,"&lt;="&amp;AA810)</f>
        <v/>
      </c>
      <c r="AK810" s="84">
        <f>D83</f>
        <v/>
      </c>
      <c r="AL810" s="84">
        <f>D89</f>
        <v/>
      </c>
      <c r="AM810" s="84">
        <f>MAX(0,AJ810-AK810)</f>
        <v/>
      </c>
      <c r="AN810" s="84">
        <f>IF(AM810=0,AH810,IF(AM810&gt;=AH810,0,AH810-AM810))</f>
        <v/>
      </c>
      <c r="AO810" s="84">
        <f>IF(AM810&gt;=AH810,AI810,AI810*AM810/AH810)</f>
        <v/>
      </c>
      <c r="AP810">
        <f t="array" ref="AP810">INDEX($AU$8:$BB$25,6*(R810-1)+MATCH(AB810,$AS$8:$AS$13,0),MATCH(O810,$AU$7:$BB$7,0))</f>
        <v/>
      </c>
    </row>
    <row r="811" ht="14.25" customHeight="1">
      <c r="O811" s="43" t="inlineStr">
        <is>
          <t>Q3’27</t>
        </is>
      </c>
      <c r="P811" s="43" t="n">
        <v>1</v>
      </c>
      <c r="Q811" s="43" t="n">
        <v>10</v>
      </c>
      <c r="R811" s="43" t="n">
        <v>3</v>
      </c>
      <c r="S811" s="45" t="n">
        <v>493.688998968012</v>
      </c>
      <c r="T811">
        <f>(S809+S810+S811)=T2</f>
        <v/>
      </c>
      <c r="X811" s="84">
        <f>MAX(S808-S811,0)</f>
        <v/>
      </c>
      <c r="Y811" s="83" t="n">
        <v>0</v>
      </c>
      <c r="AA811" s="84" t="n">
        <v>6</v>
      </c>
      <c r="AB811" s="84" t="inlineStr">
        <is>
          <t>D</t>
        </is>
      </c>
      <c r="AC811" s="84" t="inlineStr">
        <is>
          <t>D+</t>
        </is>
      </c>
      <c r="AD811" s="84" t="n">
        <v>14</v>
      </c>
      <c r="AE811" s="84" t="n">
        <v>11</v>
      </c>
      <c r="AF811" s="84" t="n">
        <v>0.8</v>
      </c>
      <c r="AG811" s="84" t="n">
        <v>0.88</v>
      </c>
      <c r="AH811" s="84" t="n">
        <v>0</v>
      </c>
      <c r="AI811" s="84" t="n">
        <v>0</v>
      </c>
      <c r="AJ811" s="84">
        <f>SUMIFS(AH$8:AH$1039,$O$8:$O$1039,O811,$AB$8:$AB$1039,AB811,$R$8:$R$1039,R811,$AA$8:$AA$1039,"&lt;="&amp;AA811)</f>
        <v/>
      </c>
      <c r="AK811" s="84">
        <f>E83</f>
        <v/>
      </c>
      <c r="AL811" s="84">
        <f>E89</f>
        <v/>
      </c>
      <c r="AM811" s="84">
        <f>MAX(0,AJ811-AK811)</f>
        <v/>
      </c>
      <c r="AN811" s="84">
        <f>IF(AM811=0,AH811,IF(AM811&gt;=AH811,0,AH811-AM811))</f>
        <v/>
      </c>
      <c r="AO811" s="84">
        <f>IF(AM811&gt;=AH811,AI811,AI811*AM811/AH811)</f>
        <v/>
      </c>
      <c r="AP811">
        <f t="array" ref="AP811">INDEX($AU$8:$BB$25,6*(R811-1)+MATCH(AB811,$AS$8:$AS$13,0),MATCH(O811,$AU$7:$BB$7,0))</f>
        <v/>
      </c>
    </row>
    <row r="812" ht="14.25" customHeight="1">
      <c r="O812" s="43" t="inlineStr">
        <is>
          <t>Q3’27</t>
        </is>
      </c>
      <c r="P812" s="43" t="n">
        <v>1</v>
      </c>
      <c r="Q812" s="43" t="n">
        <v>11</v>
      </c>
      <c r="R812" s="43" t="n">
        <v>1</v>
      </c>
      <c r="S812" s="45" t="n">
        <v>2475.200000000001</v>
      </c>
      <c r="T812">
        <f>(S812+S813+S814)=T2</f>
        <v/>
      </c>
      <c r="X812" s="84">
        <f>MAX(S809-S812,0)</f>
        <v/>
      </c>
      <c r="Y812" s="83" t="n">
        <v>0</v>
      </c>
      <c r="AA812" s="84" t="n">
        <v>3</v>
      </c>
      <c r="AB812" s="84" t="inlineStr">
        <is>
          <t>F</t>
        </is>
      </c>
      <c r="AC812" s="84" t="inlineStr">
        <is>
          <t>F+</t>
        </is>
      </c>
      <c r="AD812" s="84" t="n">
        <v>18</v>
      </c>
      <c r="AE812" s="84" t="n">
        <v>16</v>
      </c>
      <c r="AF812" s="84" t="n">
        <v>0.8</v>
      </c>
      <c r="AG812" s="84" t="n">
        <v>0.9</v>
      </c>
      <c r="AH812" s="84" t="n">
        <v>0</v>
      </c>
      <c r="AI812" s="84" t="n">
        <v>0</v>
      </c>
      <c r="AJ812" s="84">
        <f>SUMIFS(AH$8:AH$1039,$O$8:$O$1039,O812,$AB$8:$AB$1039,AB812,$R$8:$R$1039,R812,$AA$8:$AA$1039,"&lt;="&amp;AA812)</f>
        <v/>
      </c>
      <c r="AK812" s="84">
        <f>C85</f>
        <v/>
      </c>
      <c r="AL812" s="84">
        <f>C91</f>
        <v/>
      </c>
      <c r="AM812" s="84">
        <f>MAX(0,AJ812-AK812)</f>
        <v/>
      </c>
      <c r="AN812" s="84">
        <f>IF(AM812=0,AH812,IF(AM812&gt;=AH812,0,AH812-AM812))</f>
        <v/>
      </c>
      <c r="AO812" s="84">
        <f>IF(AM812&gt;=AH812,AI812,AI812*AM812/AH812)</f>
        <v/>
      </c>
      <c r="AP812">
        <f t="array" ref="AP812">INDEX($AU$8:$BB$25,6*(R812-1)+MATCH(AB812,$AS$8:$AS$13,0),MATCH(O812,$AU$7:$BB$7,0))</f>
        <v/>
      </c>
    </row>
    <row r="813" ht="14.25" customHeight="1">
      <c r="O813" s="43" t="inlineStr">
        <is>
          <t>Q3’27</t>
        </is>
      </c>
      <c r="P813" s="43" t="n">
        <v>1</v>
      </c>
      <c r="Q813" s="43" t="n">
        <v>11</v>
      </c>
      <c r="R813" s="43" t="n">
        <v>2</v>
      </c>
      <c r="S813" s="45" t="n">
        <v>1031.111001031987</v>
      </c>
      <c r="T813">
        <f>(S812+S813+S814)=T2</f>
        <v/>
      </c>
      <c r="X813" s="84">
        <f>MAX(S810-S813,0)</f>
        <v/>
      </c>
      <c r="Y813" s="83" t="n">
        <v>0</v>
      </c>
      <c r="AA813" s="84" t="n">
        <v>3</v>
      </c>
      <c r="AB813" s="84" t="inlineStr">
        <is>
          <t>F</t>
        </is>
      </c>
      <c r="AC813" s="84" t="inlineStr">
        <is>
          <t>F+</t>
        </is>
      </c>
      <c r="AD813" s="84" t="n">
        <v>18</v>
      </c>
      <c r="AE813" s="84" t="n">
        <v>16</v>
      </c>
      <c r="AF813" s="84" t="n">
        <v>0.8</v>
      </c>
      <c r="AG813" s="84" t="n">
        <v>0.9</v>
      </c>
      <c r="AH813" s="84" t="n">
        <v>0</v>
      </c>
      <c r="AI813" s="84" t="n">
        <v>0</v>
      </c>
      <c r="AJ813" s="84">
        <f>SUMIFS(AH$8:AH$1039,$O$8:$O$1039,O813,$AB$8:$AB$1039,AB813,$R$8:$R$1039,R813,$AA$8:$AA$1039,"&lt;="&amp;AA813)</f>
        <v/>
      </c>
      <c r="AK813" s="84">
        <f>D85</f>
        <v/>
      </c>
      <c r="AL813" s="84">
        <f>D91</f>
        <v/>
      </c>
      <c r="AM813" s="84">
        <f>MAX(0,AJ813-AK813)</f>
        <v/>
      </c>
      <c r="AN813" s="84">
        <f>IF(AM813=0,AH813,IF(AM813&gt;=AH813,0,AH813-AM813))</f>
        <v/>
      </c>
      <c r="AO813" s="84">
        <f>IF(AM813&gt;=AH813,AI813,AI813*AM813/AH813)</f>
        <v/>
      </c>
      <c r="AP813">
        <f t="array" ref="AP813">INDEX($AU$8:$BB$25,6*(R813-1)+MATCH(AB813,$AS$8:$AS$13,0),MATCH(O813,$AU$7:$BB$7,0))</f>
        <v/>
      </c>
    </row>
    <row r="814" ht="14.25" customHeight="1">
      <c r="O814" s="43" t="inlineStr">
        <is>
          <t>Q3’27</t>
        </is>
      </c>
      <c r="P814" s="43" t="n">
        <v>1</v>
      </c>
      <c r="Q814" s="43" t="n">
        <v>11</v>
      </c>
      <c r="R814" s="43" t="n">
        <v>3</v>
      </c>
      <c r="S814" s="45" t="n">
        <v>493.688998968012</v>
      </c>
      <c r="T814">
        <f>(S812+S813+S814)=T2</f>
        <v/>
      </c>
      <c r="X814" s="84">
        <f>MAX(S811-S814,0)</f>
        <v/>
      </c>
      <c r="Y814" s="83" t="n">
        <v>0</v>
      </c>
      <c r="AA814" s="84" t="n">
        <v>3</v>
      </c>
      <c r="AB814" s="84" t="inlineStr">
        <is>
          <t>F</t>
        </is>
      </c>
      <c r="AC814" s="84" t="inlineStr">
        <is>
          <t>F+</t>
        </is>
      </c>
      <c r="AD814" s="84" t="n">
        <v>18</v>
      </c>
      <c r="AE814" s="84" t="n">
        <v>16</v>
      </c>
      <c r="AF814" s="84" t="n">
        <v>0.8</v>
      </c>
      <c r="AG814" s="84" t="n">
        <v>0.9</v>
      </c>
      <c r="AH814" s="84" t="n">
        <v>0</v>
      </c>
      <c r="AI814" s="84" t="n">
        <v>0</v>
      </c>
      <c r="AJ814" s="84">
        <f>SUMIFS(AH$8:AH$1039,$O$8:$O$1039,O814,$AB$8:$AB$1039,AB814,$R$8:$R$1039,R814,$AA$8:$AA$1039,"&lt;="&amp;AA814)</f>
        <v/>
      </c>
      <c r="AK814" s="84">
        <f>E85</f>
        <v/>
      </c>
      <c r="AL814" s="84">
        <f>E91</f>
        <v/>
      </c>
      <c r="AM814" s="84">
        <f>MAX(0,AJ814-AK814)</f>
        <v/>
      </c>
      <c r="AN814" s="84">
        <f>IF(AM814=0,AH814,IF(AM814&gt;=AH814,0,AH814-AM814))</f>
        <v/>
      </c>
      <c r="AO814" s="84">
        <f>IF(AM814&gt;=AH814,AI814,AI814*AM814/AH814)</f>
        <v/>
      </c>
      <c r="AP814">
        <f t="array" ref="AP814">INDEX($AU$8:$BB$25,6*(R814-1)+MATCH(AB814,$AS$8:$AS$13,0),MATCH(O814,$AU$7:$BB$7,0))</f>
        <v/>
      </c>
    </row>
    <row r="815" ht="14.25" customHeight="1">
      <c r="O815" s="43" t="inlineStr">
        <is>
          <t>Q3’27</t>
        </is>
      </c>
      <c r="P815" s="43" t="n">
        <v>2</v>
      </c>
      <c r="Q815" s="43" t="n">
        <v>1</v>
      </c>
      <c r="R815" s="43" t="n">
        <v>1</v>
      </c>
      <c r="S815" s="45" t="n">
        <v>5636.256440344772</v>
      </c>
      <c r="T815">
        <f>(S815+S816+S817)=T3</f>
        <v/>
      </c>
      <c r="X815" s="84" t="n">
        <v>0</v>
      </c>
      <c r="Y815" s="83" t="n">
        <v>0</v>
      </c>
      <c r="AA815" s="84" t="n">
        <v>9</v>
      </c>
      <c r="AB815" s="84" t="inlineStr">
        <is>
          <t>F</t>
        </is>
      </c>
      <c r="AC815" s="84" t="inlineStr">
        <is>
          <t>F+</t>
        </is>
      </c>
      <c r="AD815" s="84" t="n">
        <v>19</v>
      </c>
      <c r="AE815" s="84" t="n">
        <v>16</v>
      </c>
      <c r="AF815" s="84" t="n">
        <v>0.8</v>
      </c>
      <c r="AG815" s="84" t="n">
        <v>0.9</v>
      </c>
      <c r="AH815" s="84" t="n">
        <v>0</v>
      </c>
      <c r="AI815" s="84" t="n">
        <v>0</v>
      </c>
      <c r="AJ815" s="84">
        <f>SUMIFS(AH$8:AH$1039,$O$8:$O$1039,O815,$AB$8:$AB$1039,AB815,$R$8:$R$1039,R815,$AA$8:$AA$1039,"&lt;="&amp;AA815)</f>
        <v/>
      </c>
      <c r="AK815" s="84">
        <f>C85</f>
        <v/>
      </c>
      <c r="AL815" s="84">
        <f>C91</f>
        <v/>
      </c>
      <c r="AM815" s="84">
        <f>MAX(0,AJ815-AK815)</f>
        <v/>
      </c>
      <c r="AN815" s="84">
        <f>IF(AM815=0,AH815,IF(AM815&gt;=AH815,0,AH815-AM815))</f>
        <v/>
      </c>
      <c r="AO815" s="84">
        <f>IF(AM815&gt;=AH815,AI815,AI815*AM815/AH815)</f>
        <v/>
      </c>
      <c r="AP815">
        <f t="array" ref="AP815">INDEX($AU$8:$BB$25,6*(R815-1)+MATCH(AB815,$AS$8:$AS$13,0),MATCH(O815,$AU$7:$BB$7,0))</f>
        <v/>
      </c>
    </row>
    <row r="816" ht="14.25" customHeight="1">
      <c r="O816" s="43" t="inlineStr">
        <is>
          <t>Q3’27</t>
        </is>
      </c>
      <c r="P816" s="43" t="n">
        <v>2</v>
      </c>
      <c r="Q816" s="43" t="n">
        <v>1</v>
      </c>
      <c r="R816" s="43" t="n">
        <v>2</v>
      </c>
      <c r="S816" s="45" t="n">
        <v>1363.743559655228</v>
      </c>
      <c r="T816">
        <f>(S815+S816+S817)=T3</f>
        <v/>
      </c>
      <c r="X816" s="84" t="n">
        <v>0</v>
      </c>
      <c r="Y816" s="83" t="n">
        <v>0</v>
      </c>
      <c r="AA816" s="84" t="n">
        <v>9</v>
      </c>
      <c r="AB816" s="84" t="inlineStr">
        <is>
          <t>F</t>
        </is>
      </c>
      <c r="AC816" s="84" t="inlineStr">
        <is>
          <t>F+</t>
        </is>
      </c>
      <c r="AD816" s="84" t="n">
        <v>19</v>
      </c>
      <c r="AE816" s="84" t="n">
        <v>16</v>
      </c>
      <c r="AF816" s="84" t="n">
        <v>0.8</v>
      </c>
      <c r="AG816" s="84" t="n">
        <v>0.9</v>
      </c>
      <c r="AH816" s="84" t="n">
        <v>0</v>
      </c>
      <c r="AI816" s="84" t="n">
        <v>0</v>
      </c>
      <c r="AJ816" s="84">
        <f>SUMIFS(AH$8:AH$1039,$O$8:$O$1039,O816,$AB$8:$AB$1039,AB816,$R$8:$R$1039,R816,$AA$8:$AA$1039,"&lt;="&amp;AA816)</f>
        <v/>
      </c>
      <c r="AK816" s="84">
        <f>D85</f>
        <v/>
      </c>
      <c r="AL816" s="84">
        <f>D91</f>
        <v/>
      </c>
      <c r="AM816" s="84">
        <f>MAX(0,AJ816-AK816)</f>
        <v/>
      </c>
      <c r="AN816" s="84">
        <f>IF(AM816=0,AH816,IF(AM816&gt;=AH816,0,AH816-AM816))</f>
        <v/>
      </c>
      <c r="AO816" s="84">
        <f>IF(AM816&gt;=AH816,AI816,AI816*AM816/AH816)</f>
        <v/>
      </c>
      <c r="AP816">
        <f t="array" ref="AP816">INDEX($AU$8:$BB$25,6*(R816-1)+MATCH(AB816,$AS$8:$AS$13,0),MATCH(O816,$AU$7:$BB$7,0))</f>
        <v/>
      </c>
    </row>
    <row r="817" ht="14.25" customHeight="1">
      <c r="O817" s="43" t="inlineStr">
        <is>
          <t>Q3’27</t>
        </is>
      </c>
      <c r="P817" s="43" t="n">
        <v>2</v>
      </c>
      <c r="Q817" s="43" t="n">
        <v>1</v>
      </c>
      <c r="R817" s="43" t="n">
        <v>3</v>
      </c>
      <c r="S817" s="45" t="n">
        <v>0</v>
      </c>
      <c r="T817">
        <f>(S815+S816+S817)=T3</f>
        <v/>
      </c>
      <c r="X817" s="84" t="n">
        <v>0</v>
      </c>
      <c r="Y817" s="83" t="n">
        <v>0</v>
      </c>
      <c r="AA817" s="84" t="n">
        <v>9</v>
      </c>
      <c r="AB817" s="84" t="inlineStr">
        <is>
          <t>F</t>
        </is>
      </c>
      <c r="AC817" s="84" t="inlineStr">
        <is>
          <t>F+</t>
        </is>
      </c>
      <c r="AD817" s="84" t="n">
        <v>19</v>
      </c>
      <c r="AE817" s="84" t="n">
        <v>16</v>
      </c>
      <c r="AF817" s="84" t="n">
        <v>0.8</v>
      </c>
      <c r="AG817" s="84" t="n">
        <v>0.9</v>
      </c>
      <c r="AH817" s="84" t="n">
        <v>0</v>
      </c>
      <c r="AI817" s="84" t="n">
        <v>0</v>
      </c>
      <c r="AJ817" s="84">
        <f>SUMIFS(AH$8:AH$1039,$O$8:$O$1039,O817,$AB$8:$AB$1039,AB817,$R$8:$R$1039,R817,$AA$8:$AA$1039,"&lt;="&amp;AA817)</f>
        <v/>
      </c>
      <c r="AK817" s="84">
        <f>E85</f>
        <v/>
      </c>
      <c r="AL817" s="84">
        <f>E91</f>
        <v/>
      </c>
      <c r="AM817" s="84">
        <f>MAX(0,AJ817-AK817)</f>
        <v/>
      </c>
      <c r="AN817" s="84">
        <f>IF(AM817=0,AH817,IF(AM817&gt;=AH817,0,AH817-AM817))</f>
        <v/>
      </c>
      <c r="AO817" s="84">
        <f>IF(AM817&gt;=AH817,AI817,AI817*AM817/AH817)</f>
        <v/>
      </c>
      <c r="AP817">
        <f t="array" ref="AP817">INDEX($AU$8:$BB$25,6*(R817-1)+MATCH(AB817,$AS$8:$AS$13,0),MATCH(O817,$AU$7:$BB$7,0))</f>
        <v/>
      </c>
    </row>
    <row r="818" ht="14.25" customHeight="1">
      <c r="O818" s="43" t="inlineStr">
        <is>
          <t>Q3’27</t>
        </is>
      </c>
      <c r="P818" s="43" t="n">
        <v>2</v>
      </c>
      <c r="Q818" s="43" t="n">
        <v>2</v>
      </c>
      <c r="R818" s="43" t="n">
        <v>1</v>
      </c>
      <c r="S818" s="45" t="n">
        <v>5636.256440344772</v>
      </c>
      <c r="T818">
        <f>(S818+S819+S820)=T3</f>
        <v/>
      </c>
      <c r="X818" s="84">
        <f>MAX(S815-S818,0)</f>
        <v/>
      </c>
      <c r="Y818" s="83" t="n">
        <v>0</v>
      </c>
      <c r="AA818" s="84" t="n">
        <v>1</v>
      </c>
      <c r="AB818" s="84" t="inlineStr">
        <is>
          <t>B</t>
        </is>
      </c>
      <c r="AC818" s="84" t="inlineStr">
        <is>
          <t>B+</t>
        </is>
      </c>
      <c r="AD818" s="84" t="n">
        <v>20</v>
      </c>
      <c r="AE818" s="84" t="n">
        <v>18</v>
      </c>
      <c r="AF818" s="84" t="n">
        <v>0.76</v>
      </c>
      <c r="AG818" s="84" t="n">
        <v>0.8100000000000001</v>
      </c>
      <c r="AH818" s="84" t="n">
        <v>0</v>
      </c>
      <c r="AI818" s="84" t="n">
        <v>0</v>
      </c>
      <c r="AJ818" s="84">
        <f>SUMIFS(AH$8:AH$1039,$O$8:$O$1039,O818,$AB$8:$AB$1039,AB818,$R$8:$R$1039,R818,$AA$8:$AA$1039,"&lt;="&amp;AA818)</f>
        <v/>
      </c>
      <c r="AK818" s="84">
        <f>C81</f>
        <v/>
      </c>
      <c r="AL818" s="84">
        <f>C87</f>
        <v/>
      </c>
      <c r="AM818" s="84">
        <f>MAX(0,AJ818-AK818)</f>
        <v/>
      </c>
      <c r="AN818" s="84">
        <f>IF(AM818=0,AH818,IF(AM818&gt;=AH818,0,AH818-AM818))</f>
        <v/>
      </c>
      <c r="AO818" s="84">
        <f>IF(AM818&gt;=AH818,AI818,AI818*AM818/AH818)</f>
        <v/>
      </c>
      <c r="AP818">
        <f t="array" ref="AP818">INDEX($AU$8:$BB$25,6*(R818-1)+MATCH(AB818,$AS$8:$AS$13,0),MATCH(O818,$AU$7:$BB$7,0))</f>
        <v/>
      </c>
    </row>
    <row r="819" ht="14.25" customHeight="1">
      <c r="O819" s="43" t="inlineStr">
        <is>
          <t>Q3’27</t>
        </is>
      </c>
      <c r="P819" s="43" t="n">
        <v>2</v>
      </c>
      <c r="Q819" s="43" t="n">
        <v>2</v>
      </c>
      <c r="R819" s="43" t="n">
        <v>2</v>
      </c>
      <c r="S819" s="45" t="n">
        <v>1363.743559655228</v>
      </c>
      <c r="T819">
        <f>(S818+S819+S820)=T3</f>
        <v/>
      </c>
      <c r="X819" s="84">
        <f>MAX(S816-S819,0)</f>
        <v/>
      </c>
      <c r="Y819" s="83" t="n">
        <v>0</v>
      </c>
      <c r="AA819" s="84" t="n">
        <v>1</v>
      </c>
      <c r="AB819" s="84" t="inlineStr">
        <is>
          <t>B</t>
        </is>
      </c>
      <c r="AC819" s="84" t="inlineStr">
        <is>
          <t>B+</t>
        </is>
      </c>
      <c r="AD819" s="84" t="n">
        <v>20</v>
      </c>
      <c r="AE819" s="84" t="n">
        <v>18</v>
      </c>
      <c r="AF819" s="84" t="n">
        <v>0.76</v>
      </c>
      <c r="AG819" s="84" t="n">
        <v>0.8100000000000001</v>
      </c>
      <c r="AH819" s="84" t="n">
        <v>0</v>
      </c>
      <c r="AI819" s="84" t="n">
        <v>0</v>
      </c>
      <c r="AJ819" s="84">
        <f>SUMIFS(AH$8:AH$1039,$O$8:$O$1039,O819,$AB$8:$AB$1039,AB819,$R$8:$R$1039,R819,$AA$8:$AA$1039,"&lt;="&amp;AA819)</f>
        <v/>
      </c>
      <c r="AK819" s="84">
        <f>D81</f>
        <v/>
      </c>
      <c r="AL819" s="84">
        <f>D87</f>
        <v/>
      </c>
      <c r="AM819" s="84">
        <f>MAX(0,AJ819-AK819)</f>
        <v/>
      </c>
      <c r="AN819" s="84">
        <f>IF(AM819=0,AH819,IF(AM819&gt;=AH819,0,AH819-AM819))</f>
        <v/>
      </c>
      <c r="AO819" s="84">
        <f>IF(AM819&gt;=AH819,AI819,AI819*AM819/AH819)</f>
        <v/>
      </c>
      <c r="AP819">
        <f t="array" ref="AP819">INDEX($AU$8:$BB$25,6*(R819-1)+MATCH(AB819,$AS$8:$AS$13,0),MATCH(O819,$AU$7:$BB$7,0))</f>
        <v/>
      </c>
    </row>
    <row r="820" ht="14.25" customHeight="1">
      <c r="O820" s="43" t="inlineStr">
        <is>
          <t>Q3’27</t>
        </is>
      </c>
      <c r="P820" s="43" t="n">
        <v>2</v>
      </c>
      <c r="Q820" s="43" t="n">
        <v>2</v>
      </c>
      <c r="R820" s="43" t="n">
        <v>3</v>
      </c>
      <c r="S820" s="45" t="n">
        <v>0</v>
      </c>
      <c r="T820">
        <f>(S818+S819+S820)=T3</f>
        <v/>
      </c>
      <c r="X820" s="84">
        <f>MAX(S817-S820,0)</f>
        <v/>
      </c>
      <c r="Y820" s="83" t="n">
        <v>0</v>
      </c>
      <c r="AA820" s="84" t="n">
        <v>1</v>
      </c>
      <c r="AB820" s="84" t="inlineStr">
        <is>
          <t>B</t>
        </is>
      </c>
      <c r="AC820" s="84" t="inlineStr">
        <is>
          <t>B+</t>
        </is>
      </c>
      <c r="AD820" s="84" t="n">
        <v>20</v>
      </c>
      <c r="AE820" s="84" t="n">
        <v>18</v>
      </c>
      <c r="AF820" s="84" t="n">
        <v>0.76</v>
      </c>
      <c r="AG820" s="84" t="n">
        <v>0.8100000000000001</v>
      </c>
      <c r="AH820" s="84" t="n">
        <v>0</v>
      </c>
      <c r="AI820" s="84" t="n">
        <v>0</v>
      </c>
      <c r="AJ820" s="84">
        <f>SUMIFS(AH$8:AH$1039,$O$8:$O$1039,O820,$AB$8:$AB$1039,AB820,$R$8:$R$1039,R820,$AA$8:$AA$1039,"&lt;="&amp;AA820)</f>
        <v/>
      </c>
      <c r="AK820" s="84">
        <f>E81</f>
        <v/>
      </c>
      <c r="AL820" s="84">
        <f>E87</f>
        <v/>
      </c>
      <c r="AM820" s="84">
        <f>MAX(0,AJ820-AK820)</f>
        <v/>
      </c>
      <c r="AN820" s="84">
        <f>IF(AM820=0,AH820,IF(AM820&gt;=AH820,0,AH820-AM820))</f>
        <v/>
      </c>
      <c r="AO820" s="84">
        <f>IF(AM820&gt;=AH820,AI820,AI820*AM820/AH820)</f>
        <v/>
      </c>
      <c r="AP820">
        <f t="array" ref="AP820">INDEX($AU$8:$BB$25,6*(R820-1)+MATCH(AB820,$AS$8:$AS$13,0),MATCH(O820,$AU$7:$BB$7,0))</f>
        <v/>
      </c>
    </row>
    <row r="821" ht="14.25" customHeight="1">
      <c r="O821" s="43" t="inlineStr">
        <is>
          <t>Q3’27</t>
        </is>
      </c>
      <c r="P821" s="43" t="n">
        <v>2</v>
      </c>
      <c r="Q821" s="43" t="n">
        <v>3</v>
      </c>
      <c r="R821" s="43" t="n">
        <v>1</v>
      </c>
      <c r="S821" s="45" t="n">
        <v>5636.256440344772</v>
      </c>
      <c r="T821">
        <f>(S821+S822+S823)=T3</f>
        <v/>
      </c>
      <c r="X821" s="84">
        <f>MAX(S818-S821,0)</f>
        <v/>
      </c>
      <c r="Y821" s="83" t="n">
        <v>0</v>
      </c>
      <c r="AA821" s="84" t="n">
        <v>11</v>
      </c>
      <c r="AB821" s="84" t="inlineStr">
        <is>
          <t>E</t>
        </is>
      </c>
      <c r="AC821" s="84" t="inlineStr">
        <is>
          <t>E+</t>
        </is>
      </c>
      <c r="AD821" s="84" t="n">
        <v>10</v>
      </c>
      <c r="AE821" s="84" t="n">
        <v>7</v>
      </c>
      <c r="AF821" s="84" t="n">
        <v>0.76</v>
      </c>
      <c r="AG821" s="84" t="n">
        <v>0.84</v>
      </c>
      <c r="AH821" s="84" t="n">
        <v>0</v>
      </c>
      <c r="AI821" s="84" t="n">
        <v>0</v>
      </c>
      <c r="AJ821" s="84">
        <f>SUMIFS(AH$8:AH$1039,$O$8:$O$1039,O821,$AB$8:$AB$1039,AB821,$R$8:$R$1039,R821,$AA$8:$AA$1039,"&lt;="&amp;AA821)</f>
        <v/>
      </c>
      <c r="AK821" s="84">
        <f>C84</f>
        <v/>
      </c>
      <c r="AL821" s="84">
        <f>C90</f>
        <v/>
      </c>
      <c r="AM821" s="84">
        <f>MAX(0,AJ821-AK821)</f>
        <v/>
      </c>
      <c r="AN821" s="84">
        <f>IF(AM821=0,AH821,IF(AM821&gt;=AH821,0,AH821-AM821))</f>
        <v/>
      </c>
      <c r="AO821" s="84">
        <f>IF(AM821&gt;=AH821,AI821,AI821*AM821/AH821)</f>
        <v/>
      </c>
      <c r="AP821">
        <f t="array" ref="AP821">INDEX($AU$8:$BB$25,6*(R821-1)+MATCH(AB821,$AS$8:$AS$13,0),MATCH(O821,$AU$7:$BB$7,0))</f>
        <v/>
      </c>
    </row>
    <row r="822" ht="14.25" customHeight="1">
      <c r="O822" s="43" t="inlineStr">
        <is>
          <t>Q3’27</t>
        </is>
      </c>
      <c r="P822" s="43" t="n">
        <v>2</v>
      </c>
      <c r="Q822" s="43" t="n">
        <v>3</v>
      </c>
      <c r="R822" s="43" t="n">
        <v>2</v>
      </c>
      <c r="S822" s="45" t="n">
        <v>1363.743559655228</v>
      </c>
      <c r="T822">
        <f>(S821+S822+S823)=T3</f>
        <v/>
      </c>
      <c r="X822" s="84">
        <f>MAX(S819-S822,0)</f>
        <v/>
      </c>
      <c r="Y822" s="83" t="n">
        <v>0</v>
      </c>
      <c r="AA822" s="84" t="n">
        <v>11</v>
      </c>
      <c r="AB822" s="84" t="inlineStr">
        <is>
          <t>E</t>
        </is>
      </c>
      <c r="AC822" s="84" t="inlineStr">
        <is>
          <t>E+</t>
        </is>
      </c>
      <c r="AD822" s="84" t="n">
        <v>10</v>
      </c>
      <c r="AE822" s="84" t="n">
        <v>7</v>
      </c>
      <c r="AF822" s="84" t="n">
        <v>0.76</v>
      </c>
      <c r="AG822" s="84" t="n">
        <v>0.84</v>
      </c>
      <c r="AH822" s="84" t="n">
        <v>0</v>
      </c>
      <c r="AI822" s="84" t="n">
        <v>0</v>
      </c>
      <c r="AJ822" s="84">
        <f>SUMIFS(AH$8:AH$1039,$O$8:$O$1039,O822,$AB$8:$AB$1039,AB822,$R$8:$R$1039,R822,$AA$8:$AA$1039,"&lt;="&amp;AA822)</f>
        <v/>
      </c>
      <c r="AK822" s="84">
        <f>D84</f>
        <v/>
      </c>
      <c r="AL822" s="84">
        <f>D90</f>
        <v/>
      </c>
      <c r="AM822" s="84">
        <f>MAX(0,AJ822-AK822)</f>
        <v/>
      </c>
      <c r="AN822" s="84">
        <f>IF(AM822=0,AH822,IF(AM822&gt;=AH822,0,AH822-AM822))</f>
        <v/>
      </c>
      <c r="AO822" s="84">
        <f>IF(AM822&gt;=AH822,AI822,AI822*AM822/AH822)</f>
        <v/>
      </c>
      <c r="AP822">
        <f t="array" ref="AP822">INDEX($AU$8:$BB$25,6*(R822-1)+MATCH(AB822,$AS$8:$AS$13,0),MATCH(O822,$AU$7:$BB$7,0))</f>
        <v/>
      </c>
    </row>
    <row r="823" ht="14.25" customHeight="1">
      <c r="O823" s="43" t="inlineStr">
        <is>
          <t>Q3’27</t>
        </is>
      </c>
      <c r="P823" s="43" t="n">
        <v>2</v>
      </c>
      <c r="Q823" s="43" t="n">
        <v>3</v>
      </c>
      <c r="R823" s="43" t="n">
        <v>3</v>
      </c>
      <c r="S823" s="45" t="n">
        <v>0</v>
      </c>
      <c r="T823">
        <f>(S821+S822+S823)=T3</f>
        <v/>
      </c>
      <c r="X823" s="84">
        <f>MAX(S820-S823,0)</f>
        <v/>
      </c>
      <c r="Y823" s="83" t="n">
        <v>0</v>
      </c>
      <c r="AA823" s="84" t="n">
        <v>11</v>
      </c>
      <c r="AB823" s="84" t="inlineStr">
        <is>
          <t>E</t>
        </is>
      </c>
      <c r="AC823" s="84" t="inlineStr">
        <is>
          <t>E+</t>
        </is>
      </c>
      <c r="AD823" s="84" t="n">
        <v>10</v>
      </c>
      <c r="AE823" s="84" t="n">
        <v>7</v>
      </c>
      <c r="AF823" s="84" t="n">
        <v>0.76</v>
      </c>
      <c r="AG823" s="84" t="n">
        <v>0.84</v>
      </c>
      <c r="AH823" s="84" t="n">
        <v>0</v>
      </c>
      <c r="AI823" s="84" t="n">
        <v>0</v>
      </c>
      <c r="AJ823" s="84">
        <f>SUMIFS(AH$8:AH$1039,$O$8:$O$1039,O823,$AB$8:$AB$1039,AB823,$R$8:$R$1039,R823,$AA$8:$AA$1039,"&lt;="&amp;AA823)</f>
        <v/>
      </c>
      <c r="AK823" s="84">
        <f>E84</f>
        <v/>
      </c>
      <c r="AL823" s="84">
        <f>E90</f>
        <v/>
      </c>
      <c r="AM823" s="84">
        <f>MAX(0,AJ823-AK823)</f>
        <v/>
      </c>
      <c r="AN823" s="84">
        <f>IF(AM823=0,AH823,IF(AM823&gt;=AH823,0,AH823-AM823))</f>
        <v/>
      </c>
      <c r="AO823" s="84">
        <f>IF(AM823&gt;=AH823,AI823,AI823*AM823/AH823)</f>
        <v/>
      </c>
      <c r="AP823">
        <f t="array" ref="AP823">INDEX($AU$8:$BB$25,6*(R823-1)+MATCH(AB823,$AS$8:$AS$13,0),MATCH(O823,$AU$7:$BB$7,0))</f>
        <v/>
      </c>
    </row>
    <row r="824" ht="14.25" customHeight="1">
      <c r="O824" s="43" t="inlineStr">
        <is>
          <t>Q3’27</t>
        </is>
      </c>
      <c r="P824" s="43" t="n">
        <v>2</v>
      </c>
      <c r="Q824" s="43" t="n">
        <v>4</v>
      </c>
      <c r="R824" s="43" t="n">
        <v>1</v>
      </c>
      <c r="S824" s="45" t="n">
        <v>5636.256440344772</v>
      </c>
      <c r="T824">
        <f>(S824+S825+S826)=T3</f>
        <v/>
      </c>
      <c r="X824" s="84">
        <f>MAX(S821-S824,0)</f>
        <v/>
      </c>
      <c r="Y824" s="83" t="n">
        <v>0</v>
      </c>
      <c r="AA824" s="84" t="n">
        <v>2</v>
      </c>
      <c r="AB824" s="84" t="inlineStr">
        <is>
          <t>B</t>
        </is>
      </c>
      <c r="AC824" s="84" t="inlineStr">
        <is>
          <t>B+</t>
        </is>
      </c>
      <c r="AD824" s="84" t="n">
        <v>25</v>
      </c>
      <c r="AE824" s="84" t="n">
        <v>19</v>
      </c>
      <c r="AF824" s="84" t="n">
        <v>0.76</v>
      </c>
      <c r="AG824" s="84" t="n">
        <v>0.8100000000000001</v>
      </c>
      <c r="AH824" s="84" t="n">
        <v>0</v>
      </c>
      <c r="AI824" s="84" t="n">
        <v>0</v>
      </c>
      <c r="AJ824" s="84">
        <f>SUMIFS(AH$8:AH$1039,$O$8:$O$1039,O824,$AB$8:$AB$1039,AB824,$R$8:$R$1039,R824,$AA$8:$AA$1039,"&lt;="&amp;AA824)</f>
        <v/>
      </c>
      <c r="AK824" s="84">
        <f>C81</f>
        <v/>
      </c>
      <c r="AL824" s="84">
        <f>C87</f>
        <v/>
      </c>
      <c r="AM824" s="84">
        <f>MAX(0,AJ824-AK824)</f>
        <v/>
      </c>
      <c r="AN824" s="84">
        <f>IF(AM824=0,AH824,IF(AM824&gt;=AH824,0,AH824-AM824))</f>
        <v/>
      </c>
      <c r="AO824" s="84">
        <f>IF(AM824&gt;=AH824,AI824,AI824*AM824/AH824)</f>
        <v/>
      </c>
      <c r="AP824">
        <f t="array" ref="AP824">INDEX($AU$8:$BB$25,6*(R824-1)+MATCH(AB824,$AS$8:$AS$13,0),MATCH(O824,$AU$7:$BB$7,0))</f>
        <v/>
      </c>
    </row>
    <row r="825" ht="14.25" customHeight="1">
      <c r="O825" s="43" t="inlineStr">
        <is>
          <t>Q3’27</t>
        </is>
      </c>
      <c r="P825" s="43" t="n">
        <v>2</v>
      </c>
      <c r="Q825" s="43" t="n">
        <v>4</v>
      </c>
      <c r="R825" s="43" t="n">
        <v>2</v>
      </c>
      <c r="S825" s="45" t="n">
        <v>1363.743559655228</v>
      </c>
      <c r="T825">
        <f>(S824+S825+S826)=T3</f>
        <v/>
      </c>
      <c r="X825" s="84">
        <f>MAX(S822-S825,0)</f>
        <v/>
      </c>
      <c r="Y825" s="83" t="n">
        <v>0</v>
      </c>
      <c r="AA825" s="84" t="n">
        <v>2</v>
      </c>
      <c r="AB825" s="84" t="inlineStr">
        <is>
          <t>B</t>
        </is>
      </c>
      <c r="AC825" s="84" t="inlineStr">
        <is>
          <t>B+</t>
        </is>
      </c>
      <c r="AD825" s="84" t="n">
        <v>25</v>
      </c>
      <c r="AE825" s="84" t="n">
        <v>19</v>
      </c>
      <c r="AF825" s="84" t="n">
        <v>0.76</v>
      </c>
      <c r="AG825" s="84" t="n">
        <v>0.8100000000000001</v>
      </c>
      <c r="AH825" s="84" t="n">
        <v>0</v>
      </c>
      <c r="AI825" s="84" t="n">
        <v>0</v>
      </c>
      <c r="AJ825" s="84">
        <f>SUMIFS(AH$8:AH$1039,$O$8:$O$1039,O825,$AB$8:$AB$1039,AB825,$R$8:$R$1039,R825,$AA$8:$AA$1039,"&lt;="&amp;AA825)</f>
        <v/>
      </c>
      <c r="AK825" s="84">
        <f>D81</f>
        <v/>
      </c>
      <c r="AL825" s="84">
        <f>D87</f>
        <v/>
      </c>
      <c r="AM825" s="84">
        <f>MAX(0,AJ825-AK825)</f>
        <v/>
      </c>
      <c r="AN825" s="84">
        <f>IF(AM825=0,AH825,IF(AM825&gt;=AH825,0,AH825-AM825))</f>
        <v/>
      </c>
      <c r="AO825" s="84">
        <f>IF(AM825&gt;=AH825,AI825,AI825*AM825/AH825)</f>
        <v/>
      </c>
      <c r="AP825">
        <f t="array" ref="AP825">INDEX($AU$8:$BB$25,6*(R825-1)+MATCH(AB825,$AS$8:$AS$13,0),MATCH(O825,$AU$7:$BB$7,0))</f>
        <v/>
      </c>
    </row>
    <row r="826" ht="14.25" customHeight="1">
      <c r="O826" s="43" t="inlineStr">
        <is>
          <t>Q3’27</t>
        </is>
      </c>
      <c r="P826" s="43" t="n">
        <v>2</v>
      </c>
      <c r="Q826" s="43" t="n">
        <v>4</v>
      </c>
      <c r="R826" s="43" t="n">
        <v>3</v>
      </c>
      <c r="S826" s="45" t="n">
        <v>0</v>
      </c>
      <c r="T826">
        <f>(S824+S825+S826)=T3</f>
        <v/>
      </c>
      <c r="X826" s="84">
        <f>MAX(S823-S826,0)</f>
        <v/>
      </c>
      <c r="Y826" s="83" t="n">
        <v>0</v>
      </c>
      <c r="AA826" s="84" t="n">
        <v>2</v>
      </c>
      <c r="AB826" s="84" t="inlineStr">
        <is>
          <t>B</t>
        </is>
      </c>
      <c r="AC826" s="84" t="inlineStr">
        <is>
          <t>B+</t>
        </is>
      </c>
      <c r="AD826" s="84" t="n">
        <v>25</v>
      </c>
      <c r="AE826" s="84" t="n">
        <v>19</v>
      </c>
      <c r="AF826" s="84" t="n">
        <v>0.76</v>
      </c>
      <c r="AG826" s="84" t="n">
        <v>0.8100000000000001</v>
      </c>
      <c r="AH826" s="84" t="n">
        <v>0</v>
      </c>
      <c r="AI826" s="84" t="n">
        <v>0</v>
      </c>
      <c r="AJ826" s="84">
        <f>SUMIFS(AH$8:AH$1039,$O$8:$O$1039,O826,$AB$8:$AB$1039,AB826,$R$8:$R$1039,R826,$AA$8:$AA$1039,"&lt;="&amp;AA826)</f>
        <v/>
      </c>
      <c r="AK826" s="84">
        <f>E81</f>
        <v/>
      </c>
      <c r="AL826" s="84">
        <f>E87</f>
        <v/>
      </c>
      <c r="AM826" s="84">
        <f>MAX(0,AJ826-AK826)</f>
        <v/>
      </c>
      <c r="AN826" s="84">
        <f>IF(AM826=0,AH826,IF(AM826&gt;=AH826,0,AH826-AM826))</f>
        <v/>
      </c>
      <c r="AO826" s="84">
        <f>IF(AM826&gt;=AH826,AI826,AI826*AM826/AH826)</f>
        <v/>
      </c>
      <c r="AP826">
        <f t="array" ref="AP826">INDEX($AU$8:$BB$25,6*(R826-1)+MATCH(AB826,$AS$8:$AS$13,0),MATCH(O826,$AU$7:$BB$7,0))</f>
        <v/>
      </c>
    </row>
    <row r="827" ht="14.25" customHeight="1">
      <c r="O827" s="43" t="inlineStr">
        <is>
          <t>Q3’27</t>
        </is>
      </c>
      <c r="P827" s="43" t="n">
        <v>2</v>
      </c>
      <c r="Q827" s="43" t="n">
        <v>5</v>
      </c>
      <c r="R827" s="43" t="n">
        <v>1</v>
      </c>
      <c r="S827" s="45" t="n">
        <v>5636.256440344772</v>
      </c>
      <c r="T827">
        <f>(S827+S828+S829)=T3</f>
        <v/>
      </c>
      <c r="X827" s="84">
        <f>MAX(S824-S827,0)</f>
        <v/>
      </c>
      <c r="Y827" s="83" t="n">
        <v>0</v>
      </c>
      <c r="AA827" s="84" t="n">
        <v>3</v>
      </c>
      <c r="AB827" s="84" t="inlineStr">
        <is>
          <t>B</t>
        </is>
      </c>
      <c r="AC827" s="84" t="inlineStr">
        <is>
          <t>B+</t>
        </is>
      </c>
      <c r="AD827" s="84" t="n">
        <v>15</v>
      </c>
      <c r="AE827" s="84" t="n">
        <v>11</v>
      </c>
      <c r="AF827" s="84" t="n">
        <v>0.76</v>
      </c>
      <c r="AG827" s="84" t="n">
        <v>0.8100000000000001</v>
      </c>
      <c r="AH827" s="84" t="n">
        <v>0</v>
      </c>
      <c r="AI827" s="84" t="n">
        <v>0</v>
      </c>
      <c r="AJ827" s="84">
        <f>SUMIFS(AH$8:AH$1039,$O$8:$O$1039,O827,$AB$8:$AB$1039,AB827,$R$8:$R$1039,R827,$AA$8:$AA$1039,"&lt;="&amp;AA827)</f>
        <v/>
      </c>
      <c r="AK827" s="84">
        <f>C81</f>
        <v/>
      </c>
      <c r="AL827" s="84">
        <f>C87</f>
        <v/>
      </c>
      <c r="AM827" s="84">
        <f>MAX(0,AJ827-AK827)</f>
        <v/>
      </c>
      <c r="AN827" s="84">
        <f>IF(AM827=0,AH827,IF(AM827&gt;=AH827,0,AH827-AM827))</f>
        <v/>
      </c>
      <c r="AO827" s="84">
        <f>IF(AM827&gt;=AH827,AI827,AI827*AM827/AH827)</f>
        <v/>
      </c>
      <c r="AP827">
        <f t="array" ref="AP827">INDEX($AU$8:$BB$25,6*(R827-1)+MATCH(AB827,$AS$8:$AS$13,0),MATCH(O827,$AU$7:$BB$7,0))</f>
        <v/>
      </c>
    </row>
    <row r="828" ht="14.25" customHeight="1">
      <c r="O828" s="43" t="inlineStr">
        <is>
          <t>Q3’27</t>
        </is>
      </c>
      <c r="P828" s="43" t="n">
        <v>2</v>
      </c>
      <c r="Q828" s="43" t="n">
        <v>5</v>
      </c>
      <c r="R828" s="43" t="n">
        <v>2</v>
      </c>
      <c r="S828" s="45" t="n">
        <v>1363.743559655228</v>
      </c>
      <c r="T828">
        <f>(S827+S828+S829)=T3</f>
        <v/>
      </c>
      <c r="X828" s="84">
        <f>MAX(S825-S828,0)</f>
        <v/>
      </c>
      <c r="Y828" s="83" t="n">
        <v>0</v>
      </c>
      <c r="AA828" s="84" t="n">
        <v>3</v>
      </c>
      <c r="AB828" s="84" t="inlineStr">
        <is>
          <t>B</t>
        </is>
      </c>
      <c r="AC828" s="84" t="inlineStr">
        <is>
          <t>B+</t>
        </is>
      </c>
      <c r="AD828" s="84" t="n">
        <v>15</v>
      </c>
      <c r="AE828" s="84" t="n">
        <v>11</v>
      </c>
      <c r="AF828" s="84" t="n">
        <v>0.76</v>
      </c>
      <c r="AG828" s="84" t="n">
        <v>0.8100000000000001</v>
      </c>
      <c r="AH828" s="84" t="n">
        <v>0</v>
      </c>
      <c r="AI828" s="84" t="n">
        <v>0</v>
      </c>
      <c r="AJ828" s="84">
        <f>SUMIFS(AH$8:AH$1039,$O$8:$O$1039,O828,$AB$8:$AB$1039,AB828,$R$8:$R$1039,R828,$AA$8:$AA$1039,"&lt;="&amp;AA828)</f>
        <v/>
      </c>
      <c r="AK828" s="84">
        <f>D81</f>
        <v/>
      </c>
      <c r="AL828" s="84">
        <f>D87</f>
        <v/>
      </c>
      <c r="AM828" s="84">
        <f>MAX(0,AJ828-AK828)</f>
        <v/>
      </c>
      <c r="AN828" s="84">
        <f>IF(AM828=0,AH828,IF(AM828&gt;=AH828,0,AH828-AM828))</f>
        <v/>
      </c>
      <c r="AO828" s="84">
        <f>IF(AM828&gt;=AH828,AI828,AI828*AM828/AH828)</f>
        <v/>
      </c>
      <c r="AP828">
        <f t="array" ref="AP828">INDEX($AU$8:$BB$25,6*(R828-1)+MATCH(AB828,$AS$8:$AS$13,0),MATCH(O828,$AU$7:$BB$7,0))</f>
        <v/>
      </c>
    </row>
    <row r="829" ht="14.25" customHeight="1">
      <c r="O829" s="43" t="inlineStr">
        <is>
          <t>Q3’27</t>
        </is>
      </c>
      <c r="P829" s="43" t="n">
        <v>2</v>
      </c>
      <c r="Q829" s="43" t="n">
        <v>5</v>
      </c>
      <c r="R829" s="43" t="n">
        <v>3</v>
      </c>
      <c r="S829" s="45" t="n">
        <v>0</v>
      </c>
      <c r="T829">
        <f>(S827+S828+S829)=T3</f>
        <v/>
      </c>
      <c r="X829" s="84">
        <f>MAX(S826-S829,0)</f>
        <v/>
      </c>
      <c r="Y829" s="83" t="n">
        <v>0</v>
      </c>
      <c r="AA829" s="84" t="n">
        <v>3</v>
      </c>
      <c r="AB829" s="84" t="inlineStr">
        <is>
          <t>B</t>
        </is>
      </c>
      <c r="AC829" s="84" t="inlineStr">
        <is>
          <t>B+</t>
        </is>
      </c>
      <c r="AD829" s="84" t="n">
        <v>15</v>
      </c>
      <c r="AE829" s="84" t="n">
        <v>11</v>
      </c>
      <c r="AF829" s="84" t="n">
        <v>0.76</v>
      </c>
      <c r="AG829" s="84" t="n">
        <v>0.8100000000000001</v>
      </c>
      <c r="AH829" s="84" t="n">
        <v>0</v>
      </c>
      <c r="AI829" s="84" t="n">
        <v>0</v>
      </c>
      <c r="AJ829" s="84">
        <f>SUMIFS(AH$8:AH$1039,$O$8:$O$1039,O829,$AB$8:$AB$1039,AB829,$R$8:$R$1039,R829,$AA$8:$AA$1039,"&lt;="&amp;AA829)</f>
        <v/>
      </c>
      <c r="AK829" s="84">
        <f>E81</f>
        <v/>
      </c>
      <c r="AL829" s="84">
        <f>E87</f>
        <v/>
      </c>
      <c r="AM829" s="84">
        <f>MAX(0,AJ829-AK829)</f>
        <v/>
      </c>
      <c r="AN829" s="84">
        <f>IF(AM829=0,AH829,IF(AM829&gt;=AH829,0,AH829-AM829))</f>
        <v/>
      </c>
      <c r="AO829" s="84">
        <f>IF(AM829&gt;=AH829,AI829,AI829*AM829/AH829)</f>
        <v/>
      </c>
      <c r="AP829">
        <f t="array" ref="AP829">INDEX($AU$8:$BB$25,6*(R829-1)+MATCH(AB829,$AS$8:$AS$13,0),MATCH(O829,$AU$7:$BB$7,0))</f>
        <v/>
      </c>
    </row>
    <row r="830" ht="14.25" customHeight="1">
      <c r="O830" s="43" t="inlineStr">
        <is>
          <t>Q3’27</t>
        </is>
      </c>
      <c r="P830" s="43" t="n">
        <v>2</v>
      </c>
      <c r="Q830" s="43" t="n">
        <v>6</v>
      </c>
      <c r="R830" s="43" t="n">
        <v>1</v>
      </c>
      <c r="S830" s="45" t="n">
        <v>5636.256440344772</v>
      </c>
      <c r="T830">
        <f>(S830+S831+S832)=T3</f>
        <v/>
      </c>
      <c r="X830" s="84">
        <f>MAX(S827-S830,0)</f>
        <v/>
      </c>
      <c r="Y830" s="83" t="n">
        <v>0</v>
      </c>
      <c r="AA830" s="84" t="n">
        <v>5</v>
      </c>
      <c r="AB830" s="84" t="inlineStr">
        <is>
          <t>F</t>
        </is>
      </c>
      <c r="AC830" s="84" t="inlineStr">
        <is>
          <t>F+</t>
        </is>
      </c>
      <c r="AD830" s="84" t="n">
        <v>16</v>
      </c>
      <c r="AE830" s="84" t="n">
        <v>14</v>
      </c>
      <c r="AF830" s="84" t="n">
        <v>0.8</v>
      </c>
      <c r="AG830" s="84" t="n">
        <v>0.9</v>
      </c>
      <c r="AH830" s="84" t="n">
        <v>0</v>
      </c>
      <c r="AI830" s="84" t="n">
        <v>0</v>
      </c>
      <c r="AJ830" s="84">
        <f>SUMIFS(AH$8:AH$1039,$O$8:$O$1039,O830,$AB$8:$AB$1039,AB830,$R$8:$R$1039,R830,$AA$8:$AA$1039,"&lt;="&amp;AA830)</f>
        <v/>
      </c>
      <c r="AK830" s="84">
        <f>C85</f>
        <v/>
      </c>
      <c r="AL830" s="84">
        <f>C91</f>
        <v/>
      </c>
      <c r="AM830" s="84">
        <f>MAX(0,AJ830-AK830)</f>
        <v/>
      </c>
      <c r="AN830" s="84">
        <f>IF(AM830=0,AH830,IF(AM830&gt;=AH830,0,AH830-AM830))</f>
        <v/>
      </c>
      <c r="AO830" s="84">
        <f>IF(AM830&gt;=AH830,AI830,AI830*AM830/AH830)</f>
        <v/>
      </c>
      <c r="AP830">
        <f t="array" ref="AP830">INDEX($AU$8:$BB$25,6*(R830-1)+MATCH(AB830,$AS$8:$AS$13,0),MATCH(O830,$AU$7:$BB$7,0))</f>
        <v/>
      </c>
    </row>
    <row r="831" ht="14.25" customHeight="1">
      <c r="O831" s="43" t="inlineStr">
        <is>
          <t>Q3’27</t>
        </is>
      </c>
      <c r="P831" s="43" t="n">
        <v>2</v>
      </c>
      <c r="Q831" s="43" t="n">
        <v>6</v>
      </c>
      <c r="R831" s="43" t="n">
        <v>2</v>
      </c>
      <c r="S831" s="45" t="n">
        <v>1363.743559655228</v>
      </c>
      <c r="T831">
        <f>(S830+S831+S832)=T3</f>
        <v/>
      </c>
      <c r="X831" s="84">
        <f>MAX(S828-S831,0)</f>
        <v/>
      </c>
      <c r="Y831" s="83" t="n">
        <v>0</v>
      </c>
      <c r="AA831" s="84" t="n">
        <v>5</v>
      </c>
      <c r="AB831" s="84" t="inlineStr">
        <is>
          <t>F</t>
        </is>
      </c>
      <c r="AC831" s="84" t="inlineStr">
        <is>
          <t>F+</t>
        </is>
      </c>
      <c r="AD831" s="84" t="n">
        <v>16</v>
      </c>
      <c r="AE831" s="84" t="n">
        <v>14</v>
      </c>
      <c r="AF831" s="84" t="n">
        <v>0.8</v>
      </c>
      <c r="AG831" s="84" t="n">
        <v>0.9</v>
      </c>
      <c r="AH831" s="84" t="n">
        <v>0</v>
      </c>
      <c r="AI831" s="84" t="n">
        <v>0</v>
      </c>
      <c r="AJ831" s="84">
        <f>SUMIFS(AH$8:AH$1039,$O$8:$O$1039,O831,$AB$8:$AB$1039,AB831,$R$8:$R$1039,R831,$AA$8:$AA$1039,"&lt;="&amp;AA831)</f>
        <v/>
      </c>
      <c r="AK831" s="84">
        <f>D85</f>
        <v/>
      </c>
      <c r="AL831" s="84">
        <f>D91</f>
        <v/>
      </c>
      <c r="AM831" s="84">
        <f>MAX(0,AJ831-AK831)</f>
        <v/>
      </c>
      <c r="AN831" s="84">
        <f>IF(AM831=0,AH831,IF(AM831&gt;=AH831,0,AH831-AM831))</f>
        <v/>
      </c>
      <c r="AO831" s="84">
        <f>IF(AM831&gt;=AH831,AI831,AI831*AM831/AH831)</f>
        <v/>
      </c>
      <c r="AP831">
        <f t="array" ref="AP831">INDEX($AU$8:$BB$25,6*(R831-1)+MATCH(AB831,$AS$8:$AS$13,0),MATCH(O831,$AU$7:$BB$7,0))</f>
        <v/>
      </c>
    </row>
    <row r="832" ht="14.25" customHeight="1">
      <c r="O832" s="43" t="inlineStr">
        <is>
          <t>Q3’27</t>
        </is>
      </c>
      <c r="P832" s="43" t="n">
        <v>2</v>
      </c>
      <c r="Q832" s="43" t="n">
        <v>6</v>
      </c>
      <c r="R832" s="43" t="n">
        <v>3</v>
      </c>
      <c r="S832" s="45" t="n">
        <v>0</v>
      </c>
      <c r="T832">
        <f>(S830+S831+S832)=T3</f>
        <v/>
      </c>
      <c r="X832" s="84">
        <f>MAX(S829-S832,0)</f>
        <v/>
      </c>
      <c r="Y832" s="83" t="n">
        <v>0</v>
      </c>
      <c r="AA832" s="84" t="n">
        <v>5</v>
      </c>
      <c r="AB832" s="84" t="inlineStr">
        <is>
          <t>F</t>
        </is>
      </c>
      <c r="AC832" s="84" t="inlineStr">
        <is>
          <t>F+</t>
        </is>
      </c>
      <c r="AD832" s="84" t="n">
        <v>16</v>
      </c>
      <c r="AE832" s="84" t="n">
        <v>14</v>
      </c>
      <c r="AF832" s="84" t="n">
        <v>0.8</v>
      </c>
      <c r="AG832" s="84" t="n">
        <v>0.9</v>
      </c>
      <c r="AH832" s="84" t="n">
        <v>0</v>
      </c>
      <c r="AI832" s="84" t="n">
        <v>0</v>
      </c>
      <c r="AJ832" s="84">
        <f>SUMIFS(AH$8:AH$1039,$O$8:$O$1039,O832,$AB$8:$AB$1039,AB832,$R$8:$R$1039,R832,$AA$8:$AA$1039,"&lt;="&amp;AA832)</f>
        <v/>
      </c>
      <c r="AK832" s="84">
        <f>E85</f>
        <v/>
      </c>
      <c r="AL832" s="84">
        <f>E91</f>
        <v/>
      </c>
      <c r="AM832" s="84">
        <f>MAX(0,AJ832-AK832)</f>
        <v/>
      </c>
      <c r="AN832" s="84">
        <f>IF(AM832=0,AH832,IF(AM832&gt;=AH832,0,AH832-AM832))</f>
        <v/>
      </c>
      <c r="AO832" s="84">
        <f>IF(AM832&gt;=AH832,AI832,AI832*AM832/AH832)</f>
        <v/>
      </c>
      <c r="AP832">
        <f t="array" ref="AP832">INDEX($AU$8:$BB$25,6*(R832-1)+MATCH(AB832,$AS$8:$AS$13,0),MATCH(O832,$AU$7:$BB$7,0))</f>
        <v/>
      </c>
    </row>
    <row r="833" ht="14.25" customHeight="1">
      <c r="O833" s="43" t="inlineStr">
        <is>
          <t>Q3’27</t>
        </is>
      </c>
      <c r="P833" s="43" t="n">
        <v>2</v>
      </c>
      <c r="Q833" s="43" t="n">
        <v>7</v>
      </c>
      <c r="R833" s="43" t="n">
        <v>1</v>
      </c>
      <c r="S833" s="45" t="n">
        <v>5636.256440344772</v>
      </c>
      <c r="T833">
        <f>(S833+S834+S835)=T3</f>
        <v/>
      </c>
      <c r="X833" s="84">
        <f>MAX(S830-S833,0)</f>
        <v/>
      </c>
      <c r="Y833" s="83" t="n">
        <v>0</v>
      </c>
      <c r="AA833" s="84" t="n">
        <v>4</v>
      </c>
      <c r="AB833" s="84" t="inlineStr">
        <is>
          <t>F</t>
        </is>
      </c>
      <c r="AC833" s="84" t="inlineStr">
        <is>
          <t>F+</t>
        </is>
      </c>
      <c r="AD833" s="84" t="n">
        <v>17</v>
      </c>
      <c r="AE833" s="84" t="n">
        <v>15</v>
      </c>
      <c r="AF833" s="84" t="n">
        <v>0.8</v>
      </c>
      <c r="AG833" s="84" t="n">
        <v>0.9</v>
      </c>
      <c r="AH833" s="84" t="n">
        <v>0</v>
      </c>
      <c r="AI833" s="84" t="n">
        <v>0</v>
      </c>
      <c r="AJ833" s="84">
        <f>SUMIFS(AH$8:AH$1039,$O$8:$O$1039,O833,$AB$8:$AB$1039,AB833,$R$8:$R$1039,R833,$AA$8:$AA$1039,"&lt;="&amp;AA833)</f>
        <v/>
      </c>
      <c r="AK833" s="84">
        <f>C85</f>
        <v/>
      </c>
      <c r="AL833" s="84">
        <f>C91</f>
        <v/>
      </c>
      <c r="AM833" s="84">
        <f>MAX(0,AJ833-AK833)</f>
        <v/>
      </c>
      <c r="AN833" s="84">
        <f>IF(AM833=0,AH833,IF(AM833&gt;=AH833,0,AH833-AM833))</f>
        <v/>
      </c>
      <c r="AO833" s="84">
        <f>IF(AM833&gt;=AH833,AI833,AI833*AM833/AH833)</f>
        <v/>
      </c>
      <c r="AP833">
        <f t="array" ref="AP833">INDEX($AU$8:$BB$25,6*(R833-1)+MATCH(AB833,$AS$8:$AS$13,0),MATCH(O833,$AU$7:$BB$7,0))</f>
        <v/>
      </c>
    </row>
    <row r="834" ht="14.25" customHeight="1">
      <c r="O834" s="43" t="inlineStr">
        <is>
          <t>Q3’27</t>
        </is>
      </c>
      <c r="P834" s="43" t="n">
        <v>2</v>
      </c>
      <c r="Q834" s="43" t="n">
        <v>7</v>
      </c>
      <c r="R834" s="43" t="n">
        <v>2</v>
      </c>
      <c r="S834" s="45" t="n">
        <v>1363.743559655228</v>
      </c>
      <c r="T834">
        <f>(S833+S834+S835)=T3</f>
        <v/>
      </c>
      <c r="X834" s="84">
        <f>MAX(S831-S834,0)</f>
        <v/>
      </c>
      <c r="Y834" s="83" t="n">
        <v>0</v>
      </c>
      <c r="AA834" s="84" t="n">
        <v>4</v>
      </c>
      <c r="AB834" s="84" t="inlineStr">
        <is>
          <t>F</t>
        </is>
      </c>
      <c r="AC834" s="84" t="inlineStr">
        <is>
          <t>F+</t>
        </is>
      </c>
      <c r="AD834" s="84" t="n">
        <v>17</v>
      </c>
      <c r="AE834" s="84" t="n">
        <v>15</v>
      </c>
      <c r="AF834" s="84" t="n">
        <v>0.8</v>
      </c>
      <c r="AG834" s="84" t="n">
        <v>0.9</v>
      </c>
      <c r="AH834" s="84" t="n">
        <v>0</v>
      </c>
      <c r="AI834" s="84" t="n">
        <v>0</v>
      </c>
      <c r="AJ834" s="84">
        <f>SUMIFS(AH$8:AH$1039,$O$8:$O$1039,O834,$AB$8:$AB$1039,AB834,$R$8:$R$1039,R834,$AA$8:$AA$1039,"&lt;="&amp;AA834)</f>
        <v/>
      </c>
      <c r="AK834" s="84">
        <f>D85</f>
        <v/>
      </c>
      <c r="AL834" s="84">
        <f>D91</f>
        <v/>
      </c>
      <c r="AM834" s="84">
        <f>MAX(0,AJ834-AK834)</f>
        <v/>
      </c>
      <c r="AN834" s="84">
        <f>IF(AM834=0,AH834,IF(AM834&gt;=AH834,0,AH834-AM834))</f>
        <v/>
      </c>
      <c r="AO834" s="84">
        <f>IF(AM834&gt;=AH834,AI834,AI834*AM834/AH834)</f>
        <v/>
      </c>
      <c r="AP834">
        <f t="array" ref="AP834">INDEX($AU$8:$BB$25,6*(R834-1)+MATCH(AB834,$AS$8:$AS$13,0),MATCH(O834,$AU$7:$BB$7,0))</f>
        <v/>
      </c>
    </row>
    <row r="835" ht="14.25" customHeight="1">
      <c r="O835" s="43" t="inlineStr">
        <is>
          <t>Q3’27</t>
        </is>
      </c>
      <c r="P835" s="43" t="n">
        <v>2</v>
      </c>
      <c r="Q835" s="43" t="n">
        <v>7</v>
      </c>
      <c r="R835" s="43" t="n">
        <v>3</v>
      </c>
      <c r="S835" s="45" t="n">
        <v>0</v>
      </c>
      <c r="T835">
        <f>(S833+S834+S835)=T3</f>
        <v/>
      </c>
      <c r="X835" s="84">
        <f>MAX(S832-S835,0)</f>
        <v/>
      </c>
      <c r="Y835" s="83" t="n">
        <v>0</v>
      </c>
      <c r="AA835" s="84" t="n">
        <v>4</v>
      </c>
      <c r="AB835" s="84" t="inlineStr">
        <is>
          <t>F</t>
        </is>
      </c>
      <c r="AC835" s="84" t="inlineStr">
        <is>
          <t>F+</t>
        </is>
      </c>
      <c r="AD835" s="84" t="n">
        <v>17</v>
      </c>
      <c r="AE835" s="84" t="n">
        <v>15</v>
      </c>
      <c r="AF835" s="84" t="n">
        <v>0.8</v>
      </c>
      <c r="AG835" s="84" t="n">
        <v>0.9</v>
      </c>
      <c r="AH835" s="84" t="n">
        <v>0</v>
      </c>
      <c r="AI835" s="84" t="n">
        <v>0</v>
      </c>
      <c r="AJ835" s="84">
        <f>SUMIFS(AH$8:AH$1039,$O$8:$O$1039,O835,$AB$8:$AB$1039,AB835,$R$8:$R$1039,R835,$AA$8:$AA$1039,"&lt;="&amp;AA835)</f>
        <v/>
      </c>
      <c r="AK835" s="84">
        <f>E85</f>
        <v/>
      </c>
      <c r="AL835" s="84">
        <f>E91</f>
        <v/>
      </c>
      <c r="AM835" s="84">
        <f>MAX(0,AJ835-AK835)</f>
        <v/>
      </c>
      <c r="AN835" s="84">
        <f>IF(AM835=0,AH835,IF(AM835&gt;=AH835,0,AH835-AM835))</f>
        <v/>
      </c>
      <c r="AO835" s="84">
        <f>IF(AM835&gt;=AH835,AI835,AI835*AM835/AH835)</f>
        <v/>
      </c>
      <c r="AP835">
        <f t="array" ref="AP835">INDEX($AU$8:$BB$25,6*(R835-1)+MATCH(AB835,$AS$8:$AS$13,0),MATCH(O835,$AU$7:$BB$7,0))</f>
        <v/>
      </c>
    </row>
    <row r="836" ht="14.25" customHeight="1">
      <c r="O836" s="43" t="inlineStr">
        <is>
          <t>Q3’27</t>
        </is>
      </c>
      <c r="P836" s="43" t="n">
        <v>2</v>
      </c>
      <c r="Q836" s="43" t="n">
        <v>8</v>
      </c>
      <c r="R836" s="43" t="n">
        <v>1</v>
      </c>
      <c r="S836" s="45" t="n">
        <v>5636.256440344772</v>
      </c>
      <c r="T836">
        <f>(S836+S837+S838)=T3</f>
        <v/>
      </c>
      <c r="X836" s="84">
        <f>MAX(S833-S836,0)</f>
        <v/>
      </c>
      <c r="Y836" s="83" t="n">
        <v>0</v>
      </c>
      <c r="AA836" s="84" t="n">
        <v>4</v>
      </c>
      <c r="AB836" s="84" t="inlineStr">
        <is>
          <t>B</t>
        </is>
      </c>
      <c r="AC836" s="84" t="inlineStr">
        <is>
          <t>B+</t>
        </is>
      </c>
      <c r="AD836" s="84" t="n">
        <v>22</v>
      </c>
      <c r="AE836" s="84" t="n">
        <v>16</v>
      </c>
      <c r="AF836" s="84" t="n">
        <v>0.76</v>
      </c>
      <c r="AG836" s="84" t="n">
        <v>0.8100000000000001</v>
      </c>
      <c r="AH836" s="84" t="n">
        <v>0</v>
      </c>
      <c r="AI836" s="84" t="n">
        <v>0</v>
      </c>
      <c r="AJ836" s="84">
        <f>SUMIFS(AH$8:AH$1039,$O$8:$O$1039,O836,$AB$8:$AB$1039,AB836,$R$8:$R$1039,R836,$AA$8:$AA$1039,"&lt;="&amp;AA836)</f>
        <v/>
      </c>
      <c r="AK836" s="84">
        <f>C81</f>
        <v/>
      </c>
      <c r="AL836" s="84">
        <f>C87</f>
        <v/>
      </c>
      <c r="AM836" s="84">
        <f>MAX(0,AJ836-AK836)</f>
        <v/>
      </c>
      <c r="AN836" s="84">
        <f>IF(AM836=0,AH836,IF(AM836&gt;=AH836,0,AH836-AM836))</f>
        <v/>
      </c>
      <c r="AO836" s="84">
        <f>IF(AM836&gt;=AH836,AI836,AI836*AM836/AH836)</f>
        <v/>
      </c>
      <c r="AP836">
        <f t="array" ref="AP836">INDEX($AU$8:$BB$25,6*(R836-1)+MATCH(AB836,$AS$8:$AS$13,0),MATCH(O836,$AU$7:$BB$7,0))</f>
        <v/>
      </c>
    </row>
    <row r="837" ht="14.25" customHeight="1">
      <c r="O837" s="43" t="inlineStr">
        <is>
          <t>Q3’27</t>
        </is>
      </c>
      <c r="P837" s="43" t="n">
        <v>2</v>
      </c>
      <c r="Q837" s="43" t="n">
        <v>8</v>
      </c>
      <c r="R837" s="43" t="n">
        <v>2</v>
      </c>
      <c r="S837" s="45" t="n">
        <v>1363.743559655228</v>
      </c>
      <c r="T837">
        <f>(S836+S837+S838)=T3</f>
        <v/>
      </c>
      <c r="X837" s="84">
        <f>MAX(S834-S837,0)</f>
        <v/>
      </c>
      <c r="Y837" s="83" t="n">
        <v>0</v>
      </c>
      <c r="AA837" s="84" t="n">
        <v>4</v>
      </c>
      <c r="AB837" s="84" t="inlineStr">
        <is>
          <t>B</t>
        </is>
      </c>
      <c r="AC837" s="84" t="inlineStr">
        <is>
          <t>B+</t>
        </is>
      </c>
      <c r="AD837" s="84" t="n">
        <v>22</v>
      </c>
      <c r="AE837" s="84" t="n">
        <v>16</v>
      </c>
      <c r="AF837" s="84" t="n">
        <v>0.76</v>
      </c>
      <c r="AG837" s="84" t="n">
        <v>0.8100000000000001</v>
      </c>
      <c r="AH837" s="84" t="n">
        <v>0</v>
      </c>
      <c r="AI837" s="84" t="n">
        <v>0</v>
      </c>
      <c r="AJ837" s="84">
        <f>SUMIFS(AH$8:AH$1039,$O$8:$O$1039,O837,$AB$8:$AB$1039,AB837,$R$8:$R$1039,R837,$AA$8:$AA$1039,"&lt;="&amp;AA837)</f>
        <v/>
      </c>
      <c r="AK837" s="84">
        <f>D81</f>
        <v/>
      </c>
      <c r="AL837" s="84">
        <f>D87</f>
        <v/>
      </c>
      <c r="AM837" s="84">
        <f>MAX(0,AJ837-AK837)</f>
        <v/>
      </c>
      <c r="AN837" s="84">
        <f>IF(AM837=0,AH837,IF(AM837&gt;=AH837,0,AH837-AM837))</f>
        <v/>
      </c>
      <c r="AO837" s="84">
        <f>IF(AM837&gt;=AH837,AI837,AI837*AM837/AH837)</f>
        <v/>
      </c>
      <c r="AP837">
        <f t="array" ref="AP837">INDEX($AU$8:$BB$25,6*(R837-1)+MATCH(AB837,$AS$8:$AS$13,0),MATCH(O837,$AU$7:$BB$7,0))</f>
        <v/>
      </c>
    </row>
    <row r="838" ht="14.25" customHeight="1">
      <c r="O838" s="43" t="inlineStr">
        <is>
          <t>Q3’27</t>
        </is>
      </c>
      <c r="P838" s="43" t="n">
        <v>2</v>
      </c>
      <c r="Q838" s="43" t="n">
        <v>8</v>
      </c>
      <c r="R838" s="43" t="n">
        <v>3</v>
      </c>
      <c r="S838" s="45" t="n">
        <v>0</v>
      </c>
      <c r="T838">
        <f>(S836+S837+S838)=T3</f>
        <v/>
      </c>
      <c r="X838" s="84">
        <f>MAX(S835-S838,0)</f>
        <v/>
      </c>
      <c r="Y838" s="83" t="n">
        <v>0</v>
      </c>
      <c r="AA838" s="84" t="n">
        <v>4</v>
      </c>
      <c r="AB838" s="84" t="inlineStr">
        <is>
          <t>B</t>
        </is>
      </c>
      <c r="AC838" s="84" t="inlineStr">
        <is>
          <t>B+</t>
        </is>
      </c>
      <c r="AD838" s="84" t="n">
        <v>22</v>
      </c>
      <c r="AE838" s="84" t="n">
        <v>16</v>
      </c>
      <c r="AF838" s="84" t="n">
        <v>0.76</v>
      </c>
      <c r="AG838" s="84" t="n">
        <v>0.8100000000000001</v>
      </c>
      <c r="AH838" s="84" t="n">
        <v>0</v>
      </c>
      <c r="AI838" s="84" t="n">
        <v>0</v>
      </c>
      <c r="AJ838" s="84">
        <f>SUMIFS(AH$8:AH$1039,$O$8:$O$1039,O838,$AB$8:$AB$1039,AB838,$R$8:$R$1039,R838,$AA$8:$AA$1039,"&lt;="&amp;AA838)</f>
        <v/>
      </c>
      <c r="AK838" s="84">
        <f>E81</f>
        <v/>
      </c>
      <c r="AL838" s="84">
        <f>E87</f>
        <v/>
      </c>
      <c r="AM838" s="84">
        <f>MAX(0,AJ838-AK838)</f>
        <v/>
      </c>
      <c r="AN838" s="84">
        <f>IF(AM838=0,AH838,IF(AM838&gt;=AH838,0,AH838-AM838))</f>
        <v/>
      </c>
      <c r="AO838" s="84">
        <f>IF(AM838&gt;=AH838,AI838,AI838*AM838/AH838)</f>
        <v/>
      </c>
      <c r="AP838">
        <f t="array" ref="AP838">INDEX($AU$8:$BB$25,6*(R838-1)+MATCH(AB838,$AS$8:$AS$13,0),MATCH(O838,$AU$7:$BB$7,0))</f>
        <v/>
      </c>
    </row>
    <row r="839" ht="14.25" customHeight="1">
      <c r="O839" s="43" t="inlineStr">
        <is>
          <t>Q3’27</t>
        </is>
      </c>
      <c r="P839" s="43" t="n">
        <v>2</v>
      </c>
      <c r="Q839" s="43" t="n">
        <v>9</v>
      </c>
      <c r="R839" s="43" t="n">
        <v>1</v>
      </c>
      <c r="S839" s="45" t="n">
        <v>5636.256440344772</v>
      </c>
      <c r="T839">
        <f>(S839+S840+S841)=T3</f>
        <v/>
      </c>
      <c r="X839" s="84">
        <f>MAX(S836-S839,0)</f>
        <v/>
      </c>
      <c r="Y839" s="83" t="n">
        <v>0</v>
      </c>
      <c r="AA839" s="84" t="n">
        <v>4</v>
      </c>
      <c r="AB839" s="84" t="inlineStr">
        <is>
          <t>E</t>
        </is>
      </c>
      <c r="AC839" s="84" t="inlineStr">
        <is>
          <t>E+</t>
        </is>
      </c>
      <c r="AD839" s="84" t="n">
        <v>7</v>
      </c>
      <c r="AE839" s="84" t="n">
        <v>6</v>
      </c>
      <c r="AF839" s="84" t="n">
        <v>0.76</v>
      </c>
      <c r="AG839" s="84" t="n">
        <v>0.84</v>
      </c>
      <c r="AH839" s="84" t="n">
        <v>0</v>
      </c>
      <c r="AI839" s="84" t="n">
        <v>0</v>
      </c>
      <c r="AJ839" s="84">
        <f>SUMIFS(AH$8:AH$1039,$O$8:$O$1039,O839,$AB$8:$AB$1039,AB839,$R$8:$R$1039,R839,$AA$8:$AA$1039,"&lt;="&amp;AA839)</f>
        <v/>
      </c>
      <c r="AK839" s="84">
        <f>C84</f>
        <v/>
      </c>
      <c r="AL839" s="84">
        <f>C90</f>
        <v/>
      </c>
      <c r="AM839" s="84">
        <f>MAX(0,AJ839-AK839)</f>
        <v/>
      </c>
      <c r="AN839" s="84">
        <f>IF(AM839=0,AH839,IF(AM839&gt;=AH839,0,AH839-AM839))</f>
        <v/>
      </c>
      <c r="AO839" s="84">
        <f>IF(AM839&gt;=AH839,AI839,AI839*AM839/AH839)</f>
        <v/>
      </c>
      <c r="AP839">
        <f t="array" ref="AP839">INDEX($AU$8:$BB$25,6*(R839-1)+MATCH(AB839,$AS$8:$AS$13,0),MATCH(O839,$AU$7:$BB$7,0))</f>
        <v/>
      </c>
    </row>
    <row r="840" ht="14.25" customHeight="1">
      <c r="O840" s="43" t="inlineStr">
        <is>
          <t>Q3’27</t>
        </is>
      </c>
      <c r="P840" s="43" t="n">
        <v>2</v>
      </c>
      <c r="Q840" s="43" t="n">
        <v>9</v>
      </c>
      <c r="R840" s="43" t="n">
        <v>2</v>
      </c>
      <c r="S840" s="45" t="n">
        <v>1363.743559655228</v>
      </c>
      <c r="T840">
        <f>(S839+S840+S841)=T3</f>
        <v/>
      </c>
      <c r="X840" s="84">
        <f>MAX(S837-S840,0)</f>
        <v/>
      </c>
      <c r="Y840" s="83" t="n">
        <v>0</v>
      </c>
      <c r="AA840" s="84" t="n">
        <v>4</v>
      </c>
      <c r="AB840" s="84" t="inlineStr">
        <is>
          <t>E</t>
        </is>
      </c>
      <c r="AC840" s="84" t="inlineStr">
        <is>
          <t>E+</t>
        </is>
      </c>
      <c r="AD840" s="84" t="n">
        <v>7</v>
      </c>
      <c r="AE840" s="84" t="n">
        <v>6</v>
      </c>
      <c r="AF840" s="84" t="n">
        <v>0.76</v>
      </c>
      <c r="AG840" s="84" t="n">
        <v>0.84</v>
      </c>
      <c r="AH840" s="84" t="n">
        <v>0</v>
      </c>
      <c r="AI840" s="84" t="n">
        <v>0</v>
      </c>
      <c r="AJ840" s="84">
        <f>SUMIFS(AH$8:AH$1039,$O$8:$O$1039,O840,$AB$8:$AB$1039,AB840,$R$8:$R$1039,R840,$AA$8:$AA$1039,"&lt;="&amp;AA840)</f>
        <v/>
      </c>
      <c r="AK840" s="84">
        <f>D84</f>
        <v/>
      </c>
      <c r="AL840" s="84">
        <f>D90</f>
        <v/>
      </c>
      <c r="AM840" s="84">
        <f>MAX(0,AJ840-AK840)</f>
        <v/>
      </c>
      <c r="AN840" s="84">
        <f>IF(AM840=0,AH840,IF(AM840&gt;=AH840,0,AH840-AM840))</f>
        <v/>
      </c>
      <c r="AO840" s="84">
        <f>IF(AM840&gt;=AH840,AI840,AI840*AM840/AH840)</f>
        <v/>
      </c>
      <c r="AP840">
        <f t="array" ref="AP840">INDEX($AU$8:$BB$25,6*(R840-1)+MATCH(AB840,$AS$8:$AS$13,0),MATCH(O840,$AU$7:$BB$7,0))</f>
        <v/>
      </c>
    </row>
    <row r="841" ht="14.25" customHeight="1">
      <c r="O841" s="43" t="inlineStr">
        <is>
          <t>Q3’27</t>
        </is>
      </c>
      <c r="P841" s="43" t="n">
        <v>2</v>
      </c>
      <c r="Q841" s="43" t="n">
        <v>9</v>
      </c>
      <c r="R841" s="43" t="n">
        <v>3</v>
      </c>
      <c r="S841" s="45" t="n">
        <v>0</v>
      </c>
      <c r="T841">
        <f>(S839+S840+S841)=T3</f>
        <v/>
      </c>
      <c r="X841" s="84">
        <f>MAX(S838-S841,0)</f>
        <v/>
      </c>
      <c r="Y841" s="83" t="n">
        <v>0</v>
      </c>
      <c r="AA841" s="84" t="n">
        <v>4</v>
      </c>
      <c r="AB841" s="84" t="inlineStr">
        <is>
          <t>E</t>
        </is>
      </c>
      <c r="AC841" s="84" t="inlineStr">
        <is>
          <t>E+</t>
        </is>
      </c>
      <c r="AD841" s="84" t="n">
        <v>7</v>
      </c>
      <c r="AE841" s="84" t="n">
        <v>6</v>
      </c>
      <c r="AF841" s="84" t="n">
        <v>0.76</v>
      </c>
      <c r="AG841" s="84" t="n">
        <v>0.84</v>
      </c>
      <c r="AH841" s="84" t="n">
        <v>0</v>
      </c>
      <c r="AI841" s="84" t="n">
        <v>0</v>
      </c>
      <c r="AJ841" s="84">
        <f>SUMIFS(AH$8:AH$1039,$O$8:$O$1039,O841,$AB$8:$AB$1039,AB841,$R$8:$R$1039,R841,$AA$8:$AA$1039,"&lt;="&amp;AA841)</f>
        <v/>
      </c>
      <c r="AK841" s="84">
        <f>E84</f>
        <v/>
      </c>
      <c r="AL841" s="84">
        <f>E90</f>
        <v/>
      </c>
      <c r="AM841" s="84">
        <f>MAX(0,AJ841-AK841)</f>
        <v/>
      </c>
      <c r="AN841" s="84">
        <f>IF(AM841=0,AH841,IF(AM841&gt;=AH841,0,AH841-AM841))</f>
        <v/>
      </c>
      <c r="AO841" s="84">
        <f>IF(AM841&gt;=AH841,AI841,AI841*AM841/AH841)</f>
        <v/>
      </c>
      <c r="AP841">
        <f t="array" ref="AP841">INDEX($AU$8:$BB$25,6*(R841-1)+MATCH(AB841,$AS$8:$AS$13,0),MATCH(O841,$AU$7:$BB$7,0))</f>
        <v/>
      </c>
    </row>
    <row r="842" ht="14.25" customHeight="1">
      <c r="O842" s="43" t="inlineStr">
        <is>
          <t>Q3’27</t>
        </is>
      </c>
      <c r="P842" s="43" t="n">
        <v>2</v>
      </c>
      <c r="Q842" s="43" t="n">
        <v>10</v>
      </c>
      <c r="R842" s="43" t="n">
        <v>1</v>
      </c>
      <c r="S842" s="45" t="n">
        <v>5636.256440344772</v>
      </c>
      <c r="T842">
        <f>(S842+S843+S844)=T3</f>
        <v/>
      </c>
      <c r="X842" s="84">
        <f>MAX(S839-S842,0)</f>
        <v/>
      </c>
      <c r="Y842" s="83" t="n">
        <v>0</v>
      </c>
      <c r="AA842" s="84" t="n">
        <v>6</v>
      </c>
      <c r="AB842" s="84" t="inlineStr">
        <is>
          <t>E</t>
        </is>
      </c>
      <c r="AC842" s="84" t="inlineStr">
        <is>
          <t>E+</t>
        </is>
      </c>
      <c r="AD842" s="84" t="n">
        <v>9</v>
      </c>
      <c r="AE842" s="84" t="n">
        <v>7</v>
      </c>
      <c r="AF842" s="84" t="n">
        <v>0.76</v>
      </c>
      <c r="AG842" s="84" t="n">
        <v>0.84</v>
      </c>
      <c r="AH842" s="84" t="n">
        <v>0</v>
      </c>
      <c r="AI842" s="84" t="n">
        <v>0</v>
      </c>
      <c r="AJ842" s="84">
        <f>SUMIFS(AH$8:AH$1039,$O$8:$O$1039,O842,$AB$8:$AB$1039,AB842,$R$8:$R$1039,R842,$AA$8:$AA$1039,"&lt;="&amp;AA842)</f>
        <v/>
      </c>
      <c r="AK842" s="84">
        <f>C84</f>
        <v/>
      </c>
      <c r="AL842" s="84">
        <f>C90</f>
        <v/>
      </c>
      <c r="AM842" s="84">
        <f>MAX(0,AJ842-AK842)</f>
        <v/>
      </c>
      <c r="AN842" s="84">
        <f>IF(AM842=0,AH842,IF(AM842&gt;=AH842,0,AH842-AM842))</f>
        <v/>
      </c>
      <c r="AO842" s="84">
        <f>IF(AM842&gt;=AH842,AI842,AI842*AM842/AH842)</f>
        <v/>
      </c>
      <c r="AP842">
        <f t="array" ref="AP842">INDEX($AU$8:$BB$25,6*(R842-1)+MATCH(AB842,$AS$8:$AS$13,0),MATCH(O842,$AU$7:$BB$7,0))</f>
        <v/>
      </c>
    </row>
    <row r="843" ht="14.25" customHeight="1">
      <c r="O843" s="43" t="inlineStr">
        <is>
          <t>Q3’27</t>
        </is>
      </c>
      <c r="P843" s="43" t="n">
        <v>2</v>
      </c>
      <c r="Q843" s="43" t="n">
        <v>10</v>
      </c>
      <c r="R843" s="43" t="n">
        <v>2</v>
      </c>
      <c r="S843" s="45" t="n">
        <v>1363.743559655228</v>
      </c>
      <c r="T843">
        <f>(S842+S843+S844)=T3</f>
        <v/>
      </c>
      <c r="X843" s="84">
        <f>MAX(S840-S843,0)</f>
        <v/>
      </c>
      <c r="Y843" s="83" t="n">
        <v>0</v>
      </c>
      <c r="AA843" s="84" t="n">
        <v>6</v>
      </c>
      <c r="AB843" s="84" t="inlineStr">
        <is>
          <t>E</t>
        </is>
      </c>
      <c r="AC843" s="84" t="inlineStr">
        <is>
          <t>E+</t>
        </is>
      </c>
      <c r="AD843" s="84" t="n">
        <v>9</v>
      </c>
      <c r="AE843" s="84" t="n">
        <v>7</v>
      </c>
      <c r="AF843" s="84" t="n">
        <v>0.76</v>
      </c>
      <c r="AG843" s="84" t="n">
        <v>0.84</v>
      </c>
      <c r="AH843" s="84" t="n">
        <v>0</v>
      </c>
      <c r="AI843" s="84" t="n">
        <v>0</v>
      </c>
      <c r="AJ843" s="84">
        <f>SUMIFS(AH$8:AH$1039,$O$8:$O$1039,O843,$AB$8:$AB$1039,AB843,$R$8:$R$1039,R843,$AA$8:$AA$1039,"&lt;="&amp;AA843)</f>
        <v/>
      </c>
      <c r="AK843" s="84">
        <f>D84</f>
        <v/>
      </c>
      <c r="AL843" s="84">
        <f>D90</f>
        <v/>
      </c>
      <c r="AM843" s="84">
        <f>MAX(0,AJ843-AK843)</f>
        <v/>
      </c>
      <c r="AN843" s="84">
        <f>IF(AM843=0,AH843,IF(AM843&gt;=AH843,0,AH843-AM843))</f>
        <v/>
      </c>
      <c r="AO843" s="84">
        <f>IF(AM843&gt;=AH843,AI843,AI843*AM843/AH843)</f>
        <v/>
      </c>
      <c r="AP843">
        <f t="array" ref="AP843">INDEX($AU$8:$BB$25,6*(R843-1)+MATCH(AB843,$AS$8:$AS$13,0),MATCH(O843,$AU$7:$BB$7,0))</f>
        <v/>
      </c>
    </row>
    <row r="844" ht="14.25" customHeight="1">
      <c r="O844" s="43" t="inlineStr">
        <is>
          <t>Q3’27</t>
        </is>
      </c>
      <c r="P844" s="43" t="n">
        <v>2</v>
      </c>
      <c r="Q844" s="43" t="n">
        <v>10</v>
      </c>
      <c r="R844" s="43" t="n">
        <v>3</v>
      </c>
      <c r="S844" s="45" t="n">
        <v>0</v>
      </c>
      <c r="T844">
        <f>(S842+S843+S844)=T3</f>
        <v/>
      </c>
      <c r="X844" s="84">
        <f>MAX(S841-S844,0)</f>
        <v/>
      </c>
      <c r="Y844" s="83" t="n">
        <v>0</v>
      </c>
      <c r="AA844" s="84" t="n">
        <v>6</v>
      </c>
      <c r="AB844" s="84" t="inlineStr">
        <is>
          <t>E</t>
        </is>
      </c>
      <c r="AC844" s="84" t="inlineStr">
        <is>
          <t>E+</t>
        </is>
      </c>
      <c r="AD844" s="84" t="n">
        <v>9</v>
      </c>
      <c r="AE844" s="84" t="n">
        <v>7</v>
      </c>
      <c r="AF844" s="84" t="n">
        <v>0.76</v>
      </c>
      <c r="AG844" s="84" t="n">
        <v>0.84</v>
      </c>
      <c r="AH844" s="84" t="n">
        <v>0</v>
      </c>
      <c r="AI844" s="84" t="n">
        <v>0</v>
      </c>
      <c r="AJ844" s="84">
        <f>SUMIFS(AH$8:AH$1039,$O$8:$O$1039,O844,$AB$8:$AB$1039,AB844,$R$8:$R$1039,R844,$AA$8:$AA$1039,"&lt;="&amp;AA844)</f>
        <v/>
      </c>
      <c r="AK844" s="84">
        <f>E84</f>
        <v/>
      </c>
      <c r="AL844" s="84">
        <f>E90</f>
        <v/>
      </c>
      <c r="AM844" s="84">
        <f>MAX(0,AJ844-AK844)</f>
        <v/>
      </c>
      <c r="AN844" s="84">
        <f>IF(AM844=0,AH844,IF(AM844&gt;=AH844,0,AH844-AM844))</f>
        <v/>
      </c>
      <c r="AO844" s="84">
        <f>IF(AM844&gt;=AH844,AI844,AI844*AM844/AH844)</f>
        <v/>
      </c>
      <c r="AP844">
        <f t="array" ref="AP844">INDEX($AU$8:$BB$25,6*(R844-1)+MATCH(AB844,$AS$8:$AS$13,0),MATCH(O844,$AU$7:$BB$7,0))</f>
        <v/>
      </c>
    </row>
    <row r="845" ht="14.25" customHeight="1">
      <c r="O845" s="43" t="inlineStr">
        <is>
          <t>Q3’27</t>
        </is>
      </c>
      <c r="P845" s="43" t="n">
        <v>2</v>
      </c>
      <c r="Q845" s="43" t="n">
        <v>11</v>
      </c>
      <c r="R845" s="43" t="n">
        <v>1</v>
      </c>
      <c r="S845" s="45" t="n">
        <v>5636.256440344774</v>
      </c>
      <c r="T845">
        <f>(S845+S846+S847)=T3</f>
        <v/>
      </c>
      <c r="X845" s="84">
        <f>MAX(S842-S845,0)</f>
        <v/>
      </c>
      <c r="Y845" s="83" t="n">
        <v>0</v>
      </c>
      <c r="AA845" s="84" t="n">
        <v>2</v>
      </c>
      <c r="AB845" s="84" t="inlineStr">
        <is>
          <t>E</t>
        </is>
      </c>
      <c r="AC845" s="84" t="inlineStr">
        <is>
          <t>E+</t>
        </is>
      </c>
      <c r="AD845" s="84" t="n">
        <v>20</v>
      </c>
      <c r="AE845" s="84" t="n">
        <v>19</v>
      </c>
      <c r="AF845" s="84" t="n">
        <v>0.76</v>
      </c>
      <c r="AG845" s="84" t="n">
        <v>0.84</v>
      </c>
      <c r="AH845" s="84" t="n">
        <v>0</v>
      </c>
      <c r="AI845" s="84" t="n">
        <v>0</v>
      </c>
      <c r="AJ845" s="84">
        <f>SUMIFS(AH$8:AH$1039,$O$8:$O$1039,O845,$AB$8:$AB$1039,AB845,$R$8:$R$1039,R845,$AA$8:$AA$1039,"&lt;="&amp;AA845)</f>
        <v/>
      </c>
      <c r="AK845" s="84">
        <f>C84</f>
        <v/>
      </c>
      <c r="AL845" s="84">
        <f>C90</f>
        <v/>
      </c>
      <c r="AM845" s="84">
        <f>MAX(0,AJ845-AK845)</f>
        <v/>
      </c>
      <c r="AN845" s="84">
        <f>IF(AM845=0,AH845,IF(AM845&gt;=AH845,0,AH845-AM845))</f>
        <v/>
      </c>
      <c r="AO845" s="84">
        <f>IF(AM845&gt;=AH845,AI845,AI845*AM845/AH845)</f>
        <v/>
      </c>
      <c r="AP845">
        <f t="array" ref="AP845">INDEX($AU$8:$BB$25,6*(R845-1)+MATCH(AB845,$AS$8:$AS$13,0),MATCH(O845,$AU$7:$BB$7,0))</f>
        <v/>
      </c>
    </row>
    <row r="846" ht="14.25" customHeight="1">
      <c r="O846" s="43" t="inlineStr">
        <is>
          <t>Q3’27</t>
        </is>
      </c>
      <c r="P846" s="43" t="n">
        <v>2</v>
      </c>
      <c r="Q846" s="43" t="n">
        <v>11</v>
      </c>
      <c r="R846" s="43" t="n">
        <v>2</v>
      </c>
      <c r="S846" s="45" t="n">
        <v>1363.743559655225</v>
      </c>
      <c r="T846">
        <f>(S845+S846+S847)=T3</f>
        <v/>
      </c>
      <c r="X846" s="84">
        <f>MAX(S843-S846,0)</f>
        <v/>
      </c>
      <c r="Y846" s="83" t="n">
        <v>0</v>
      </c>
      <c r="AA846" s="84" t="n">
        <v>2</v>
      </c>
      <c r="AB846" s="84" t="inlineStr">
        <is>
          <t>E</t>
        </is>
      </c>
      <c r="AC846" s="84" t="inlineStr">
        <is>
          <t>E+</t>
        </is>
      </c>
      <c r="AD846" s="84" t="n">
        <v>20</v>
      </c>
      <c r="AE846" s="84" t="n">
        <v>19</v>
      </c>
      <c r="AF846" s="84" t="n">
        <v>0.76</v>
      </c>
      <c r="AG846" s="84" t="n">
        <v>0.84</v>
      </c>
      <c r="AH846" s="84" t="n">
        <v>0</v>
      </c>
      <c r="AI846" s="84" t="n">
        <v>0</v>
      </c>
      <c r="AJ846" s="84">
        <f>SUMIFS(AH$8:AH$1039,$O$8:$O$1039,O846,$AB$8:$AB$1039,AB846,$R$8:$R$1039,R846,$AA$8:$AA$1039,"&lt;="&amp;AA846)</f>
        <v/>
      </c>
      <c r="AK846" s="84">
        <f>D84</f>
        <v/>
      </c>
      <c r="AL846" s="84">
        <f>D90</f>
        <v/>
      </c>
      <c r="AM846" s="84">
        <f>MAX(0,AJ846-AK846)</f>
        <v/>
      </c>
      <c r="AN846" s="84">
        <f>IF(AM846=0,AH846,IF(AM846&gt;=AH846,0,AH846-AM846))</f>
        <v/>
      </c>
      <c r="AO846" s="84">
        <f>IF(AM846&gt;=AH846,AI846,AI846*AM846/AH846)</f>
        <v/>
      </c>
      <c r="AP846">
        <f t="array" ref="AP846">INDEX($AU$8:$BB$25,6*(R846-1)+MATCH(AB846,$AS$8:$AS$13,0),MATCH(O846,$AU$7:$BB$7,0))</f>
        <v/>
      </c>
    </row>
    <row r="847" ht="14.25" customHeight="1">
      <c r="O847" s="43" t="inlineStr">
        <is>
          <t>Q3’27</t>
        </is>
      </c>
      <c r="P847" s="43" t="n">
        <v>2</v>
      </c>
      <c r="Q847" s="43" t="n">
        <v>11</v>
      </c>
      <c r="R847" s="43" t="n">
        <v>3</v>
      </c>
      <c r="S847" s="45" t="n">
        <v>9.094947017729282e-13</v>
      </c>
      <c r="T847">
        <f>(S845+S846+S847)=T3</f>
        <v/>
      </c>
      <c r="X847" s="84">
        <f>MAX(S844-S847,0)</f>
        <v/>
      </c>
      <c r="Y847" s="83" t="n">
        <v>0</v>
      </c>
      <c r="AA847" s="84" t="n">
        <v>2</v>
      </c>
      <c r="AB847" s="84" t="inlineStr">
        <is>
          <t>E</t>
        </is>
      </c>
      <c r="AC847" s="84" t="inlineStr">
        <is>
          <t>E+</t>
        </is>
      </c>
      <c r="AD847" s="84" t="n">
        <v>20</v>
      </c>
      <c r="AE847" s="84" t="n">
        <v>19</v>
      </c>
      <c r="AF847" s="84" t="n">
        <v>0.76</v>
      </c>
      <c r="AG847" s="84" t="n">
        <v>0.84</v>
      </c>
      <c r="AH847" s="84" t="n">
        <v>0</v>
      </c>
      <c r="AI847" s="84" t="n">
        <v>0</v>
      </c>
      <c r="AJ847" s="84">
        <f>SUMIFS(AH$8:AH$1039,$O$8:$O$1039,O847,$AB$8:$AB$1039,AB847,$R$8:$R$1039,R847,$AA$8:$AA$1039,"&lt;="&amp;AA847)</f>
        <v/>
      </c>
      <c r="AK847" s="84">
        <f>E84</f>
        <v/>
      </c>
      <c r="AL847" s="84">
        <f>E90</f>
        <v/>
      </c>
      <c r="AM847" s="84">
        <f>MAX(0,AJ847-AK847)</f>
        <v/>
      </c>
      <c r="AN847" s="84">
        <f>IF(AM847=0,AH847,IF(AM847&gt;=AH847,0,AH847-AM847))</f>
        <v/>
      </c>
      <c r="AO847" s="84">
        <f>IF(AM847&gt;=AH847,AI847,AI847*AM847/AH847)</f>
        <v/>
      </c>
      <c r="AP847">
        <f t="array" ref="AP847">INDEX($AU$8:$BB$25,6*(R847-1)+MATCH(AB847,$AS$8:$AS$13,0),MATCH(O847,$AU$7:$BB$7,0))</f>
        <v/>
      </c>
    </row>
    <row r="848" ht="14.25" customHeight="1">
      <c r="O848" s="43" t="inlineStr">
        <is>
          <t>Q3’27</t>
        </is>
      </c>
      <c r="P848" s="43" t="n">
        <v>2</v>
      </c>
      <c r="Q848" s="43" t="n">
        <v>12</v>
      </c>
      <c r="R848" s="43" t="n">
        <v>1</v>
      </c>
      <c r="S848" s="45" t="n">
        <v>5636.256440344774</v>
      </c>
      <c r="T848">
        <f>(S848+S849+S850)=T3</f>
        <v/>
      </c>
      <c r="X848" s="84">
        <f>MAX(S845-S848,0)</f>
        <v/>
      </c>
      <c r="Y848" s="83" t="n">
        <v>0</v>
      </c>
      <c r="AA848" s="84" t="n">
        <v>7</v>
      </c>
      <c r="AB848" s="84" t="inlineStr">
        <is>
          <t>F</t>
        </is>
      </c>
      <c r="AC848" s="84" t="inlineStr">
        <is>
          <t>F+</t>
        </is>
      </c>
      <c r="AD848" s="84" t="n">
        <v>21</v>
      </c>
      <c r="AE848" s="84" t="n">
        <v>18</v>
      </c>
      <c r="AF848" s="84" t="n">
        <v>0.8</v>
      </c>
      <c r="AG848" s="84" t="n">
        <v>0.9</v>
      </c>
      <c r="AH848" s="84" t="n">
        <v>0</v>
      </c>
      <c r="AI848" s="84" t="n">
        <v>0</v>
      </c>
      <c r="AJ848" s="84">
        <f>SUMIFS(AH$8:AH$1039,$O$8:$O$1039,O848,$AB$8:$AB$1039,AB848,$R$8:$R$1039,R848,$AA$8:$AA$1039,"&lt;="&amp;AA848)</f>
        <v/>
      </c>
      <c r="AK848" s="84">
        <f>C85</f>
        <v/>
      </c>
      <c r="AL848" s="84">
        <f>C91</f>
        <v/>
      </c>
      <c r="AM848" s="84">
        <f>MAX(0,AJ848-AK848)</f>
        <v/>
      </c>
      <c r="AN848" s="84">
        <f>IF(AM848=0,AH848,IF(AM848&gt;=AH848,0,AH848-AM848))</f>
        <v/>
      </c>
      <c r="AO848" s="84">
        <f>IF(AM848&gt;=AH848,AI848,AI848*AM848/AH848)</f>
        <v/>
      </c>
      <c r="AP848">
        <f t="array" ref="AP848">INDEX($AU$8:$BB$25,6*(R848-1)+MATCH(AB848,$AS$8:$AS$13,0),MATCH(O848,$AU$7:$BB$7,0))</f>
        <v/>
      </c>
    </row>
    <row r="849" ht="14.25" customHeight="1">
      <c r="O849" s="43" t="inlineStr">
        <is>
          <t>Q3’27</t>
        </is>
      </c>
      <c r="P849" s="43" t="n">
        <v>2</v>
      </c>
      <c r="Q849" s="43" t="n">
        <v>12</v>
      </c>
      <c r="R849" s="43" t="n">
        <v>2</v>
      </c>
      <c r="S849" s="45" t="n">
        <v>1363.743559655225</v>
      </c>
      <c r="T849">
        <f>(S848+S849+S850)=T3</f>
        <v/>
      </c>
      <c r="X849" s="84">
        <f>MAX(S846-S849,0)</f>
        <v/>
      </c>
      <c r="Y849" s="83" t="n">
        <v>0</v>
      </c>
      <c r="AA849" s="84" t="n">
        <v>7</v>
      </c>
      <c r="AB849" s="84" t="inlineStr">
        <is>
          <t>F</t>
        </is>
      </c>
      <c r="AC849" s="84" t="inlineStr">
        <is>
          <t>F+</t>
        </is>
      </c>
      <c r="AD849" s="84" t="n">
        <v>21</v>
      </c>
      <c r="AE849" s="84" t="n">
        <v>18</v>
      </c>
      <c r="AF849" s="84" t="n">
        <v>0.8</v>
      </c>
      <c r="AG849" s="84" t="n">
        <v>0.9</v>
      </c>
      <c r="AH849" s="84" t="n">
        <v>0</v>
      </c>
      <c r="AI849" s="84" t="n">
        <v>0</v>
      </c>
      <c r="AJ849" s="84">
        <f>SUMIFS(AH$8:AH$1039,$O$8:$O$1039,O849,$AB$8:$AB$1039,AB849,$R$8:$R$1039,R849,$AA$8:$AA$1039,"&lt;="&amp;AA849)</f>
        <v/>
      </c>
      <c r="AK849" s="84">
        <f>D85</f>
        <v/>
      </c>
      <c r="AL849" s="84">
        <f>D91</f>
        <v/>
      </c>
      <c r="AM849" s="84">
        <f>MAX(0,AJ849-AK849)</f>
        <v/>
      </c>
      <c r="AN849" s="84">
        <f>IF(AM849=0,AH849,IF(AM849&gt;=AH849,0,AH849-AM849))</f>
        <v/>
      </c>
      <c r="AO849" s="84">
        <f>IF(AM849&gt;=AH849,AI849,AI849*AM849/AH849)</f>
        <v/>
      </c>
      <c r="AP849">
        <f t="array" ref="AP849">INDEX($AU$8:$BB$25,6*(R849-1)+MATCH(AB849,$AS$8:$AS$13,0),MATCH(O849,$AU$7:$BB$7,0))</f>
        <v/>
      </c>
    </row>
    <row r="850" ht="14.25" customHeight="1">
      <c r="O850" s="43" t="inlineStr">
        <is>
          <t>Q3’27</t>
        </is>
      </c>
      <c r="P850" s="43" t="n">
        <v>2</v>
      </c>
      <c r="Q850" s="43" t="n">
        <v>12</v>
      </c>
      <c r="R850" s="43" t="n">
        <v>3</v>
      </c>
      <c r="S850" s="45" t="n">
        <v>9.094947017729282e-13</v>
      </c>
      <c r="T850">
        <f>(S848+S849+S850)=T3</f>
        <v/>
      </c>
      <c r="X850" s="84">
        <f>MAX(S847-S850,0)</f>
        <v/>
      </c>
      <c r="Y850" s="83" t="n">
        <v>0</v>
      </c>
      <c r="AA850" s="84" t="n">
        <v>7</v>
      </c>
      <c r="AB850" s="84" t="inlineStr">
        <is>
          <t>F</t>
        </is>
      </c>
      <c r="AC850" s="84" t="inlineStr">
        <is>
          <t>F+</t>
        </is>
      </c>
      <c r="AD850" s="84" t="n">
        <v>21</v>
      </c>
      <c r="AE850" s="84" t="n">
        <v>18</v>
      </c>
      <c r="AF850" s="84" t="n">
        <v>0.8</v>
      </c>
      <c r="AG850" s="84" t="n">
        <v>0.9</v>
      </c>
      <c r="AH850" s="84" t="n">
        <v>0</v>
      </c>
      <c r="AI850" s="84" t="n">
        <v>0</v>
      </c>
      <c r="AJ850" s="84">
        <f>SUMIFS(AH$8:AH$1039,$O$8:$O$1039,O850,$AB$8:$AB$1039,AB850,$R$8:$R$1039,R850,$AA$8:$AA$1039,"&lt;="&amp;AA850)</f>
        <v/>
      </c>
      <c r="AK850" s="84">
        <f>E85</f>
        <v/>
      </c>
      <c r="AL850" s="84">
        <f>E91</f>
        <v/>
      </c>
      <c r="AM850" s="84">
        <f>MAX(0,AJ850-AK850)</f>
        <v/>
      </c>
      <c r="AN850" s="84">
        <f>IF(AM850=0,AH850,IF(AM850&gt;=AH850,0,AH850-AM850))</f>
        <v/>
      </c>
      <c r="AO850" s="84">
        <f>IF(AM850&gt;=AH850,AI850,AI850*AM850/AH850)</f>
        <v/>
      </c>
      <c r="AP850">
        <f t="array" ref="AP850">INDEX($AU$8:$BB$25,6*(R850-1)+MATCH(AB850,$AS$8:$AS$13,0),MATCH(O850,$AU$7:$BB$7,0))</f>
        <v/>
      </c>
    </row>
    <row r="851" ht="14.25" customHeight="1">
      <c r="O851" s="43" t="inlineStr">
        <is>
          <t>Q3’27</t>
        </is>
      </c>
      <c r="P851" s="43" t="n">
        <v>2</v>
      </c>
      <c r="Q851" s="43" t="n">
        <v>13</v>
      </c>
      <c r="R851" s="43" t="n">
        <v>1</v>
      </c>
      <c r="S851" s="45" t="n">
        <v>5636.256440344774</v>
      </c>
      <c r="T851">
        <f>(S851+S852+S853)=T3</f>
        <v/>
      </c>
      <c r="X851" s="84">
        <f>MAX(S848-S851,0)</f>
        <v/>
      </c>
      <c r="Y851" s="83" t="n">
        <v>0</v>
      </c>
      <c r="AA851" s="84" t="n">
        <v>8</v>
      </c>
      <c r="AB851" s="84" t="inlineStr">
        <is>
          <t>E</t>
        </is>
      </c>
      <c r="AC851" s="84" t="inlineStr">
        <is>
          <t>E+</t>
        </is>
      </c>
      <c r="AD851" s="84" t="n">
        <v>12</v>
      </c>
      <c r="AE851" s="84" t="n">
        <v>9</v>
      </c>
      <c r="AF851" s="84" t="n">
        <v>0.76</v>
      </c>
      <c r="AG851" s="84" t="n">
        <v>0.84</v>
      </c>
      <c r="AH851" s="84" t="n">
        <v>0</v>
      </c>
      <c r="AI851" s="84" t="n">
        <v>0</v>
      </c>
      <c r="AJ851" s="84">
        <f>SUMIFS(AH$8:AH$1039,$O$8:$O$1039,O851,$AB$8:$AB$1039,AB851,$R$8:$R$1039,R851,$AA$8:$AA$1039,"&lt;="&amp;AA851)</f>
        <v/>
      </c>
      <c r="AK851" s="84">
        <f>C84</f>
        <v/>
      </c>
      <c r="AL851" s="84">
        <f>C90</f>
        <v/>
      </c>
      <c r="AM851" s="84">
        <f>MAX(0,AJ851-AK851)</f>
        <v/>
      </c>
      <c r="AN851" s="84">
        <f>IF(AM851=0,AH851,IF(AM851&gt;=AH851,0,AH851-AM851))</f>
        <v/>
      </c>
      <c r="AO851" s="84">
        <f>IF(AM851&gt;=AH851,AI851,AI851*AM851/AH851)</f>
        <v/>
      </c>
      <c r="AP851">
        <f t="array" ref="AP851">INDEX($AU$8:$BB$25,6*(R851-1)+MATCH(AB851,$AS$8:$AS$13,0),MATCH(O851,$AU$7:$BB$7,0))</f>
        <v/>
      </c>
    </row>
    <row r="852" ht="14.25" customHeight="1">
      <c r="O852" s="43" t="inlineStr">
        <is>
          <t>Q3’27</t>
        </is>
      </c>
      <c r="P852" s="43" t="n">
        <v>2</v>
      </c>
      <c r="Q852" s="43" t="n">
        <v>13</v>
      </c>
      <c r="R852" s="43" t="n">
        <v>2</v>
      </c>
      <c r="S852" s="45" t="n">
        <v>1363.743559655225</v>
      </c>
      <c r="T852">
        <f>(S851+S852+S853)=T3</f>
        <v/>
      </c>
      <c r="X852" s="84">
        <f>MAX(S849-S852,0)</f>
        <v/>
      </c>
      <c r="Y852" s="83" t="n">
        <v>0</v>
      </c>
      <c r="AA852" s="84" t="n">
        <v>8</v>
      </c>
      <c r="AB852" s="84" t="inlineStr">
        <is>
          <t>E</t>
        </is>
      </c>
      <c r="AC852" s="84" t="inlineStr">
        <is>
          <t>E+</t>
        </is>
      </c>
      <c r="AD852" s="84" t="n">
        <v>12</v>
      </c>
      <c r="AE852" s="84" t="n">
        <v>9</v>
      </c>
      <c r="AF852" s="84" t="n">
        <v>0.76</v>
      </c>
      <c r="AG852" s="84" t="n">
        <v>0.84</v>
      </c>
      <c r="AH852" s="84" t="n">
        <v>0</v>
      </c>
      <c r="AI852" s="84" t="n">
        <v>0</v>
      </c>
      <c r="AJ852" s="84">
        <f>SUMIFS(AH$8:AH$1039,$O$8:$O$1039,O852,$AB$8:$AB$1039,AB852,$R$8:$R$1039,R852,$AA$8:$AA$1039,"&lt;="&amp;AA852)</f>
        <v/>
      </c>
      <c r="AK852" s="84">
        <f>D84</f>
        <v/>
      </c>
      <c r="AL852" s="84">
        <f>D90</f>
        <v/>
      </c>
      <c r="AM852" s="84">
        <f>MAX(0,AJ852-AK852)</f>
        <v/>
      </c>
      <c r="AN852" s="84">
        <f>IF(AM852=0,AH852,IF(AM852&gt;=AH852,0,AH852-AM852))</f>
        <v/>
      </c>
      <c r="AO852" s="84">
        <f>IF(AM852&gt;=AH852,AI852,AI852*AM852/AH852)</f>
        <v/>
      </c>
      <c r="AP852">
        <f t="array" ref="AP852">INDEX($AU$8:$BB$25,6*(R852-1)+MATCH(AB852,$AS$8:$AS$13,0),MATCH(O852,$AU$7:$BB$7,0))</f>
        <v/>
      </c>
    </row>
    <row r="853" ht="14.25" customHeight="1">
      <c r="O853" s="43" t="inlineStr">
        <is>
          <t>Q3’27</t>
        </is>
      </c>
      <c r="P853" s="43" t="n">
        <v>2</v>
      </c>
      <c r="Q853" s="43" t="n">
        <v>13</v>
      </c>
      <c r="R853" s="43" t="n">
        <v>3</v>
      </c>
      <c r="S853" s="45" t="n">
        <v>9.094947017729282e-13</v>
      </c>
      <c r="T853">
        <f>(S851+S852+S853)=T3</f>
        <v/>
      </c>
      <c r="X853" s="84">
        <f>MAX(S850-S853,0)</f>
        <v/>
      </c>
      <c r="Y853" s="83" t="n">
        <v>0</v>
      </c>
      <c r="AA853" s="84" t="n">
        <v>8</v>
      </c>
      <c r="AB853" s="84" t="inlineStr">
        <is>
          <t>E</t>
        </is>
      </c>
      <c r="AC853" s="84" t="inlineStr">
        <is>
          <t>E+</t>
        </is>
      </c>
      <c r="AD853" s="84" t="n">
        <v>12</v>
      </c>
      <c r="AE853" s="84" t="n">
        <v>9</v>
      </c>
      <c r="AF853" s="84" t="n">
        <v>0.76</v>
      </c>
      <c r="AG853" s="84" t="n">
        <v>0.84</v>
      </c>
      <c r="AH853" s="84" t="n">
        <v>0</v>
      </c>
      <c r="AI853" s="84" t="n">
        <v>0</v>
      </c>
      <c r="AJ853" s="84">
        <f>SUMIFS(AH$8:AH$1039,$O$8:$O$1039,O853,$AB$8:$AB$1039,AB853,$R$8:$R$1039,R853,$AA$8:$AA$1039,"&lt;="&amp;AA853)</f>
        <v/>
      </c>
      <c r="AK853" s="84">
        <f>E84</f>
        <v/>
      </c>
      <c r="AL853" s="84">
        <f>E90</f>
        <v/>
      </c>
      <c r="AM853" s="84">
        <f>MAX(0,AJ853-AK853)</f>
        <v/>
      </c>
      <c r="AN853" s="84">
        <f>IF(AM853=0,AH853,IF(AM853&gt;=AH853,0,AH853-AM853))</f>
        <v/>
      </c>
      <c r="AO853" s="84">
        <f>IF(AM853&gt;=AH853,AI853,AI853*AM853/AH853)</f>
        <v/>
      </c>
      <c r="AP853">
        <f t="array" ref="AP853">INDEX($AU$8:$BB$25,6*(R853-1)+MATCH(AB853,$AS$8:$AS$13,0),MATCH(O853,$AU$7:$BB$7,0))</f>
        <v/>
      </c>
    </row>
    <row r="854" ht="14.25" customHeight="1">
      <c r="O854" s="43" t="inlineStr">
        <is>
          <t>Q3’27</t>
        </is>
      </c>
      <c r="P854" s="43" t="n">
        <v>2</v>
      </c>
      <c r="Q854" s="43" t="n">
        <v>14</v>
      </c>
      <c r="R854" s="43" t="n">
        <v>1</v>
      </c>
      <c r="S854" s="45" t="n">
        <v>5636.256440344774</v>
      </c>
      <c r="T854">
        <f>(S854+S855+S856)=T3</f>
        <v/>
      </c>
      <c r="X854" s="84">
        <f>MAX(S851-S854,0)</f>
        <v/>
      </c>
      <c r="Y854" s="83" t="n">
        <v>0</v>
      </c>
      <c r="AA854" s="84" t="n">
        <v>5</v>
      </c>
      <c r="AB854" s="84" t="inlineStr">
        <is>
          <t>E</t>
        </is>
      </c>
      <c r="AC854" s="84" t="inlineStr">
        <is>
          <t>E+</t>
        </is>
      </c>
      <c r="AD854" s="84" t="n">
        <v>15</v>
      </c>
      <c r="AE854" s="84" t="n">
        <v>12</v>
      </c>
      <c r="AF854" s="84" t="n">
        <v>0.76</v>
      </c>
      <c r="AG854" s="84" t="n">
        <v>0.84</v>
      </c>
      <c r="AH854" s="84" t="n">
        <v>0</v>
      </c>
      <c r="AI854" s="84" t="n">
        <v>0</v>
      </c>
      <c r="AJ854" s="84">
        <f>SUMIFS(AH$8:AH$1039,$O$8:$O$1039,O854,$AB$8:$AB$1039,AB854,$R$8:$R$1039,R854,$AA$8:$AA$1039,"&lt;="&amp;AA854)</f>
        <v/>
      </c>
      <c r="AK854" s="84">
        <f>C84</f>
        <v/>
      </c>
      <c r="AL854" s="84">
        <f>C90</f>
        <v/>
      </c>
      <c r="AM854" s="84">
        <f>MAX(0,AJ854-AK854)</f>
        <v/>
      </c>
      <c r="AN854" s="84">
        <f>IF(AM854=0,AH854,IF(AM854&gt;=AH854,0,AH854-AM854))</f>
        <v/>
      </c>
      <c r="AO854" s="84">
        <f>IF(AM854&gt;=AH854,AI854,AI854*AM854/AH854)</f>
        <v/>
      </c>
      <c r="AP854">
        <f t="array" ref="AP854">INDEX($AU$8:$BB$25,6*(R854-1)+MATCH(AB854,$AS$8:$AS$13,0),MATCH(O854,$AU$7:$BB$7,0))</f>
        <v/>
      </c>
    </row>
    <row r="855" ht="14.25" customHeight="1">
      <c r="O855" s="43" t="inlineStr">
        <is>
          <t>Q3’27</t>
        </is>
      </c>
      <c r="P855" s="43" t="n">
        <v>2</v>
      </c>
      <c r="Q855" s="43" t="n">
        <v>14</v>
      </c>
      <c r="R855" s="43" t="n">
        <v>2</v>
      </c>
      <c r="S855" s="45" t="n">
        <v>1363.743559655225</v>
      </c>
      <c r="T855">
        <f>(S854+S855+S856)=T3</f>
        <v/>
      </c>
      <c r="X855" s="84">
        <f>MAX(S852-S855,0)</f>
        <v/>
      </c>
      <c r="Y855" s="83" t="n">
        <v>0</v>
      </c>
      <c r="AA855" s="84" t="n">
        <v>5</v>
      </c>
      <c r="AB855" s="84" t="inlineStr">
        <is>
          <t>E</t>
        </is>
      </c>
      <c r="AC855" s="84" t="inlineStr">
        <is>
          <t>E+</t>
        </is>
      </c>
      <c r="AD855" s="84" t="n">
        <v>15</v>
      </c>
      <c r="AE855" s="84" t="n">
        <v>12</v>
      </c>
      <c r="AF855" s="84" t="n">
        <v>0.76</v>
      </c>
      <c r="AG855" s="84" t="n">
        <v>0.84</v>
      </c>
      <c r="AH855" s="84" t="n">
        <v>0</v>
      </c>
      <c r="AI855" s="84" t="n">
        <v>0</v>
      </c>
      <c r="AJ855" s="84">
        <f>SUMIFS(AH$8:AH$1039,$O$8:$O$1039,O855,$AB$8:$AB$1039,AB855,$R$8:$R$1039,R855,$AA$8:$AA$1039,"&lt;="&amp;AA855)</f>
        <v/>
      </c>
      <c r="AK855" s="84">
        <f>D84</f>
        <v/>
      </c>
      <c r="AL855" s="84">
        <f>D90</f>
        <v/>
      </c>
      <c r="AM855" s="84">
        <f>MAX(0,AJ855-AK855)</f>
        <v/>
      </c>
      <c r="AN855" s="84">
        <f>IF(AM855=0,AH855,IF(AM855&gt;=AH855,0,AH855-AM855))</f>
        <v/>
      </c>
      <c r="AO855" s="84">
        <f>IF(AM855&gt;=AH855,AI855,AI855*AM855/AH855)</f>
        <v/>
      </c>
      <c r="AP855">
        <f t="array" ref="AP855">INDEX($AU$8:$BB$25,6*(R855-1)+MATCH(AB855,$AS$8:$AS$13,0),MATCH(O855,$AU$7:$BB$7,0))</f>
        <v/>
      </c>
    </row>
    <row r="856" ht="14.25" customHeight="1">
      <c r="O856" s="43" t="inlineStr">
        <is>
          <t>Q3’27</t>
        </is>
      </c>
      <c r="P856" s="43" t="n">
        <v>2</v>
      </c>
      <c r="Q856" s="43" t="n">
        <v>14</v>
      </c>
      <c r="R856" s="43" t="n">
        <v>3</v>
      </c>
      <c r="S856" s="45" t="n">
        <v>9.094947017729282e-13</v>
      </c>
      <c r="T856">
        <f>(S854+S855+S856)=T3</f>
        <v/>
      </c>
      <c r="X856" s="84">
        <f>MAX(S853-S856,0)</f>
        <v/>
      </c>
      <c r="Y856" s="83" t="n">
        <v>0</v>
      </c>
      <c r="AA856" s="84" t="n">
        <v>5</v>
      </c>
      <c r="AB856" s="84" t="inlineStr">
        <is>
          <t>E</t>
        </is>
      </c>
      <c r="AC856" s="84" t="inlineStr">
        <is>
          <t>E+</t>
        </is>
      </c>
      <c r="AD856" s="84" t="n">
        <v>15</v>
      </c>
      <c r="AE856" s="84" t="n">
        <v>12</v>
      </c>
      <c r="AF856" s="84" t="n">
        <v>0.76</v>
      </c>
      <c r="AG856" s="84" t="n">
        <v>0.84</v>
      </c>
      <c r="AH856" s="84" t="n">
        <v>0</v>
      </c>
      <c r="AI856" s="84" t="n">
        <v>0</v>
      </c>
      <c r="AJ856" s="84">
        <f>SUMIFS(AH$8:AH$1039,$O$8:$O$1039,O856,$AB$8:$AB$1039,AB856,$R$8:$R$1039,R856,$AA$8:$AA$1039,"&lt;="&amp;AA856)</f>
        <v/>
      </c>
      <c r="AK856" s="84">
        <f>E84</f>
        <v/>
      </c>
      <c r="AL856" s="84">
        <f>E90</f>
        <v/>
      </c>
      <c r="AM856" s="84">
        <f>MAX(0,AJ856-AK856)</f>
        <v/>
      </c>
      <c r="AN856" s="84">
        <f>IF(AM856=0,AH856,IF(AM856&gt;=AH856,0,AH856-AM856))</f>
        <v/>
      </c>
      <c r="AO856" s="84">
        <f>IF(AM856&gt;=AH856,AI856,AI856*AM856/AH856)</f>
        <v/>
      </c>
      <c r="AP856">
        <f t="array" ref="AP856">INDEX($AU$8:$BB$25,6*(R856-1)+MATCH(AB856,$AS$8:$AS$13,0),MATCH(O856,$AU$7:$BB$7,0))</f>
        <v/>
      </c>
    </row>
    <row r="857" ht="14.25" customHeight="1">
      <c r="O857" s="43" t="inlineStr">
        <is>
          <t>Q3’27</t>
        </is>
      </c>
      <c r="P857" s="43" t="n">
        <v>2</v>
      </c>
      <c r="Q857" s="43" t="n">
        <v>15</v>
      </c>
      <c r="R857" s="43" t="n">
        <v>1</v>
      </c>
      <c r="S857" s="45" t="n">
        <v>5636.256440344774</v>
      </c>
      <c r="T857">
        <f>(S857+S858+S859)=T3</f>
        <v/>
      </c>
      <c r="X857" s="84">
        <f>MAX(S854-S857,0)</f>
        <v/>
      </c>
      <c r="Y857" s="83" t="n">
        <v>0</v>
      </c>
      <c r="AA857" s="84" t="n">
        <v>7</v>
      </c>
      <c r="AB857" s="84" t="inlineStr">
        <is>
          <t>E</t>
        </is>
      </c>
      <c r="AC857" s="84" t="inlineStr">
        <is>
          <t>E+</t>
        </is>
      </c>
      <c r="AD857" s="84" t="n">
        <v>13</v>
      </c>
      <c r="AE857" s="84" t="n">
        <v>10</v>
      </c>
      <c r="AF857" s="84" t="n">
        <v>0.76</v>
      </c>
      <c r="AG857" s="84" t="n">
        <v>0.84</v>
      </c>
      <c r="AH857" s="84" t="n">
        <v>0</v>
      </c>
      <c r="AI857" s="84" t="n">
        <v>0</v>
      </c>
      <c r="AJ857" s="84">
        <f>SUMIFS(AH$8:AH$1039,$O$8:$O$1039,O857,$AB$8:$AB$1039,AB857,$R$8:$R$1039,R857,$AA$8:$AA$1039,"&lt;="&amp;AA857)</f>
        <v/>
      </c>
      <c r="AK857" s="84">
        <f>C84</f>
        <v/>
      </c>
      <c r="AL857" s="84">
        <f>C90</f>
        <v/>
      </c>
      <c r="AM857" s="84">
        <f>MAX(0,AJ857-AK857)</f>
        <v/>
      </c>
      <c r="AN857" s="84">
        <f>IF(AM857=0,AH857,IF(AM857&gt;=AH857,0,AH857-AM857))</f>
        <v/>
      </c>
      <c r="AO857" s="84">
        <f>IF(AM857&gt;=AH857,AI857,AI857*AM857/AH857)</f>
        <v/>
      </c>
      <c r="AP857">
        <f t="array" ref="AP857">INDEX($AU$8:$BB$25,6*(R857-1)+MATCH(AB857,$AS$8:$AS$13,0),MATCH(O857,$AU$7:$BB$7,0))</f>
        <v/>
      </c>
    </row>
    <row r="858" ht="14.25" customHeight="1">
      <c r="O858" s="43" t="inlineStr">
        <is>
          <t>Q3’27</t>
        </is>
      </c>
      <c r="P858" s="43" t="n">
        <v>2</v>
      </c>
      <c r="Q858" s="43" t="n">
        <v>15</v>
      </c>
      <c r="R858" s="43" t="n">
        <v>2</v>
      </c>
      <c r="S858" s="45" t="n">
        <v>1363.743559655225</v>
      </c>
      <c r="T858">
        <f>(S857+S858+S859)=T3</f>
        <v/>
      </c>
      <c r="X858" s="84">
        <f>MAX(S855-S858,0)</f>
        <v/>
      </c>
      <c r="Y858" s="83" t="n">
        <v>0</v>
      </c>
      <c r="AA858" s="84" t="n">
        <v>7</v>
      </c>
      <c r="AB858" s="84" t="inlineStr">
        <is>
          <t>E</t>
        </is>
      </c>
      <c r="AC858" s="84" t="inlineStr">
        <is>
          <t>E+</t>
        </is>
      </c>
      <c r="AD858" s="84" t="n">
        <v>13</v>
      </c>
      <c r="AE858" s="84" t="n">
        <v>10</v>
      </c>
      <c r="AF858" s="84" t="n">
        <v>0.76</v>
      </c>
      <c r="AG858" s="84" t="n">
        <v>0.84</v>
      </c>
      <c r="AH858" s="84" t="n">
        <v>0</v>
      </c>
      <c r="AI858" s="84" t="n">
        <v>0</v>
      </c>
      <c r="AJ858" s="84">
        <f>SUMIFS(AH$8:AH$1039,$O$8:$O$1039,O858,$AB$8:$AB$1039,AB858,$R$8:$R$1039,R858,$AA$8:$AA$1039,"&lt;="&amp;AA858)</f>
        <v/>
      </c>
      <c r="AK858" s="84">
        <f>D84</f>
        <v/>
      </c>
      <c r="AL858" s="84">
        <f>D90</f>
        <v/>
      </c>
      <c r="AM858" s="84">
        <f>MAX(0,AJ858-AK858)</f>
        <v/>
      </c>
      <c r="AN858" s="84">
        <f>IF(AM858=0,AH858,IF(AM858&gt;=AH858,0,AH858-AM858))</f>
        <v/>
      </c>
      <c r="AO858" s="84">
        <f>IF(AM858&gt;=AH858,AI858,AI858*AM858/AH858)</f>
        <v/>
      </c>
      <c r="AP858">
        <f t="array" ref="AP858">INDEX($AU$8:$BB$25,6*(R858-1)+MATCH(AB858,$AS$8:$AS$13,0),MATCH(O858,$AU$7:$BB$7,0))</f>
        <v/>
      </c>
    </row>
    <row r="859" ht="14.25" customHeight="1">
      <c r="O859" s="43" t="inlineStr">
        <is>
          <t>Q3’27</t>
        </is>
      </c>
      <c r="P859" s="43" t="n">
        <v>2</v>
      </c>
      <c r="Q859" s="43" t="n">
        <v>15</v>
      </c>
      <c r="R859" s="43" t="n">
        <v>3</v>
      </c>
      <c r="S859" s="45" t="n">
        <v>9.094947017729282e-13</v>
      </c>
      <c r="T859">
        <f>(S857+S858+S859)=T3</f>
        <v/>
      </c>
      <c r="X859" s="84">
        <f>MAX(S856-S859,0)</f>
        <v/>
      </c>
      <c r="Y859" s="83" t="n">
        <v>0</v>
      </c>
      <c r="AA859" s="84" t="n">
        <v>7</v>
      </c>
      <c r="AB859" s="84" t="inlineStr">
        <is>
          <t>E</t>
        </is>
      </c>
      <c r="AC859" s="84" t="inlineStr">
        <is>
          <t>E+</t>
        </is>
      </c>
      <c r="AD859" s="84" t="n">
        <v>13</v>
      </c>
      <c r="AE859" s="84" t="n">
        <v>10</v>
      </c>
      <c r="AF859" s="84" t="n">
        <v>0.76</v>
      </c>
      <c r="AG859" s="84" t="n">
        <v>0.84</v>
      </c>
      <c r="AH859" s="84" t="n">
        <v>0</v>
      </c>
      <c r="AI859" s="84" t="n">
        <v>0</v>
      </c>
      <c r="AJ859" s="84">
        <f>SUMIFS(AH$8:AH$1039,$O$8:$O$1039,O859,$AB$8:$AB$1039,AB859,$R$8:$R$1039,R859,$AA$8:$AA$1039,"&lt;="&amp;AA859)</f>
        <v/>
      </c>
      <c r="AK859" s="84">
        <f>E84</f>
        <v/>
      </c>
      <c r="AL859" s="84">
        <f>E90</f>
        <v/>
      </c>
      <c r="AM859" s="84">
        <f>MAX(0,AJ859-AK859)</f>
        <v/>
      </c>
      <c r="AN859" s="84">
        <f>IF(AM859=0,AH859,IF(AM859&gt;=AH859,0,AH859-AM859))</f>
        <v/>
      </c>
      <c r="AO859" s="84">
        <f>IF(AM859&gt;=AH859,AI859,AI859*AM859/AH859)</f>
        <v/>
      </c>
      <c r="AP859">
        <f t="array" ref="AP859">INDEX($AU$8:$BB$25,6*(R859-1)+MATCH(AB859,$AS$8:$AS$13,0),MATCH(O859,$AU$7:$BB$7,0))</f>
        <v/>
      </c>
    </row>
    <row r="860" ht="14.25" customHeight="1">
      <c r="O860" s="43" t="inlineStr">
        <is>
          <t>Q3’27</t>
        </is>
      </c>
      <c r="P860" s="43" t="n">
        <v>3</v>
      </c>
      <c r="Q860" s="43" t="n">
        <v>1</v>
      </c>
      <c r="R860" s="43" t="n">
        <v>1</v>
      </c>
      <c r="S860" s="45" t="n">
        <v>2447.661176470583</v>
      </c>
      <c r="T860">
        <f>(S860+S861+S862)=T4</f>
        <v/>
      </c>
      <c r="X860" s="84" t="n">
        <v>0</v>
      </c>
      <c r="Y860" s="83" t="n">
        <v>0</v>
      </c>
      <c r="AA860" s="84" t="n">
        <v>1</v>
      </c>
      <c r="AB860" s="84" t="inlineStr">
        <is>
          <t>C</t>
        </is>
      </c>
      <c r="AC860" s="84" t="inlineStr">
        <is>
          <t>C+</t>
        </is>
      </c>
      <c r="AD860" s="84" t="n">
        <v>21</v>
      </c>
      <c r="AE860" s="84" t="n">
        <v>20</v>
      </c>
      <c r="AF860" s="84" t="n">
        <v>0.8</v>
      </c>
      <c r="AG860" s="84" t="n">
        <v>0.86</v>
      </c>
      <c r="AH860" s="84" t="n">
        <v>0</v>
      </c>
      <c r="AI860" s="84" t="n">
        <v>0</v>
      </c>
      <c r="AJ860" s="84">
        <f>SUMIFS(AH$8:AH$1039,$O$8:$O$1039,O860,$AB$8:$AB$1039,AB860,$R$8:$R$1039,R860,$AA$8:$AA$1039,"&lt;="&amp;AA860)</f>
        <v/>
      </c>
      <c r="AK860" s="84">
        <f>C82</f>
        <v/>
      </c>
      <c r="AL860" s="84">
        <f>C88</f>
        <v/>
      </c>
      <c r="AM860" s="84">
        <f>MAX(0,AJ860-AK860)</f>
        <v/>
      </c>
      <c r="AN860" s="84">
        <f>IF(AM860=0,AH860,IF(AM860&gt;=AH860,0,AH860-AM860))</f>
        <v/>
      </c>
      <c r="AO860" s="84">
        <f>IF(AM860&gt;=AH860,AI860,AI860*AM860/AH860)</f>
        <v/>
      </c>
      <c r="AP860">
        <f t="array" ref="AP860">INDEX($AU$8:$BB$25,6*(R860-1)+MATCH(AB860,$AS$8:$AS$13,0),MATCH(O860,$AU$7:$BB$7,0))</f>
        <v/>
      </c>
    </row>
    <row r="861" ht="14.25" customHeight="1">
      <c r="O861" s="43" t="inlineStr">
        <is>
          <t>Q3’27</t>
        </is>
      </c>
      <c r="P861" s="43" t="n">
        <v>3</v>
      </c>
      <c r="Q861" s="43" t="n">
        <v>1</v>
      </c>
      <c r="R861" s="43" t="n">
        <v>2</v>
      </c>
      <c r="S861" s="45" t="n">
        <v>6598.155294117642</v>
      </c>
      <c r="T861">
        <f>(S860+S861+S862)=T4</f>
        <v/>
      </c>
      <c r="X861" s="84" t="n">
        <v>0</v>
      </c>
      <c r="Y861" s="83" t="n">
        <v>0</v>
      </c>
      <c r="AA861" s="84" t="n">
        <v>1</v>
      </c>
      <c r="AB861" s="84" t="inlineStr">
        <is>
          <t>C</t>
        </is>
      </c>
      <c r="AC861" s="84" t="inlineStr">
        <is>
          <t>C+</t>
        </is>
      </c>
      <c r="AD861" s="84" t="n">
        <v>21</v>
      </c>
      <c r="AE861" s="84" t="n">
        <v>20</v>
      </c>
      <c r="AF861" s="84" t="n">
        <v>0.8</v>
      </c>
      <c r="AG861" s="84" t="n">
        <v>0.86</v>
      </c>
      <c r="AH861" s="84" t="n">
        <v>0</v>
      </c>
      <c r="AI861" s="84" t="n">
        <v>0</v>
      </c>
      <c r="AJ861" s="84">
        <f>SUMIFS(AH$8:AH$1039,$O$8:$O$1039,O861,$AB$8:$AB$1039,AB861,$R$8:$R$1039,R861,$AA$8:$AA$1039,"&lt;="&amp;AA861)</f>
        <v/>
      </c>
      <c r="AK861" s="84">
        <f>D82</f>
        <v/>
      </c>
      <c r="AL861" s="84">
        <f>D88</f>
        <v/>
      </c>
      <c r="AM861" s="84">
        <f>MAX(0,AJ861-AK861)</f>
        <v/>
      </c>
      <c r="AN861" s="84">
        <f>IF(AM861=0,AH861,IF(AM861&gt;=AH861,0,AH861-AM861))</f>
        <v/>
      </c>
      <c r="AO861" s="84">
        <f>IF(AM861&gt;=AH861,AI861,AI861*AM861/AH861)</f>
        <v/>
      </c>
      <c r="AP861">
        <f t="array" ref="AP861">INDEX($AU$8:$BB$25,6*(R861-1)+MATCH(AB861,$AS$8:$AS$13,0),MATCH(O861,$AU$7:$BB$7,0))</f>
        <v/>
      </c>
    </row>
    <row r="862" ht="14.25" customHeight="1">
      <c r="O862" s="43" t="inlineStr">
        <is>
          <t>Q3’27</t>
        </is>
      </c>
      <c r="P862" s="43" t="n">
        <v>3</v>
      </c>
      <c r="Q862" s="43" t="n">
        <v>1</v>
      </c>
      <c r="R862" s="43" t="n">
        <v>3</v>
      </c>
      <c r="S862" s="45" t="n">
        <v>3954.183529411774</v>
      </c>
      <c r="T862">
        <f>(S860+S861+S862)=T4</f>
        <v/>
      </c>
      <c r="X862" s="84" t="n">
        <v>0</v>
      </c>
      <c r="Y862" s="83" t="n">
        <v>0</v>
      </c>
      <c r="AA862" s="84" t="n">
        <v>1</v>
      </c>
      <c r="AB862" s="84" t="inlineStr">
        <is>
          <t>C</t>
        </is>
      </c>
      <c r="AC862" s="84" t="inlineStr">
        <is>
          <t>C+</t>
        </is>
      </c>
      <c r="AD862" s="84" t="n">
        <v>21</v>
      </c>
      <c r="AE862" s="84" t="n">
        <v>20</v>
      </c>
      <c r="AF862" s="84" t="n">
        <v>0.8</v>
      </c>
      <c r="AG862" s="84" t="n">
        <v>0.86</v>
      </c>
      <c r="AH862" s="84" t="n">
        <v>0</v>
      </c>
      <c r="AI862" s="84" t="n">
        <v>0</v>
      </c>
      <c r="AJ862" s="84">
        <f>SUMIFS(AH$8:AH$1039,$O$8:$O$1039,O862,$AB$8:$AB$1039,AB862,$R$8:$R$1039,R862,$AA$8:$AA$1039,"&lt;="&amp;AA862)</f>
        <v/>
      </c>
      <c r="AK862" s="84">
        <f>E82</f>
        <v/>
      </c>
      <c r="AL862" s="84">
        <f>E88</f>
        <v/>
      </c>
      <c r="AM862" s="84">
        <f>MAX(0,AJ862-AK862)</f>
        <v/>
      </c>
      <c r="AN862" s="84">
        <f>IF(AM862=0,AH862,IF(AM862&gt;=AH862,0,AH862-AM862))</f>
        <v/>
      </c>
      <c r="AO862" s="84">
        <f>IF(AM862&gt;=AH862,AI862,AI862*AM862/AH862)</f>
        <v/>
      </c>
      <c r="AP862">
        <f t="array" ref="AP862">INDEX($AU$8:$BB$25,6*(R862-1)+MATCH(AB862,$AS$8:$AS$13,0),MATCH(O862,$AU$7:$BB$7,0))</f>
        <v/>
      </c>
    </row>
    <row r="863" ht="14.25" customHeight="1">
      <c r="O863" s="43" t="inlineStr">
        <is>
          <t>Q3’27</t>
        </is>
      </c>
      <c r="P863" s="43" t="n">
        <v>3</v>
      </c>
      <c r="Q863" s="43" t="n">
        <v>2</v>
      </c>
      <c r="R863" s="43" t="n">
        <v>1</v>
      </c>
      <c r="S863" s="45" t="n">
        <v>2447.66117647059</v>
      </c>
      <c r="T863">
        <f>(S863+S864+S865)=T4</f>
        <v/>
      </c>
      <c r="X863" s="84">
        <f>MAX(S860-S863,0)</f>
        <v/>
      </c>
      <c r="Y863" s="83" t="n">
        <v>0</v>
      </c>
      <c r="AA863" s="84" t="n">
        <v>8</v>
      </c>
      <c r="AB863" s="84" t="inlineStr">
        <is>
          <t>D</t>
        </is>
      </c>
      <c r="AC863" s="84" t="inlineStr">
        <is>
          <t>D+</t>
        </is>
      </c>
      <c r="AD863" s="84" t="n">
        <v>9</v>
      </c>
      <c r="AE863" s="84" t="n">
        <v>7</v>
      </c>
      <c r="AF863" s="84" t="n">
        <v>0.8</v>
      </c>
      <c r="AG863" s="84" t="n">
        <v>0.88</v>
      </c>
      <c r="AH863" s="84" t="n">
        <v>0</v>
      </c>
      <c r="AI863" s="84" t="n">
        <v>0</v>
      </c>
      <c r="AJ863" s="84">
        <f>SUMIFS(AH$8:AH$1039,$O$8:$O$1039,O863,$AB$8:$AB$1039,AB863,$R$8:$R$1039,R863,$AA$8:$AA$1039,"&lt;="&amp;AA863)</f>
        <v/>
      </c>
      <c r="AK863" s="84">
        <f>C83</f>
        <v/>
      </c>
      <c r="AL863" s="84">
        <f>C89</f>
        <v/>
      </c>
      <c r="AM863" s="84">
        <f>MAX(0,AJ863-AK863)</f>
        <v/>
      </c>
      <c r="AN863" s="84">
        <f>IF(AM863=0,AH863,IF(AM863&gt;=AH863,0,AH863-AM863))</f>
        <v/>
      </c>
      <c r="AO863" s="84">
        <f>IF(AM863&gt;=AH863,AI863,AI863*AM863/AH863)</f>
        <v/>
      </c>
      <c r="AP863">
        <f t="array" ref="AP863">INDEX($AU$8:$BB$25,6*(R863-1)+MATCH(AB863,$AS$8:$AS$13,0),MATCH(O863,$AU$7:$BB$7,0))</f>
        <v/>
      </c>
    </row>
    <row r="864" ht="14.25" customHeight="1">
      <c r="O864" s="43" t="inlineStr">
        <is>
          <t>Q3’27</t>
        </is>
      </c>
      <c r="P864" s="43" t="n">
        <v>3</v>
      </c>
      <c r="Q864" s="43" t="n">
        <v>2</v>
      </c>
      <c r="R864" s="43" t="n">
        <v>2</v>
      </c>
      <c r="S864" s="45" t="n">
        <v>6598.155294117642</v>
      </c>
      <c r="T864">
        <f>(S863+S864+S865)=T4</f>
        <v/>
      </c>
      <c r="X864" s="84">
        <f>MAX(S861-S864,0)</f>
        <v/>
      </c>
      <c r="Y864" s="83" t="n">
        <v>0</v>
      </c>
      <c r="AA864" s="84" t="n">
        <v>8</v>
      </c>
      <c r="AB864" s="84" t="inlineStr">
        <is>
          <t>D</t>
        </is>
      </c>
      <c r="AC864" s="84" t="inlineStr">
        <is>
          <t>D+</t>
        </is>
      </c>
      <c r="AD864" s="84" t="n">
        <v>9</v>
      </c>
      <c r="AE864" s="84" t="n">
        <v>7</v>
      </c>
      <c r="AF864" s="84" t="n">
        <v>0.8</v>
      </c>
      <c r="AG864" s="84" t="n">
        <v>0.88</v>
      </c>
      <c r="AH864" s="84" t="n">
        <v>0</v>
      </c>
      <c r="AI864" s="84" t="n">
        <v>0</v>
      </c>
      <c r="AJ864" s="84">
        <f>SUMIFS(AH$8:AH$1039,$O$8:$O$1039,O864,$AB$8:$AB$1039,AB864,$R$8:$R$1039,R864,$AA$8:$AA$1039,"&lt;="&amp;AA864)</f>
        <v/>
      </c>
      <c r="AK864" s="84">
        <f>D83</f>
        <v/>
      </c>
      <c r="AL864" s="84">
        <f>D89</f>
        <v/>
      </c>
      <c r="AM864" s="84">
        <f>MAX(0,AJ864-AK864)</f>
        <v/>
      </c>
      <c r="AN864" s="84">
        <f>IF(AM864=0,AH864,IF(AM864&gt;=AH864,0,AH864-AM864))</f>
        <v/>
      </c>
      <c r="AO864" s="84">
        <f>IF(AM864&gt;=AH864,AI864,AI864*AM864/AH864)</f>
        <v/>
      </c>
      <c r="AP864">
        <f t="array" ref="AP864">INDEX($AU$8:$BB$25,6*(R864-1)+MATCH(AB864,$AS$8:$AS$13,0),MATCH(O864,$AU$7:$BB$7,0))</f>
        <v/>
      </c>
    </row>
    <row r="865" ht="14.25" customHeight="1">
      <c r="O865" s="43" t="inlineStr">
        <is>
          <t>Q3’27</t>
        </is>
      </c>
      <c r="P865" s="43" t="n">
        <v>3</v>
      </c>
      <c r="Q865" s="43" t="n">
        <v>2</v>
      </c>
      <c r="R865" s="43" t="n">
        <v>3</v>
      </c>
      <c r="S865" s="45" t="n">
        <v>3954.183529411768</v>
      </c>
      <c r="T865">
        <f>(S863+S864+S865)=T4</f>
        <v/>
      </c>
      <c r="X865" s="84">
        <f>MAX(S862-S865,0)</f>
        <v/>
      </c>
      <c r="Y865" s="83" t="n">
        <v>0</v>
      </c>
      <c r="AA865" s="84" t="n">
        <v>8</v>
      </c>
      <c r="AB865" s="84" t="inlineStr">
        <is>
          <t>D</t>
        </is>
      </c>
      <c r="AC865" s="84" t="inlineStr">
        <is>
          <t>D+</t>
        </is>
      </c>
      <c r="AD865" s="84" t="n">
        <v>9</v>
      </c>
      <c r="AE865" s="84" t="n">
        <v>7</v>
      </c>
      <c r="AF865" s="84" t="n">
        <v>0.8</v>
      </c>
      <c r="AG865" s="84" t="n">
        <v>0.88</v>
      </c>
      <c r="AH865" s="84" t="n">
        <v>0</v>
      </c>
      <c r="AI865" s="84" t="n">
        <v>0</v>
      </c>
      <c r="AJ865" s="84">
        <f>SUMIFS(AH$8:AH$1039,$O$8:$O$1039,O865,$AB$8:$AB$1039,AB865,$R$8:$R$1039,R865,$AA$8:$AA$1039,"&lt;="&amp;AA865)</f>
        <v/>
      </c>
      <c r="AK865" s="84">
        <f>E83</f>
        <v/>
      </c>
      <c r="AL865" s="84">
        <f>E89</f>
        <v/>
      </c>
      <c r="AM865" s="84">
        <f>MAX(0,AJ865-AK865)</f>
        <v/>
      </c>
      <c r="AN865" s="84">
        <f>IF(AM865=0,AH865,IF(AM865&gt;=AH865,0,AH865-AM865))</f>
        <v/>
      </c>
      <c r="AO865" s="84">
        <f>IF(AM865&gt;=AH865,AI865,AI865*AM865/AH865)</f>
        <v/>
      </c>
      <c r="AP865">
        <f t="array" ref="AP865">INDEX($AU$8:$BB$25,6*(R865-1)+MATCH(AB865,$AS$8:$AS$13,0),MATCH(O865,$AU$7:$BB$7,0))</f>
        <v/>
      </c>
    </row>
    <row r="866" ht="14.25" customHeight="1">
      <c r="O866" s="43" t="inlineStr">
        <is>
          <t>Q3’27</t>
        </is>
      </c>
      <c r="P866" s="43" t="n">
        <v>3</v>
      </c>
      <c r="Q866" s="43" t="n">
        <v>3</v>
      </c>
      <c r="R866" s="43" t="n">
        <v>1</v>
      </c>
      <c r="S866" s="45" t="n">
        <v>2447.66117647059</v>
      </c>
      <c r="T866">
        <f>(S866+S867+S868)=T4</f>
        <v/>
      </c>
      <c r="X866" s="84">
        <f>MAX(S863-S866,0)</f>
        <v/>
      </c>
      <c r="Y866" s="83" t="n">
        <v>0</v>
      </c>
      <c r="AA866" s="84" t="n">
        <v>1</v>
      </c>
      <c r="AB866" s="84" t="inlineStr">
        <is>
          <t>E</t>
        </is>
      </c>
      <c r="AC866" s="84" t="inlineStr">
        <is>
          <t>E+</t>
        </is>
      </c>
      <c r="AD866" s="84" t="n">
        <v>24</v>
      </c>
      <c r="AE866" s="84" t="n">
        <v>23</v>
      </c>
      <c r="AF866" s="84" t="n">
        <v>0.76</v>
      </c>
      <c r="AG866" s="84" t="n">
        <v>0.84</v>
      </c>
      <c r="AH866" s="84" t="n">
        <v>0</v>
      </c>
      <c r="AI866" s="84" t="n">
        <v>0</v>
      </c>
      <c r="AJ866" s="84">
        <f>SUMIFS(AH$8:AH$1039,$O$8:$O$1039,O866,$AB$8:$AB$1039,AB866,$R$8:$R$1039,R866,$AA$8:$AA$1039,"&lt;="&amp;AA866)</f>
        <v/>
      </c>
      <c r="AK866" s="84">
        <f>C84</f>
        <v/>
      </c>
      <c r="AL866" s="84">
        <f>C90</f>
        <v/>
      </c>
      <c r="AM866" s="84">
        <f>MAX(0,AJ866-AK866)</f>
        <v/>
      </c>
      <c r="AN866" s="84">
        <f>IF(AM866=0,AH866,IF(AM866&gt;=AH866,0,AH866-AM866))</f>
        <v/>
      </c>
      <c r="AO866" s="84">
        <f>IF(AM866&gt;=AH866,AI866,AI866*AM866/AH866)</f>
        <v/>
      </c>
      <c r="AP866">
        <f t="array" ref="AP866">INDEX($AU$8:$BB$25,6*(R866-1)+MATCH(AB866,$AS$8:$AS$13,0),MATCH(O866,$AU$7:$BB$7,0))</f>
        <v/>
      </c>
    </row>
    <row r="867" ht="14.25" customHeight="1">
      <c r="O867" s="43" t="inlineStr">
        <is>
          <t>Q3’27</t>
        </is>
      </c>
      <c r="P867" s="43" t="n">
        <v>3</v>
      </c>
      <c r="Q867" s="43" t="n">
        <v>3</v>
      </c>
      <c r="R867" s="43" t="n">
        <v>2</v>
      </c>
      <c r="S867" s="45" t="n">
        <v>6598.155294117642</v>
      </c>
      <c r="T867">
        <f>(S866+S867+S868)=T4</f>
        <v/>
      </c>
      <c r="X867" s="84">
        <f>MAX(S864-S867,0)</f>
        <v/>
      </c>
      <c r="Y867" s="83" t="n">
        <v>0</v>
      </c>
      <c r="AA867" s="84" t="n">
        <v>1</v>
      </c>
      <c r="AB867" s="84" t="inlineStr">
        <is>
          <t>E</t>
        </is>
      </c>
      <c r="AC867" s="84" t="inlineStr">
        <is>
          <t>E+</t>
        </is>
      </c>
      <c r="AD867" s="84" t="n">
        <v>24</v>
      </c>
      <c r="AE867" s="84" t="n">
        <v>23</v>
      </c>
      <c r="AF867" s="84" t="n">
        <v>0.76</v>
      </c>
      <c r="AG867" s="84" t="n">
        <v>0.84</v>
      </c>
      <c r="AH867" s="84" t="n">
        <v>0</v>
      </c>
      <c r="AI867" s="84" t="n">
        <v>0</v>
      </c>
      <c r="AJ867" s="84">
        <f>SUMIFS(AH$8:AH$1039,$O$8:$O$1039,O867,$AB$8:$AB$1039,AB867,$R$8:$R$1039,R867,$AA$8:$AA$1039,"&lt;="&amp;AA867)</f>
        <v/>
      </c>
      <c r="AK867" s="84">
        <f>D84</f>
        <v/>
      </c>
      <c r="AL867" s="84">
        <f>D90</f>
        <v/>
      </c>
      <c r="AM867" s="84">
        <f>MAX(0,AJ867-AK867)</f>
        <v/>
      </c>
      <c r="AN867" s="84">
        <f>IF(AM867=0,AH867,IF(AM867&gt;=AH867,0,AH867-AM867))</f>
        <v/>
      </c>
      <c r="AO867" s="84">
        <f>IF(AM867&gt;=AH867,AI867,AI867*AM867/AH867)</f>
        <v/>
      </c>
      <c r="AP867">
        <f t="array" ref="AP867">INDEX($AU$8:$BB$25,6*(R867-1)+MATCH(AB867,$AS$8:$AS$13,0),MATCH(O867,$AU$7:$BB$7,0))</f>
        <v/>
      </c>
    </row>
    <row r="868" ht="14.25" customHeight="1">
      <c r="O868" s="43" t="inlineStr">
        <is>
          <t>Q3’27</t>
        </is>
      </c>
      <c r="P868" s="43" t="n">
        <v>3</v>
      </c>
      <c r="Q868" s="43" t="n">
        <v>3</v>
      </c>
      <c r="R868" s="43" t="n">
        <v>3</v>
      </c>
      <c r="S868" s="45" t="n">
        <v>3954.183529411768</v>
      </c>
      <c r="T868">
        <f>(S866+S867+S868)=T4</f>
        <v/>
      </c>
      <c r="X868" s="84">
        <f>MAX(S865-S868,0)</f>
        <v/>
      </c>
      <c r="Y868" s="83" t="n">
        <v>0</v>
      </c>
      <c r="AA868" s="84" t="n">
        <v>1</v>
      </c>
      <c r="AB868" s="84" t="inlineStr">
        <is>
          <t>E</t>
        </is>
      </c>
      <c r="AC868" s="84" t="inlineStr">
        <is>
          <t>E+</t>
        </is>
      </c>
      <c r="AD868" s="84" t="n">
        <v>24</v>
      </c>
      <c r="AE868" s="84" t="n">
        <v>23</v>
      </c>
      <c r="AF868" s="84" t="n">
        <v>0.76</v>
      </c>
      <c r="AG868" s="84" t="n">
        <v>0.84</v>
      </c>
      <c r="AH868" s="84" t="n">
        <v>0</v>
      </c>
      <c r="AI868" s="84" t="n">
        <v>0</v>
      </c>
      <c r="AJ868" s="84">
        <f>SUMIFS(AH$8:AH$1039,$O$8:$O$1039,O868,$AB$8:$AB$1039,AB868,$R$8:$R$1039,R868,$AA$8:$AA$1039,"&lt;="&amp;AA868)</f>
        <v/>
      </c>
      <c r="AK868" s="84">
        <f>E84</f>
        <v/>
      </c>
      <c r="AL868" s="84">
        <f>E90</f>
        <v/>
      </c>
      <c r="AM868" s="84">
        <f>MAX(0,AJ868-AK868)</f>
        <v/>
      </c>
      <c r="AN868" s="84">
        <f>IF(AM868=0,AH868,IF(AM868&gt;=AH868,0,AH868-AM868))</f>
        <v/>
      </c>
      <c r="AO868" s="84">
        <f>IF(AM868&gt;=AH868,AI868,AI868*AM868/AH868)</f>
        <v/>
      </c>
      <c r="AP868">
        <f t="array" ref="AP868">INDEX($AU$8:$BB$25,6*(R868-1)+MATCH(AB868,$AS$8:$AS$13,0),MATCH(O868,$AU$7:$BB$7,0))</f>
        <v/>
      </c>
    </row>
    <row r="869" ht="14.25" customHeight="1">
      <c r="O869" s="43" t="inlineStr">
        <is>
          <t>Q3’27</t>
        </is>
      </c>
      <c r="P869" s="43" t="n">
        <v>3</v>
      </c>
      <c r="Q869" s="43" t="n">
        <v>4</v>
      </c>
      <c r="R869" s="43" t="n">
        <v>1</v>
      </c>
      <c r="S869" s="45" t="n">
        <v>2447.66117647059</v>
      </c>
      <c r="T869">
        <f>(S869+S870+S871)=T4</f>
        <v/>
      </c>
      <c r="X869" s="84">
        <f>MAX(S866-S869,0)</f>
        <v/>
      </c>
      <c r="Y869" s="83" t="n">
        <v>0</v>
      </c>
      <c r="AA869" s="84" t="n">
        <v>9</v>
      </c>
      <c r="AB869" s="84" t="inlineStr">
        <is>
          <t>E</t>
        </is>
      </c>
      <c r="AC869" s="84" t="inlineStr">
        <is>
          <t>E+</t>
        </is>
      </c>
      <c r="AD869" s="84" t="n">
        <v>15</v>
      </c>
      <c r="AE869" s="84" t="n">
        <v>11</v>
      </c>
      <c r="AF869" s="84" t="n">
        <v>0.76</v>
      </c>
      <c r="AG869" s="84" t="n">
        <v>0.84</v>
      </c>
      <c r="AH869" s="84" t="n">
        <v>0</v>
      </c>
      <c r="AI869" s="84" t="n">
        <v>0</v>
      </c>
      <c r="AJ869" s="84">
        <f>SUMIFS(AH$8:AH$1039,$O$8:$O$1039,O869,$AB$8:$AB$1039,AB869,$R$8:$R$1039,R869,$AA$8:$AA$1039,"&lt;="&amp;AA869)</f>
        <v/>
      </c>
      <c r="AK869" s="84">
        <f>C84</f>
        <v/>
      </c>
      <c r="AL869" s="84">
        <f>C90</f>
        <v/>
      </c>
      <c r="AM869" s="84">
        <f>MAX(0,AJ869-AK869)</f>
        <v/>
      </c>
      <c r="AN869" s="84">
        <f>IF(AM869=0,AH869,IF(AM869&gt;=AH869,0,AH869-AM869))</f>
        <v/>
      </c>
      <c r="AO869" s="84">
        <f>IF(AM869&gt;=AH869,AI869,AI869*AM869/AH869)</f>
        <v/>
      </c>
      <c r="AP869">
        <f t="array" ref="AP869">INDEX($AU$8:$BB$25,6*(R869-1)+MATCH(AB869,$AS$8:$AS$13,0),MATCH(O869,$AU$7:$BB$7,0))</f>
        <v/>
      </c>
    </row>
    <row r="870" ht="14.25" customHeight="1">
      <c r="O870" s="43" t="inlineStr">
        <is>
          <t>Q3’27</t>
        </is>
      </c>
      <c r="P870" s="43" t="n">
        <v>3</v>
      </c>
      <c r="Q870" s="43" t="n">
        <v>4</v>
      </c>
      <c r="R870" s="43" t="n">
        <v>2</v>
      </c>
      <c r="S870" s="45" t="n">
        <v>6598.155294117642</v>
      </c>
      <c r="T870">
        <f>(S869+S870+S871)=T4</f>
        <v/>
      </c>
      <c r="X870" s="84">
        <f>MAX(S867-S870,0)</f>
        <v/>
      </c>
      <c r="Y870" s="83" t="n">
        <v>0</v>
      </c>
      <c r="AA870" s="84" t="n">
        <v>9</v>
      </c>
      <c r="AB870" s="84" t="inlineStr">
        <is>
          <t>E</t>
        </is>
      </c>
      <c r="AC870" s="84" t="inlineStr">
        <is>
          <t>E+</t>
        </is>
      </c>
      <c r="AD870" s="84" t="n">
        <v>15</v>
      </c>
      <c r="AE870" s="84" t="n">
        <v>11</v>
      </c>
      <c r="AF870" s="84" t="n">
        <v>0.76</v>
      </c>
      <c r="AG870" s="84" t="n">
        <v>0.84</v>
      </c>
      <c r="AH870" s="84" t="n">
        <v>0</v>
      </c>
      <c r="AI870" s="84" t="n">
        <v>0</v>
      </c>
      <c r="AJ870" s="84">
        <f>SUMIFS(AH$8:AH$1039,$O$8:$O$1039,O870,$AB$8:$AB$1039,AB870,$R$8:$R$1039,R870,$AA$8:$AA$1039,"&lt;="&amp;AA870)</f>
        <v/>
      </c>
      <c r="AK870" s="84">
        <f>D84</f>
        <v/>
      </c>
      <c r="AL870" s="84">
        <f>D90</f>
        <v/>
      </c>
      <c r="AM870" s="84">
        <f>MAX(0,AJ870-AK870)</f>
        <v/>
      </c>
      <c r="AN870" s="84">
        <f>IF(AM870=0,AH870,IF(AM870&gt;=AH870,0,AH870-AM870))</f>
        <v/>
      </c>
      <c r="AO870" s="84">
        <f>IF(AM870&gt;=AH870,AI870,AI870*AM870/AH870)</f>
        <v/>
      </c>
      <c r="AP870">
        <f t="array" ref="AP870">INDEX($AU$8:$BB$25,6*(R870-1)+MATCH(AB870,$AS$8:$AS$13,0),MATCH(O870,$AU$7:$BB$7,0))</f>
        <v/>
      </c>
    </row>
    <row r="871" ht="14.25" customHeight="1">
      <c r="O871" s="43" t="inlineStr">
        <is>
          <t>Q3’27</t>
        </is>
      </c>
      <c r="P871" s="43" t="n">
        <v>3</v>
      </c>
      <c r="Q871" s="43" t="n">
        <v>4</v>
      </c>
      <c r="R871" s="43" t="n">
        <v>3</v>
      </c>
      <c r="S871" s="45" t="n">
        <v>3954.183529411768</v>
      </c>
      <c r="T871">
        <f>(S869+S870+S871)=T4</f>
        <v/>
      </c>
      <c r="X871" s="84">
        <f>MAX(S868-S871,0)</f>
        <v/>
      </c>
      <c r="Y871" s="83" t="n">
        <v>0</v>
      </c>
      <c r="AA871" s="84" t="n">
        <v>9</v>
      </c>
      <c r="AB871" s="84" t="inlineStr">
        <is>
          <t>E</t>
        </is>
      </c>
      <c r="AC871" s="84" t="inlineStr">
        <is>
          <t>E+</t>
        </is>
      </c>
      <c r="AD871" s="84" t="n">
        <v>15</v>
      </c>
      <c r="AE871" s="84" t="n">
        <v>11</v>
      </c>
      <c r="AF871" s="84" t="n">
        <v>0.76</v>
      </c>
      <c r="AG871" s="84" t="n">
        <v>0.84</v>
      </c>
      <c r="AH871" s="84" t="n">
        <v>0</v>
      </c>
      <c r="AI871" s="84" t="n">
        <v>0</v>
      </c>
      <c r="AJ871" s="84">
        <f>SUMIFS(AH$8:AH$1039,$O$8:$O$1039,O871,$AB$8:$AB$1039,AB871,$R$8:$R$1039,R871,$AA$8:$AA$1039,"&lt;="&amp;AA871)</f>
        <v/>
      </c>
      <c r="AK871" s="84">
        <f>E84</f>
        <v/>
      </c>
      <c r="AL871" s="84">
        <f>E90</f>
        <v/>
      </c>
      <c r="AM871" s="84">
        <f>MAX(0,AJ871-AK871)</f>
        <v/>
      </c>
      <c r="AN871" s="84">
        <f>IF(AM871=0,AH871,IF(AM871&gt;=AH871,0,AH871-AM871))</f>
        <v/>
      </c>
      <c r="AO871" s="84">
        <f>IF(AM871&gt;=AH871,AI871,AI871*AM871/AH871)</f>
        <v/>
      </c>
      <c r="AP871">
        <f t="array" ref="AP871">INDEX($AU$8:$BB$25,6*(R871-1)+MATCH(AB871,$AS$8:$AS$13,0),MATCH(O871,$AU$7:$BB$7,0))</f>
        <v/>
      </c>
    </row>
    <row r="872" ht="14.25" customHeight="1">
      <c r="O872" s="43" t="inlineStr">
        <is>
          <t>Q3’27</t>
        </is>
      </c>
      <c r="P872" s="43" t="n">
        <v>3</v>
      </c>
      <c r="Q872" s="43" t="n">
        <v>5</v>
      </c>
      <c r="R872" s="43" t="n">
        <v>1</v>
      </c>
      <c r="S872" s="45" t="n">
        <v>2447.661176470591</v>
      </c>
      <c r="T872">
        <f>(S872+S873+S874)=T4</f>
        <v/>
      </c>
      <c r="X872" s="84">
        <f>MAX(S869-S872,0)</f>
        <v/>
      </c>
      <c r="Y872" s="83" t="n">
        <v>0</v>
      </c>
      <c r="AA872" s="84" t="n">
        <v>6</v>
      </c>
      <c r="AB872" s="84" t="inlineStr">
        <is>
          <t>F</t>
        </is>
      </c>
      <c r="AC872" s="84" t="inlineStr">
        <is>
          <t>F+</t>
        </is>
      </c>
      <c r="AD872" s="84" t="n">
        <v>16</v>
      </c>
      <c r="AE872" s="84" t="n">
        <v>14</v>
      </c>
      <c r="AF872" s="84" t="n">
        <v>0.8</v>
      </c>
      <c r="AG872" s="84" t="n">
        <v>0.9</v>
      </c>
      <c r="AH872" s="84" t="n">
        <v>0</v>
      </c>
      <c r="AI872" s="84" t="n">
        <v>0</v>
      </c>
      <c r="AJ872" s="84">
        <f>SUMIFS(AH$8:AH$1039,$O$8:$O$1039,O872,$AB$8:$AB$1039,AB872,$R$8:$R$1039,R872,$AA$8:$AA$1039,"&lt;="&amp;AA872)</f>
        <v/>
      </c>
      <c r="AK872" s="84">
        <f>C85</f>
        <v/>
      </c>
      <c r="AL872" s="84">
        <f>C91</f>
        <v/>
      </c>
      <c r="AM872" s="84">
        <f>MAX(0,AJ872-AK872)</f>
        <v/>
      </c>
      <c r="AN872" s="84">
        <f>IF(AM872=0,AH872,IF(AM872&gt;=AH872,0,AH872-AM872))</f>
        <v/>
      </c>
      <c r="AO872" s="84">
        <f>IF(AM872&gt;=AH872,AI872,AI872*AM872/AH872)</f>
        <v/>
      </c>
      <c r="AP872">
        <f t="array" ref="AP872">INDEX($AU$8:$BB$25,6*(R872-1)+MATCH(AB872,$AS$8:$AS$13,0),MATCH(O872,$AU$7:$BB$7,0))</f>
        <v/>
      </c>
    </row>
    <row r="873" ht="14.25" customHeight="1">
      <c r="O873" s="43" t="inlineStr">
        <is>
          <t>Q3’27</t>
        </is>
      </c>
      <c r="P873" s="43" t="n">
        <v>3</v>
      </c>
      <c r="Q873" s="43" t="n">
        <v>5</v>
      </c>
      <c r="R873" s="43" t="n">
        <v>2</v>
      </c>
      <c r="S873" s="45" t="n">
        <v>6598.155294117641</v>
      </c>
      <c r="T873">
        <f>(S872+S873+S874)=T4</f>
        <v/>
      </c>
      <c r="X873" s="84">
        <f>MAX(S870-S873,0)</f>
        <v/>
      </c>
      <c r="Y873" s="83" t="n">
        <v>0</v>
      </c>
      <c r="AA873" s="84" t="n">
        <v>6</v>
      </c>
      <c r="AB873" s="84" t="inlineStr">
        <is>
          <t>F</t>
        </is>
      </c>
      <c r="AC873" s="84" t="inlineStr">
        <is>
          <t>F+</t>
        </is>
      </c>
      <c r="AD873" s="84" t="n">
        <v>16</v>
      </c>
      <c r="AE873" s="84" t="n">
        <v>14</v>
      </c>
      <c r="AF873" s="84" t="n">
        <v>0.8</v>
      </c>
      <c r="AG873" s="84" t="n">
        <v>0.9</v>
      </c>
      <c r="AH873" s="84" t="n">
        <v>0</v>
      </c>
      <c r="AI873" s="84" t="n">
        <v>0</v>
      </c>
      <c r="AJ873" s="84">
        <f>SUMIFS(AH$8:AH$1039,$O$8:$O$1039,O873,$AB$8:$AB$1039,AB873,$R$8:$R$1039,R873,$AA$8:$AA$1039,"&lt;="&amp;AA873)</f>
        <v/>
      </c>
      <c r="AK873" s="84">
        <f>D85</f>
        <v/>
      </c>
      <c r="AL873" s="84">
        <f>D91</f>
        <v/>
      </c>
      <c r="AM873" s="84">
        <f>MAX(0,AJ873-AK873)</f>
        <v/>
      </c>
      <c r="AN873" s="84">
        <f>IF(AM873=0,AH873,IF(AM873&gt;=AH873,0,AH873-AM873))</f>
        <v/>
      </c>
      <c r="AO873" s="84">
        <f>IF(AM873&gt;=AH873,AI873,AI873*AM873/AH873)</f>
        <v/>
      </c>
      <c r="AP873">
        <f t="array" ref="AP873">INDEX($AU$8:$BB$25,6*(R873-1)+MATCH(AB873,$AS$8:$AS$13,0),MATCH(O873,$AU$7:$BB$7,0))</f>
        <v/>
      </c>
    </row>
    <row r="874" ht="14.25" customHeight="1">
      <c r="O874" s="43" t="inlineStr">
        <is>
          <t>Q3’27</t>
        </is>
      </c>
      <c r="P874" s="43" t="n">
        <v>3</v>
      </c>
      <c r="Q874" s="43" t="n">
        <v>5</v>
      </c>
      <c r="R874" s="43" t="n">
        <v>3</v>
      </c>
      <c r="S874" s="45" t="n">
        <v>3954.183529411768</v>
      </c>
      <c r="T874">
        <f>(S872+S873+S874)=T4</f>
        <v/>
      </c>
      <c r="X874" s="84">
        <f>MAX(S871-S874,0)</f>
        <v/>
      </c>
      <c r="Y874" s="83" t="n">
        <v>0</v>
      </c>
      <c r="AA874" s="84" t="n">
        <v>6</v>
      </c>
      <c r="AB874" s="84" t="inlineStr">
        <is>
          <t>F</t>
        </is>
      </c>
      <c r="AC874" s="84" t="inlineStr">
        <is>
          <t>F+</t>
        </is>
      </c>
      <c r="AD874" s="84" t="n">
        <v>16</v>
      </c>
      <c r="AE874" s="84" t="n">
        <v>14</v>
      </c>
      <c r="AF874" s="84" t="n">
        <v>0.8</v>
      </c>
      <c r="AG874" s="84" t="n">
        <v>0.9</v>
      </c>
      <c r="AH874" s="84" t="n">
        <v>0</v>
      </c>
      <c r="AI874" s="84" t="n">
        <v>0</v>
      </c>
      <c r="AJ874" s="84">
        <f>SUMIFS(AH$8:AH$1039,$O$8:$O$1039,O874,$AB$8:$AB$1039,AB874,$R$8:$R$1039,R874,$AA$8:$AA$1039,"&lt;="&amp;AA874)</f>
        <v/>
      </c>
      <c r="AK874" s="84">
        <f>E85</f>
        <v/>
      </c>
      <c r="AL874" s="84">
        <f>E91</f>
        <v/>
      </c>
      <c r="AM874" s="84">
        <f>MAX(0,AJ874-AK874)</f>
        <v/>
      </c>
      <c r="AN874" s="84">
        <f>IF(AM874=0,AH874,IF(AM874&gt;=AH874,0,AH874-AM874))</f>
        <v/>
      </c>
      <c r="AO874" s="84">
        <f>IF(AM874&gt;=AH874,AI874,AI874*AM874/AH874)</f>
        <v/>
      </c>
      <c r="AP874">
        <f t="array" ref="AP874">INDEX($AU$8:$BB$25,6*(R874-1)+MATCH(AB874,$AS$8:$AS$13,0),MATCH(O874,$AU$7:$BB$7,0))</f>
        <v/>
      </c>
    </row>
    <row r="875" ht="14.25" customHeight="1">
      <c r="O875" s="43" t="inlineStr">
        <is>
          <t>Q3’27</t>
        </is>
      </c>
      <c r="P875" s="43" t="n">
        <v>3</v>
      </c>
      <c r="Q875" s="43" t="n">
        <v>6</v>
      </c>
      <c r="R875" s="43" t="n">
        <v>1</v>
      </c>
      <c r="S875" s="45" t="n">
        <v>2447.661176470591</v>
      </c>
      <c r="T875">
        <f>(S875+S876+S877)=T4</f>
        <v/>
      </c>
      <c r="X875" s="84">
        <f>MAX(S872-S875,0)</f>
        <v/>
      </c>
      <c r="Y875" s="83" t="n">
        <v>0</v>
      </c>
      <c r="AA875" s="84" t="n">
        <v>1</v>
      </c>
      <c r="AB875" s="84" t="inlineStr">
        <is>
          <t>D</t>
        </is>
      </c>
      <c r="AC875" s="84" t="inlineStr">
        <is>
          <t>D+</t>
        </is>
      </c>
      <c r="AD875" s="84" t="n">
        <v>12</v>
      </c>
      <c r="AE875" s="84" t="n">
        <v>11</v>
      </c>
      <c r="AF875" s="84" t="n">
        <v>0.8</v>
      </c>
      <c r="AG875" s="84" t="n">
        <v>0.88</v>
      </c>
      <c r="AH875" s="84" t="n">
        <v>0</v>
      </c>
      <c r="AI875" s="84" t="n">
        <v>0</v>
      </c>
      <c r="AJ875" s="84">
        <f>SUMIFS(AH$8:AH$1039,$O$8:$O$1039,O875,$AB$8:$AB$1039,AB875,$R$8:$R$1039,R875,$AA$8:$AA$1039,"&lt;="&amp;AA875)</f>
        <v/>
      </c>
      <c r="AK875" s="84">
        <f>C83</f>
        <v/>
      </c>
      <c r="AL875" s="84">
        <f>C89</f>
        <v/>
      </c>
      <c r="AM875" s="84">
        <f>MAX(0,AJ875-AK875)</f>
        <v/>
      </c>
      <c r="AN875" s="84">
        <f>IF(AM875=0,AH875,IF(AM875&gt;=AH875,0,AH875-AM875))</f>
        <v/>
      </c>
      <c r="AO875" s="84">
        <f>IF(AM875&gt;=AH875,AI875,AI875*AM875/AH875)</f>
        <v/>
      </c>
      <c r="AP875">
        <f t="array" ref="AP875">INDEX($AU$8:$BB$25,6*(R875-1)+MATCH(AB875,$AS$8:$AS$13,0),MATCH(O875,$AU$7:$BB$7,0))</f>
        <v/>
      </c>
    </row>
    <row r="876" ht="14.25" customHeight="1">
      <c r="O876" s="43" t="inlineStr">
        <is>
          <t>Q3’27</t>
        </is>
      </c>
      <c r="P876" s="43" t="n">
        <v>3</v>
      </c>
      <c r="Q876" s="43" t="n">
        <v>6</v>
      </c>
      <c r="R876" s="43" t="n">
        <v>2</v>
      </c>
      <c r="S876" s="45" t="n">
        <v>6598.155294117642</v>
      </c>
      <c r="T876">
        <f>(S875+S876+S877)=T4</f>
        <v/>
      </c>
      <c r="X876" s="84">
        <f>MAX(S873-S876,0)</f>
        <v/>
      </c>
      <c r="Y876" s="83" t="n">
        <v>0</v>
      </c>
      <c r="AA876" s="84" t="n">
        <v>1</v>
      </c>
      <c r="AB876" s="84" t="inlineStr">
        <is>
          <t>D</t>
        </is>
      </c>
      <c r="AC876" s="84" t="inlineStr">
        <is>
          <t>D+</t>
        </is>
      </c>
      <c r="AD876" s="84" t="n">
        <v>12</v>
      </c>
      <c r="AE876" s="84" t="n">
        <v>11</v>
      </c>
      <c r="AF876" s="84" t="n">
        <v>0.8</v>
      </c>
      <c r="AG876" s="84" t="n">
        <v>0.88</v>
      </c>
      <c r="AH876" s="84" t="n">
        <v>0</v>
      </c>
      <c r="AI876" s="84" t="n">
        <v>0</v>
      </c>
      <c r="AJ876" s="84">
        <f>SUMIFS(AH$8:AH$1039,$O$8:$O$1039,O876,$AB$8:$AB$1039,AB876,$R$8:$R$1039,R876,$AA$8:$AA$1039,"&lt;="&amp;AA876)</f>
        <v/>
      </c>
      <c r="AK876" s="84">
        <f>D83</f>
        <v/>
      </c>
      <c r="AL876" s="84">
        <f>D89</f>
        <v/>
      </c>
      <c r="AM876" s="84">
        <f>MAX(0,AJ876-AK876)</f>
        <v/>
      </c>
      <c r="AN876" s="84">
        <f>IF(AM876=0,AH876,IF(AM876&gt;=AH876,0,AH876-AM876))</f>
        <v/>
      </c>
      <c r="AO876" s="84">
        <f>IF(AM876&gt;=AH876,AI876,AI876*AM876/AH876)</f>
        <v/>
      </c>
      <c r="AP876">
        <f t="array" ref="AP876">INDEX($AU$8:$BB$25,6*(R876-1)+MATCH(AB876,$AS$8:$AS$13,0),MATCH(O876,$AU$7:$BB$7,0))</f>
        <v/>
      </c>
    </row>
    <row r="877" ht="14.25" customHeight="1">
      <c r="O877" s="43" t="inlineStr">
        <is>
          <t>Q3’27</t>
        </is>
      </c>
      <c r="P877" s="43" t="n">
        <v>3</v>
      </c>
      <c r="Q877" s="43" t="n">
        <v>6</v>
      </c>
      <c r="R877" s="43" t="n">
        <v>3</v>
      </c>
      <c r="S877" s="45" t="n">
        <v>3954.183529411766</v>
      </c>
      <c r="T877">
        <f>(S875+S876+S877)=T4</f>
        <v/>
      </c>
      <c r="X877" s="84">
        <f>MAX(S874-S877,0)</f>
        <v/>
      </c>
      <c r="Y877" s="83" t="n">
        <v>0</v>
      </c>
      <c r="AA877" s="84" t="n">
        <v>1</v>
      </c>
      <c r="AB877" s="84" t="inlineStr">
        <is>
          <t>D</t>
        </is>
      </c>
      <c r="AC877" s="84" t="inlineStr">
        <is>
          <t>D+</t>
        </is>
      </c>
      <c r="AD877" s="84" t="n">
        <v>12</v>
      </c>
      <c r="AE877" s="84" t="n">
        <v>11</v>
      </c>
      <c r="AF877" s="84" t="n">
        <v>0.8</v>
      </c>
      <c r="AG877" s="84" t="n">
        <v>0.88</v>
      </c>
      <c r="AH877" s="84" t="n">
        <v>0</v>
      </c>
      <c r="AI877" s="84" t="n">
        <v>0</v>
      </c>
      <c r="AJ877" s="84">
        <f>SUMIFS(AH$8:AH$1039,$O$8:$O$1039,O877,$AB$8:$AB$1039,AB877,$R$8:$R$1039,R877,$AA$8:$AA$1039,"&lt;="&amp;AA877)</f>
        <v/>
      </c>
      <c r="AK877" s="84">
        <f>E83</f>
        <v/>
      </c>
      <c r="AL877" s="84">
        <f>E89</f>
        <v/>
      </c>
      <c r="AM877" s="84">
        <f>MAX(0,AJ877-AK877)</f>
        <v/>
      </c>
      <c r="AN877" s="84">
        <f>IF(AM877=0,AH877,IF(AM877&gt;=AH877,0,AH877-AM877))</f>
        <v/>
      </c>
      <c r="AO877" s="84">
        <f>IF(AM877&gt;=AH877,AI877,AI877*AM877/AH877)</f>
        <v/>
      </c>
      <c r="AP877">
        <f t="array" ref="AP877">INDEX($AU$8:$BB$25,6*(R877-1)+MATCH(AB877,$AS$8:$AS$13,0),MATCH(O877,$AU$7:$BB$7,0))</f>
        <v/>
      </c>
    </row>
    <row r="878" ht="14.25" customHeight="1">
      <c r="O878" s="43" t="inlineStr">
        <is>
          <t>Q3’27</t>
        </is>
      </c>
      <c r="P878" s="43" t="n">
        <v>3</v>
      </c>
      <c r="Q878" s="43" t="n">
        <v>7</v>
      </c>
      <c r="R878" s="43" t="n">
        <v>1</v>
      </c>
      <c r="S878" s="45" t="n">
        <v>2447.661176470591</v>
      </c>
      <c r="T878">
        <f>(S878+S879+S880)=T4</f>
        <v/>
      </c>
      <c r="X878" s="84">
        <f>MAX(S875-S878,0)</f>
        <v/>
      </c>
      <c r="Y878" s="83" t="n">
        <v>0</v>
      </c>
      <c r="AA878" s="84" t="n">
        <v>3</v>
      </c>
      <c r="AB878" s="84" t="inlineStr">
        <is>
          <t>C</t>
        </is>
      </c>
      <c r="AC878" s="84" t="inlineStr">
        <is>
          <t>C+</t>
        </is>
      </c>
      <c r="AD878" s="84" t="n">
        <v>24</v>
      </c>
      <c r="AE878" s="84" t="n">
        <v>21</v>
      </c>
      <c r="AF878" s="84" t="n">
        <v>0.8</v>
      </c>
      <c r="AG878" s="84" t="n">
        <v>0.86</v>
      </c>
      <c r="AH878" s="84" t="n">
        <v>0</v>
      </c>
      <c r="AI878" s="84" t="n">
        <v>0</v>
      </c>
      <c r="AJ878" s="84">
        <f>SUMIFS(AH$8:AH$1039,$O$8:$O$1039,O878,$AB$8:$AB$1039,AB878,$R$8:$R$1039,R878,$AA$8:$AA$1039,"&lt;="&amp;AA878)</f>
        <v/>
      </c>
      <c r="AK878" s="84">
        <f>C82</f>
        <v/>
      </c>
      <c r="AL878" s="84">
        <f>C88</f>
        <v/>
      </c>
      <c r="AM878" s="84">
        <f>MAX(0,AJ878-AK878)</f>
        <v/>
      </c>
      <c r="AN878" s="84">
        <f>IF(AM878=0,AH878,IF(AM878&gt;=AH878,0,AH878-AM878))</f>
        <v/>
      </c>
      <c r="AO878" s="84">
        <f>IF(AM878&gt;=AH878,AI878,AI878*AM878/AH878)</f>
        <v/>
      </c>
      <c r="AP878">
        <f t="array" ref="AP878">INDEX($AU$8:$BB$25,6*(R878-1)+MATCH(AB878,$AS$8:$AS$13,0),MATCH(O878,$AU$7:$BB$7,0))</f>
        <v/>
      </c>
    </row>
    <row r="879" ht="14.25" customHeight="1">
      <c r="O879" s="43" t="inlineStr">
        <is>
          <t>Q3’27</t>
        </is>
      </c>
      <c r="P879" s="43" t="n">
        <v>3</v>
      </c>
      <c r="Q879" s="43" t="n">
        <v>7</v>
      </c>
      <c r="R879" s="43" t="n">
        <v>2</v>
      </c>
      <c r="S879" s="45" t="n">
        <v>6598.155294117642</v>
      </c>
      <c r="T879">
        <f>(S878+S879+S880)=T4</f>
        <v/>
      </c>
      <c r="X879" s="84">
        <f>MAX(S876-S879,0)</f>
        <v/>
      </c>
      <c r="Y879" s="83" t="n">
        <v>0</v>
      </c>
      <c r="AA879" s="84" t="n">
        <v>3</v>
      </c>
      <c r="AB879" s="84" t="inlineStr">
        <is>
          <t>C</t>
        </is>
      </c>
      <c r="AC879" s="84" t="inlineStr">
        <is>
          <t>C+</t>
        </is>
      </c>
      <c r="AD879" s="84" t="n">
        <v>24</v>
      </c>
      <c r="AE879" s="84" t="n">
        <v>21</v>
      </c>
      <c r="AF879" s="84" t="n">
        <v>0.8</v>
      </c>
      <c r="AG879" s="84" t="n">
        <v>0.86</v>
      </c>
      <c r="AH879" s="84" t="n">
        <v>0</v>
      </c>
      <c r="AI879" s="84" t="n">
        <v>0</v>
      </c>
      <c r="AJ879" s="84">
        <f>SUMIFS(AH$8:AH$1039,$O$8:$O$1039,O879,$AB$8:$AB$1039,AB879,$R$8:$R$1039,R879,$AA$8:$AA$1039,"&lt;="&amp;AA879)</f>
        <v/>
      </c>
      <c r="AK879" s="84">
        <f>D82</f>
        <v/>
      </c>
      <c r="AL879" s="84">
        <f>D88</f>
        <v/>
      </c>
      <c r="AM879" s="84">
        <f>MAX(0,AJ879-AK879)</f>
        <v/>
      </c>
      <c r="AN879" s="84">
        <f>IF(AM879=0,AH879,IF(AM879&gt;=AH879,0,AH879-AM879))</f>
        <v/>
      </c>
      <c r="AO879" s="84">
        <f>IF(AM879&gt;=AH879,AI879,AI879*AM879/AH879)</f>
        <v/>
      </c>
      <c r="AP879">
        <f t="array" ref="AP879">INDEX($AU$8:$BB$25,6*(R879-1)+MATCH(AB879,$AS$8:$AS$13,0),MATCH(O879,$AU$7:$BB$7,0))</f>
        <v/>
      </c>
    </row>
    <row r="880" ht="14.25" customHeight="1">
      <c r="O880" s="43" t="inlineStr">
        <is>
          <t>Q3’27</t>
        </is>
      </c>
      <c r="P880" s="43" t="n">
        <v>3</v>
      </c>
      <c r="Q880" s="43" t="n">
        <v>7</v>
      </c>
      <c r="R880" s="43" t="n">
        <v>3</v>
      </c>
      <c r="S880" s="45" t="n">
        <v>3954.183529411766</v>
      </c>
      <c r="T880">
        <f>(S878+S879+S880)=T4</f>
        <v/>
      </c>
      <c r="X880" s="84">
        <f>MAX(S877-S880,0)</f>
        <v/>
      </c>
      <c r="Y880" s="83" t="n">
        <v>0</v>
      </c>
      <c r="AA880" s="84" t="n">
        <v>3</v>
      </c>
      <c r="AB880" s="84" t="inlineStr">
        <is>
          <t>C</t>
        </is>
      </c>
      <c r="AC880" s="84" t="inlineStr">
        <is>
          <t>C+</t>
        </is>
      </c>
      <c r="AD880" s="84" t="n">
        <v>24</v>
      </c>
      <c r="AE880" s="84" t="n">
        <v>21</v>
      </c>
      <c r="AF880" s="84" t="n">
        <v>0.8</v>
      </c>
      <c r="AG880" s="84" t="n">
        <v>0.86</v>
      </c>
      <c r="AH880" s="84" t="n">
        <v>0</v>
      </c>
      <c r="AI880" s="84" t="n">
        <v>0</v>
      </c>
      <c r="AJ880" s="84">
        <f>SUMIFS(AH$8:AH$1039,$O$8:$O$1039,O880,$AB$8:$AB$1039,AB880,$R$8:$R$1039,R880,$AA$8:$AA$1039,"&lt;="&amp;AA880)</f>
        <v/>
      </c>
      <c r="AK880" s="84">
        <f>E82</f>
        <v/>
      </c>
      <c r="AL880" s="84">
        <f>E88</f>
        <v/>
      </c>
      <c r="AM880" s="84">
        <f>MAX(0,AJ880-AK880)</f>
        <v/>
      </c>
      <c r="AN880" s="84">
        <f>IF(AM880=0,AH880,IF(AM880&gt;=AH880,0,AH880-AM880))</f>
        <v/>
      </c>
      <c r="AO880" s="84">
        <f>IF(AM880&gt;=AH880,AI880,AI880*AM880/AH880)</f>
        <v/>
      </c>
      <c r="AP880">
        <f t="array" ref="AP880">INDEX($AU$8:$BB$25,6*(R880-1)+MATCH(AB880,$AS$8:$AS$13,0),MATCH(O880,$AU$7:$BB$7,0))</f>
        <v/>
      </c>
    </row>
    <row r="881" ht="14.25" customHeight="1">
      <c r="O881" s="43" t="inlineStr">
        <is>
          <t>Q3’27</t>
        </is>
      </c>
      <c r="P881" s="43" t="n">
        <v>3</v>
      </c>
      <c r="Q881" s="43" t="n">
        <v>8</v>
      </c>
      <c r="R881" s="43" t="n">
        <v>1</v>
      </c>
      <c r="S881" s="45" t="n">
        <v>2447.661176470588</v>
      </c>
      <c r="T881">
        <f>(S881+S882+S883)=T4</f>
        <v/>
      </c>
      <c r="X881" s="84">
        <f>MAX(S878-S881,0)</f>
        <v/>
      </c>
      <c r="Y881" s="83" t="n">
        <v>0</v>
      </c>
      <c r="AA881" s="84" t="n">
        <v>5</v>
      </c>
      <c r="AB881" s="84" t="inlineStr">
        <is>
          <t>C</t>
        </is>
      </c>
      <c r="AC881" s="84" t="inlineStr">
        <is>
          <t>C+</t>
        </is>
      </c>
      <c r="AD881" s="84" t="n">
        <v>19</v>
      </c>
      <c r="AE881" s="84" t="n">
        <v>13</v>
      </c>
      <c r="AF881" s="84" t="n">
        <v>0.8</v>
      </c>
      <c r="AG881" s="84" t="n">
        <v>0.86</v>
      </c>
      <c r="AH881" s="84" t="n">
        <v>0</v>
      </c>
      <c r="AI881" s="84" t="n">
        <v>0</v>
      </c>
      <c r="AJ881" s="84">
        <f>SUMIFS(AH$8:AH$1039,$O$8:$O$1039,O881,$AB$8:$AB$1039,AB881,$R$8:$R$1039,R881,$AA$8:$AA$1039,"&lt;="&amp;AA881)</f>
        <v/>
      </c>
      <c r="AK881" s="84">
        <f>C82</f>
        <v/>
      </c>
      <c r="AL881" s="84">
        <f>C88</f>
        <v/>
      </c>
      <c r="AM881" s="84">
        <f>MAX(0,AJ881-AK881)</f>
        <v/>
      </c>
      <c r="AN881" s="84">
        <f>IF(AM881=0,AH881,IF(AM881&gt;=AH881,0,AH881-AM881))</f>
        <v/>
      </c>
      <c r="AO881" s="84">
        <f>IF(AM881&gt;=AH881,AI881,AI881*AM881/AH881)</f>
        <v/>
      </c>
      <c r="AP881">
        <f t="array" ref="AP881">INDEX($AU$8:$BB$25,6*(R881-1)+MATCH(AB881,$AS$8:$AS$13,0),MATCH(O881,$AU$7:$BB$7,0))</f>
        <v/>
      </c>
    </row>
    <row r="882" ht="14.25" customHeight="1">
      <c r="O882" s="43" t="inlineStr">
        <is>
          <t>Q3’27</t>
        </is>
      </c>
      <c r="P882" s="43" t="n">
        <v>3</v>
      </c>
      <c r="Q882" s="43" t="n">
        <v>8</v>
      </c>
      <c r="R882" s="43" t="n">
        <v>2</v>
      </c>
      <c r="S882" s="45" t="n">
        <v>6598.155294117666</v>
      </c>
      <c r="T882">
        <f>(S881+S882+S883)=T4</f>
        <v/>
      </c>
      <c r="X882" s="84">
        <f>MAX(S879-S882,0)</f>
        <v/>
      </c>
      <c r="Y882" s="83" t="n">
        <v>0</v>
      </c>
      <c r="AA882" s="84" t="n">
        <v>5</v>
      </c>
      <c r="AB882" s="84" t="inlineStr">
        <is>
          <t>C</t>
        </is>
      </c>
      <c r="AC882" s="84" t="inlineStr">
        <is>
          <t>C+</t>
        </is>
      </c>
      <c r="AD882" s="84" t="n">
        <v>19</v>
      </c>
      <c r="AE882" s="84" t="n">
        <v>13</v>
      </c>
      <c r="AF882" s="84" t="n">
        <v>0.8</v>
      </c>
      <c r="AG882" s="84" t="n">
        <v>0.86</v>
      </c>
      <c r="AH882" s="84" t="n">
        <v>0</v>
      </c>
      <c r="AI882" s="84" t="n">
        <v>0</v>
      </c>
      <c r="AJ882" s="84">
        <f>SUMIFS(AH$8:AH$1039,$O$8:$O$1039,O882,$AB$8:$AB$1039,AB882,$R$8:$R$1039,R882,$AA$8:$AA$1039,"&lt;="&amp;AA882)</f>
        <v/>
      </c>
      <c r="AK882" s="84">
        <f>D82</f>
        <v/>
      </c>
      <c r="AL882" s="84">
        <f>D88</f>
        <v/>
      </c>
      <c r="AM882" s="84">
        <f>MAX(0,AJ882-AK882)</f>
        <v/>
      </c>
      <c r="AN882" s="84">
        <f>IF(AM882=0,AH882,IF(AM882&gt;=AH882,0,AH882-AM882))</f>
        <v/>
      </c>
      <c r="AO882" s="84">
        <f>IF(AM882&gt;=AH882,AI882,AI882*AM882/AH882)</f>
        <v/>
      </c>
      <c r="AP882">
        <f t="array" ref="AP882">INDEX($AU$8:$BB$25,6*(R882-1)+MATCH(AB882,$AS$8:$AS$13,0),MATCH(O882,$AU$7:$BB$7,0))</f>
        <v/>
      </c>
    </row>
    <row r="883" ht="14.25" customHeight="1">
      <c r="O883" s="43" t="inlineStr">
        <is>
          <t>Q3’27</t>
        </is>
      </c>
      <c r="P883" s="43" t="n">
        <v>3</v>
      </c>
      <c r="Q883" s="43" t="n">
        <v>8</v>
      </c>
      <c r="R883" s="43" t="n">
        <v>3</v>
      </c>
      <c r="S883" s="45" t="n">
        <v>3954.183529411746</v>
      </c>
      <c r="T883">
        <f>(S881+S882+S883)=T4</f>
        <v/>
      </c>
      <c r="X883" s="84">
        <f>MAX(S880-S883,0)</f>
        <v/>
      </c>
      <c r="Y883" s="83" t="n">
        <v>0</v>
      </c>
      <c r="AA883" s="84" t="n">
        <v>5</v>
      </c>
      <c r="AB883" s="84" t="inlineStr">
        <is>
          <t>C</t>
        </is>
      </c>
      <c r="AC883" s="84" t="inlineStr">
        <is>
          <t>C+</t>
        </is>
      </c>
      <c r="AD883" s="84" t="n">
        <v>19</v>
      </c>
      <c r="AE883" s="84" t="n">
        <v>13</v>
      </c>
      <c r="AF883" s="84" t="n">
        <v>0.8</v>
      </c>
      <c r="AG883" s="84" t="n">
        <v>0.86</v>
      </c>
      <c r="AH883" s="84" t="n">
        <v>0</v>
      </c>
      <c r="AI883" s="84" t="n">
        <v>0</v>
      </c>
      <c r="AJ883" s="84">
        <f>SUMIFS(AH$8:AH$1039,$O$8:$O$1039,O883,$AB$8:$AB$1039,AB883,$R$8:$R$1039,R883,$AA$8:$AA$1039,"&lt;="&amp;AA883)</f>
        <v/>
      </c>
      <c r="AK883" s="84">
        <f>E82</f>
        <v/>
      </c>
      <c r="AL883" s="84">
        <f>E88</f>
        <v/>
      </c>
      <c r="AM883" s="84">
        <f>MAX(0,AJ883-AK883)</f>
        <v/>
      </c>
      <c r="AN883" s="84">
        <f>IF(AM883=0,AH883,IF(AM883&gt;=AH883,0,AH883-AM883))</f>
        <v/>
      </c>
      <c r="AO883" s="84">
        <f>IF(AM883&gt;=AH883,AI883,AI883*AM883/AH883)</f>
        <v/>
      </c>
      <c r="AP883">
        <f t="array" ref="AP883">INDEX($AU$8:$BB$25,6*(R883-1)+MATCH(AB883,$AS$8:$AS$13,0),MATCH(O883,$AU$7:$BB$7,0))</f>
        <v/>
      </c>
    </row>
    <row r="884" ht="14.25" customHeight="1">
      <c r="O884" s="43" t="inlineStr">
        <is>
          <t>Q3’27</t>
        </is>
      </c>
      <c r="P884" s="43" t="n">
        <v>3</v>
      </c>
      <c r="Q884" s="43" t="n">
        <v>9</v>
      </c>
      <c r="R884" s="43" t="n">
        <v>1</v>
      </c>
      <c r="S884" s="45" t="n">
        <v>2447.661176470588</v>
      </c>
      <c r="T884">
        <f>(S884+S885+S886)=T4</f>
        <v/>
      </c>
      <c r="X884" s="84">
        <f>MAX(S881-S884,0)</f>
        <v/>
      </c>
      <c r="Y884" s="83" t="n">
        <v>0</v>
      </c>
      <c r="AA884" s="84" t="n">
        <v>3</v>
      </c>
      <c r="AB884" s="84" t="inlineStr">
        <is>
          <t>D</t>
        </is>
      </c>
      <c r="AC884" s="84" t="inlineStr">
        <is>
          <t>D+</t>
        </is>
      </c>
      <c r="AD884" s="84" t="n">
        <v>15</v>
      </c>
      <c r="AE884" s="84" t="n">
        <v>13</v>
      </c>
      <c r="AF884" s="84" t="n">
        <v>0.8</v>
      </c>
      <c r="AG884" s="84" t="n">
        <v>0.88</v>
      </c>
      <c r="AH884" s="84" t="n">
        <v>0</v>
      </c>
      <c r="AI884" s="84" t="n">
        <v>0</v>
      </c>
      <c r="AJ884" s="84">
        <f>SUMIFS(AH$8:AH$1039,$O$8:$O$1039,O884,$AB$8:$AB$1039,AB884,$R$8:$R$1039,R884,$AA$8:$AA$1039,"&lt;="&amp;AA884)</f>
        <v/>
      </c>
      <c r="AK884" s="84">
        <f>C83</f>
        <v/>
      </c>
      <c r="AL884" s="84">
        <f>C89</f>
        <v/>
      </c>
      <c r="AM884" s="84">
        <f>MAX(0,AJ884-AK884)</f>
        <v/>
      </c>
      <c r="AN884" s="84">
        <f>IF(AM884=0,AH884,IF(AM884&gt;=AH884,0,AH884-AM884))</f>
        <v/>
      </c>
      <c r="AO884" s="84">
        <f>IF(AM884&gt;=AH884,AI884,AI884*AM884/AH884)</f>
        <v/>
      </c>
      <c r="AP884">
        <f t="array" ref="AP884">INDEX($AU$8:$BB$25,6*(R884-1)+MATCH(AB884,$AS$8:$AS$13,0),MATCH(O884,$AU$7:$BB$7,0))</f>
        <v/>
      </c>
    </row>
    <row r="885" ht="14.25" customHeight="1">
      <c r="O885" s="43" t="inlineStr">
        <is>
          <t>Q3’27</t>
        </is>
      </c>
      <c r="P885" s="43" t="n">
        <v>3</v>
      </c>
      <c r="Q885" s="43" t="n">
        <v>9</v>
      </c>
      <c r="R885" s="43" t="n">
        <v>2</v>
      </c>
      <c r="S885" s="45" t="n">
        <v>6598.155294117646</v>
      </c>
      <c r="T885">
        <f>(S884+S885+S886)=T4</f>
        <v/>
      </c>
      <c r="X885" s="84">
        <f>MAX(S882-S885,0)</f>
        <v/>
      </c>
      <c r="Y885" s="83" t="n">
        <v>0</v>
      </c>
      <c r="AA885" s="84" t="n">
        <v>3</v>
      </c>
      <c r="AB885" s="84" t="inlineStr">
        <is>
          <t>D</t>
        </is>
      </c>
      <c r="AC885" s="84" t="inlineStr">
        <is>
          <t>D+</t>
        </is>
      </c>
      <c r="AD885" s="84" t="n">
        <v>15</v>
      </c>
      <c r="AE885" s="84" t="n">
        <v>13</v>
      </c>
      <c r="AF885" s="84" t="n">
        <v>0.8</v>
      </c>
      <c r="AG885" s="84" t="n">
        <v>0.88</v>
      </c>
      <c r="AH885" s="84" t="n">
        <v>0</v>
      </c>
      <c r="AI885" s="84" t="n">
        <v>0</v>
      </c>
      <c r="AJ885" s="84">
        <f>SUMIFS(AH$8:AH$1039,$O$8:$O$1039,O885,$AB$8:$AB$1039,AB885,$R$8:$R$1039,R885,$AA$8:$AA$1039,"&lt;="&amp;AA885)</f>
        <v/>
      </c>
      <c r="AK885" s="84">
        <f>D83</f>
        <v/>
      </c>
      <c r="AL885" s="84">
        <f>D89</f>
        <v/>
      </c>
      <c r="AM885" s="84">
        <f>MAX(0,AJ885-AK885)</f>
        <v/>
      </c>
      <c r="AN885" s="84">
        <f>IF(AM885=0,AH885,IF(AM885&gt;=AH885,0,AH885-AM885))</f>
        <v/>
      </c>
      <c r="AO885" s="84">
        <f>IF(AM885&gt;=AH885,AI885,AI885*AM885/AH885)</f>
        <v/>
      </c>
      <c r="AP885">
        <f t="array" ref="AP885">INDEX($AU$8:$BB$25,6*(R885-1)+MATCH(AB885,$AS$8:$AS$13,0),MATCH(O885,$AU$7:$BB$7,0))</f>
        <v/>
      </c>
    </row>
    <row r="886" ht="14.25" customHeight="1">
      <c r="O886" s="43" t="inlineStr">
        <is>
          <t>Q3’27</t>
        </is>
      </c>
      <c r="P886" s="43" t="n">
        <v>3</v>
      </c>
      <c r="Q886" s="43" t="n">
        <v>9</v>
      </c>
      <c r="R886" s="43" t="n">
        <v>3</v>
      </c>
      <c r="S886" s="45" t="n">
        <v>3954.183529411766</v>
      </c>
      <c r="T886">
        <f>(S884+S885+S886)=T4</f>
        <v/>
      </c>
      <c r="X886" s="84">
        <f>MAX(S883-S886,0)</f>
        <v/>
      </c>
      <c r="Y886" s="83" t="n">
        <v>0</v>
      </c>
      <c r="AA886" s="84" t="n">
        <v>3</v>
      </c>
      <c r="AB886" s="84" t="inlineStr">
        <is>
          <t>D</t>
        </is>
      </c>
      <c r="AC886" s="84" t="inlineStr">
        <is>
          <t>D+</t>
        </is>
      </c>
      <c r="AD886" s="84" t="n">
        <v>15</v>
      </c>
      <c r="AE886" s="84" t="n">
        <v>13</v>
      </c>
      <c r="AF886" s="84" t="n">
        <v>0.8</v>
      </c>
      <c r="AG886" s="84" t="n">
        <v>0.88</v>
      </c>
      <c r="AH886" s="84" t="n">
        <v>0</v>
      </c>
      <c r="AI886" s="84" t="n">
        <v>0</v>
      </c>
      <c r="AJ886" s="84">
        <f>SUMIFS(AH$8:AH$1039,$O$8:$O$1039,O886,$AB$8:$AB$1039,AB886,$R$8:$R$1039,R886,$AA$8:$AA$1039,"&lt;="&amp;AA886)</f>
        <v/>
      </c>
      <c r="AK886" s="84">
        <f>E83</f>
        <v/>
      </c>
      <c r="AL886" s="84">
        <f>E89</f>
        <v/>
      </c>
      <c r="AM886" s="84">
        <f>MAX(0,AJ886-AK886)</f>
        <v/>
      </c>
      <c r="AN886" s="84">
        <f>IF(AM886=0,AH886,IF(AM886&gt;=AH886,0,AH886-AM886))</f>
        <v/>
      </c>
      <c r="AO886" s="84">
        <f>IF(AM886&gt;=AH886,AI886,AI886*AM886/AH886)</f>
        <v/>
      </c>
      <c r="AP886">
        <f t="array" ref="AP886">INDEX($AU$8:$BB$25,6*(R886-1)+MATCH(AB886,$AS$8:$AS$13,0),MATCH(O886,$AU$7:$BB$7,0))</f>
        <v/>
      </c>
    </row>
    <row r="887" ht="14.25" customHeight="1">
      <c r="O887" s="43" t="inlineStr">
        <is>
          <t>Q3’27</t>
        </is>
      </c>
      <c r="P887" s="43" t="n">
        <v>3</v>
      </c>
      <c r="Q887" s="43" t="n">
        <v>10</v>
      </c>
      <c r="R887" s="43" t="n">
        <v>1</v>
      </c>
      <c r="S887" s="45" t="n">
        <v>2447.661176470588</v>
      </c>
      <c r="T887">
        <f>(S887+S888+S889)=T4</f>
        <v/>
      </c>
      <c r="X887" s="84">
        <f>MAX(S884-S887,0)</f>
        <v/>
      </c>
      <c r="Y887" s="83" t="n">
        <v>0</v>
      </c>
      <c r="AA887" s="84" t="n">
        <v>5</v>
      </c>
      <c r="AB887" s="84" t="inlineStr">
        <is>
          <t>D</t>
        </is>
      </c>
      <c r="AC887" s="84" t="inlineStr">
        <is>
          <t>D+</t>
        </is>
      </c>
      <c r="AD887" s="84" t="n">
        <v>24</v>
      </c>
      <c r="AE887" s="84" t="n">
        <v>20</v>
      </c>
      <c r="AF887" s="84" t="n">
        <v>0.8</v>
      </c>
      <c r="AG887" s="84" t="n">
        <v>0.88</v>
      </c>
      <c r="AH887" s="84" t="n">
        <v>0</v>
      </c>
      <c r="AI887" s="84" t="n">
        <v>0</v>
      </c>
      <c r="AJ887" s="84">
        <f>SUMIFS(AH$8:AH$1039,$O$8:$O$1039,O887,$AB$8:$AB$1039,AB887,$R$8:$R$1039,R887,$AA$8:$AA$1039,"&lt;="&amp;AA887)</f>
        <v/>
      </c>
      <c r="AK887" s="84">
        <f>C83</f>
        <v/>
      </c>
      <c r="AL887" s="84">
        <f>C89</f>
        <v/>
      </c>
      <c r="AM887" s="84">
        <f>MAX(0,AJ887-AK887)</f>
        <v/>
      </c>
      <c r="AN887" s="84">
        <f>IF(AM887=0,AH887,IF(AM887&gt;=AH887,0,AH887-AM887))</f>
        <v/>
      </c>
      <c r="AO887" s="84">
        <f>IF(AM887&gt;=AH887,AI887,AI887*AM887/AH887)</f>
        <v/>
      </c>
      <c r="AP887">
        <f t="array" ref="AP887">INDEX($AU$8:$BB$25,6*(R887-1)+MATCH(AB887,$AS$8:$AS$13,0),MATCH(O887,$AU$7:$BB$7,0))</f>
        <v/>
      </c>
    </row>
    <row r="888" ht="14.25" customHeight="1">
      <c r="O888" s="43" t="inlineStr">
        <is>
          <t>Q3’27</t>
        </is>
      </c>
      <c r="P888" s="43" t="n">
        <v>3</v>
      </c>
      <c r="Q888" s="43" t="n">
        <v>10</v>
      </c>
      <c r="R888" s="43" t="n">
        <v>2</v>
      </c>
      <c r="S888" s="45" t="n">
        <v>6598.155294117646</v>
      </c>
      <c r="T888">
        <f>(S887+S888+S889)=T4</f>
        <v/>
      </c>
      <c r="X888" s="84">
        <f>MAX(S885-S888,0)</f>
        <v/>
      </c>
      <c r="Y888" s="83" t="n">
        <v>0</v>
      </c>
      <c r="AA888" s="84" t="n">
        <v>5</v>
      </c>
      <c r="AB888" s="84" t="inlineStr">
        <is>
          <t>D</t>
        </is>
      </c>
      <c r="AC888" s="84" t="inlineStr">
        <is>
          <t>D+</t>
        </is>
      </c>
      <c r="AD888" s="84" t="n">
        <v>24</v>
      </c>
      <c r="AE888" s="84" t="n">
        <v>20</v>
      </c>
      <c r="AF888" s="84" t="n">
        <v>0.8</v>
      </c>
      <c r="AG888" s="84" t="n">
        <v>0.88</v>
      </c>
      <c r="AH888" s="84" t="n">
        <v>0</v>
      </c>
      <c r="AI888" s="84" t="n">
        <v>0</v>
      </c>
      <c r="AJ888" s="84">
        <f>SUMIFS(AH$8:AH$1039,$O$8:$O$1039,O888,$AB$8:$AB$1039,AB888,$R$8:$R$1039,R888,$AA$8:$AA$1039,"&lt;="&amp;AA888)</f>
        <v/>
      </c>
      <c r="AK888" s="84">
        <f>D83</f>
        <v/>
      </c>
      <c r="AL888" s="84">
        <f>D89</f>
        <v/>
      </c>
      <c r="AM888" s="84">
        <f>MAX(0,AJ888-AK888)</f>
        <v/>
      </c>
      <c r="AN888" s="84">
        <f>IF(AM888=0,AH888,IF(AM888&gt;=AH888,0,AH888-AM888))</f>
        <v/>
      </c>
      <c r="AO888" s="84">
        <f>IF(AM888&gt;=AH888,AI888,AI888*AM888/AH888)</f>
        <v/>
      </c>
      <c r="AP888">
        <f t="array" ref="AP888">INDEX($AU$8:$BB$25,6*(R888-1)+MATCH(AB888,$AS$8:$AS$13,0),MATCH(O888,$AU$7:$BB$7,0))</f>
        <v/>
      </c>
    </row>
    <row r="889" ht="14.25" customHeight="1">
      <c r="O889" s="43" t="inlineStr">
        <is>
          <t>Q3’27</t>
        </is>
      </c>
      <c r="P889" s="43" t="n">
        <v>3</v>
      </c>
      <c r="Q889" s="43" t="n">
        <v>10</v>
      </c>
      <c r="R889" s="43" t="n">
        <v>3</v>
      </c>
      <c r="S889" s="45" t="n">
        <v>3954.183529411766</v>
      </c>
      <c r="T889">
        <f>(S887+S888+S889)=T4</f>
        <v/>
      </c>
      <c r="X889" s="84">
        <f>MAX(S886-S889,0)</f>
        <v/>
      </c>
      <c r="Y889" s="83" t="n">
        <v>0</v>
      </c>
      <c r="AA889" s="84" t="n">
        <v>5</v>
      </c>
      <c r="AB889" s="84" t="inlineStr">
        <is>
          <t>D</t>
        </is>
      </c>
      <c r="AC889" s="84" t="inlineStr">
        <is>
          <t>D+</t>
        </is>
      </c>
      <c r="AD889" s="84" t="n">
        <v>24</v>
      </c>
      <c r="AE889" s="84" t="n">
        <v>20</v>
      </c>
      <c r="AF889" s="84" t="n">
        <v>0.8</v>
      </c>
      <c r="AG889" s="84" t="n">
        <v>0.88</v>
      </c>
      <c r="AH889" s="84" t="n">
        <v>0</v>
      </c>
      <c r="AI889" s="84" t="n">
        <v>0</v>
      </c>
      <c r="AJ889" s="84">
        <f>SUMIFS(AH$8:AH$1039,$O$8:$O$1039,O889,$AB$8:$AB$1039,AB889,$R$8:$R$1039,R889,$AA$8:$AA$1039,"&lt;="&amp;AA889)</f>
        <v/>
      </c>
      <c r="AK889" s="84">
        <f>E83</f>
        <v/>
      </c>
      <c r="AL889" s="84">
        <f>E89</f>
        <v/>
      </c>
      <c r="AM889" s="84">
        <f>MAX(0,AJ889-AK889)</f>
        <v/>
      </c>
      <c r="AN889" s="84">
        <f>IF(AM889=0,AH889,IF(AM889&gt;=AH889,0,AH889-AM889))</f>
        <v/>
      </c>
      <c r="AO889" s="84">
        <f>IF(AM889&gt;=AH889,AI889,AI889*AM889/AH889)</f>
        <v/>
      </c>
      <c r="AP889">
        <f t="array" ref="AP889">INDEX($AU$8:$BB$25,6*(R889-1)+MATCH(AB889,$AS$8:$AS$13,0),MATCH(O889,$AU$7:$BB$7,0))</f>
        <v/>
      </c>
    </row>
    <row r="890" ht="14.25" customHeight="1">
      <c r="O890" s="43" t="inlineStr">
        <is>
          <t>Q3’27</t>
        </is>
      </c>
      <c r="P890" s="43" t="n">
        <v>3</v>
      </c>
      <c r="Q890" s="43" t="n">
        <v>11</v>
      </c>
      <c r="R890" s="43" t="n">
        <v>1</v>
      </c>
      <c r="S890" s="45" t="n">
        <v>2447.661176470588</v>
      </c>
      <c r="T890">
        <f>(S890+S891+S892)=T4</f>
        <v/>
      </c>
      <c r="X890" s="84">
        <f>MAX(S887-S890,0)</f>
        <v/>
      </c>
      <c r="Y890" s="83" t="n">
        <v>0</v>
      </c>
      <c r="AA890" s="84" t="n">
        <v>3</v>
      </c>
      <c r="AB890" s="84" t="inlineStr">
        <is>
          <t>E</t>
        </is>
      </c>
      <c r="AC890" s="84" t="inlineStr">
        <is>
          <t>E+</t>
        </is>
      </c>
      <c r="AD890" s="84" t="n">
        <v>17</v>
      </c>
      <c r="AE890" s="84" t="n">
        <v>15</v>
      </c>
      <c r="AF890" s="84" t="n">
        <v>0.76</v>
      </c>
      <c r="AG890" s="84" t="n">
        <v>0.84</v>
      </c>
      <c r="AH890" s="84" t="n">
        <v>0</v>
      </c>
      <c r="AI890" s="84" t="n">
        <v>0</v>
      </c>
      <c r="AJ890" s="84">
        <f>SUMIFS(AH$8:AH$1039,$O$8:$O$1039,O890,$AB$8:$AB$1039,AB890,$R$8:$R$1039,R890,$AA$8:$AA$1039,"&lt;="&amp;AA890)</f>
        <v/>
      </c>
      <c r="AK890" s="84">
        <f>C84</f>
        <v/>
      </c>
      <c r="AL890" s="84">
        <f>C90</f>
        <v/>
      </c>
      <c r="AM890" s="84">
        <f>MAX(0,AJ890-AK890)</f>
        <v/>
      </c>
      <c r="AN890" s="84">
        <f>IF(AM890=0,AH890,IF(AM890&gt;=AH890,0,AH890-AM890))</f>
        <v/>
      </c>
      <c r="AO890" s="84">
        <f>IF(AM890&gt;=AH890,AI890,AI890*AM890/AH890)</f>
        <v/>
      </c>
      <c r="AP890">
        <f t="array" ref="AP890">INDEX($AU$8:$BB$25,6*(R890-1)+MATCH(AB890,$AS$8:$AS$13,0),MATCH(O890,$AU$7:$BB$7,0))</f>
        <v/>
      </c>
    </row>
    <row r="891" ht="14.25" customHeight="1">
      <c r="O891" s="43" t="inlineStr">
        <is>
          <t>Q3’27</t>
        </is>
      </c>
      <c r="P891" s="43" t="n">
        <v>3</v>
      </c>
      <c r="Q891" s="43" t="n">
        <v>11</v>
      </c>
      <c r="R891" s="43" t="n">
        <v>2</v>
      </c>
      <c r="S891" s="45" t="n">
        <v>6598.155294117646</v>
      </c>
      <c r="T891">
        <f>(S890+S891+S892)=T4</f>
        <v/>
      </c>
      <c r="X891" s="84">
        <f>MAX(S888-S891,0)</f>
        <v/>
      </c>
      <c r="Y891" s="83" t="n">
        <v>0</v>
      </c>
      <c r="AA891" s="84" t="n">
        <v>3</v>
      </c>
      <c r="AB891" s="84" t="inlineStr">
        <is>
          <t>E</t>
        </is>
      </c>
      <c r="AC891" s="84" t="inlineStr">
        <is>
          <t>E+</t>
        </is>
      </c>
      <c r="AD891" s="84" t="n">
        <v>17</v>
      </c>
      <c r="AE891" s="84" t="n">
        <v>15</v>
      </c>
      <c r="AF891" s="84" t="n">
        <v>0.76</v>
      </c>
      <c r="AG891" s="84" t="n">
        <v>0.84</v>
      </c>
      <c r="AH891" s="84" t="n">
        <v>0</v>
      </c>
      <c r="AI891" s="84" t="n">
        <v>0</v>
      </c>
      <c r="AJ891" s="84">
        <f>SUMIFS(AH$8:AH$1039,$O$8:$O$1039,O891,$AB$8:$AB$1039,AB891,$R$8:$R$1039,R891,$AA$8:$AA$1039,"&lt;="&amp;AA891)</f>
        <v/>
      </c>
      <c r="AK891" s="84">
        <f>D84</f>
        <v/>
      </c>
      <c r="AL891" s="84">
        <f>D90</f>
        <v/>
      </c>
      <c r="AM891" s="84">
        <f>MAX(0,AJ891-AK891)</f>
        <v/>
      </c>
      <c r="AN891" s="84">
        <f>IF(AM891=0,AH891,IF(AM891&gt;=AH891,0,AH891-AM891))</f>
        <v/>
      </c>
      <c r="AO891" s="84">
        <f>IF(AM891&gt;=AH891,AI891,AI891*AM891/AH891)</f>
        <v/>
      </c>
      <c r="AP891">
        <f t="array" ref="AP891">INDEX($AU$8:$BB$25,6*(R891-1)+MATCH(AB891,$AS$8:$AS$13,0),MATCH(O891,$AU$7:$BB$7,0))</f>
        <v/>
      </c>
    </row>
    <row r="892" ht="14.25" customHeight="1">
      <c r="O892" s="43" t="inlineStr">
        <is>
          <t>Q3’27</t>
        </is>
      </c>
      <c r="P892" s="43" t="n">
        <v>3</v>
      </c>
      <c r="Q892" s="43" t="n">
        <v>11</v>
      </c>
      <c r="R892" s="43" t="n">
        <v>3</v>
      </c>
      <c r="S892" s="45" t="n">
        <v>3954.183529411766</v>
      </c>
      <c r="T892">
        <f>(S890+S891+S892)=T4</f>
        <v/>
      </c>
      <c r="X892" s="84">
        <f>MAX(S889-S892,0)</f>
        <v/>
      </c>
      <c r="Y892" s="83" t="n">
        <v>0</v>
      </c>
      <c r="AA892" s="84" t="n">
        <v>3</v>
      </c>
      <c r="AB892" s="84" t="inlineStr">
        <is>
          <t>E</t>
        </is>
      </c>
      <c r="AC892" s="84" t="inlineStr">
        <is>
          <t>E+</t>
        </is>
      </c>
      <c r="AD892" s="84" t="n">
        <v>17</v>
      </c>
      <c r="AE892" s="84" t="n">
        <v>15</v>
      </c>
      <c r="AF892" s="84" t="n">
        <v>0.76</v>
      </c>
      <c r="AG892" s="84" t="n">
        <v>0.84</v>
      </c>
      <c r="AH892" s="84" t="n">
        <v>0</v>
      </c>
      <c r="AI892" s="84" t="n">
        <v>0</v>
      </c>
      <c r="AJ892" s="84">
        <f>SUMIFS(AH$8:AH$1039,$O$8:$O$1039,O892,$AB$8:$AB$1039,AB892,$R$8:$R$1039,R892,$AA$8:$AA$1039,"&lt;="&amp;AA892)</f>
        <v/>
      </c>
      <c r="AK892" s="84">
        <f>E84</f>
        <v/>
      </c>
      <c r="AL892" s="84">
        <f>E90</f>
        <v/>
      </c>
      <c r="AM892" s="84">
        <f>MAX(0,AJ892-AK892)</f>
        <v/>
      </c>
      <c r="AN892" s="84">
        <f>IF(AM892=0,AH892,IF(AM892&gt;=AH892,0,AH892-AM892))</f>
        <v/>
      </c>
      <c r="AO892" s="84">
        <f>IF(AM892&gt;=AH892,AI892,AI892*AM892/AH892)</f>
        <v/>
      </c>
      <c r="AP892">
        <f t="array" ref="AP892">INDEX($AU$8:$BB$25,6*(R892-1)+MATCH(AB892,$AS$8:$AS$13,0),MATCH(O892,$AU$7:$BB$7,0))</f>
        <v/>
      </c>
    </row>
    <row r="893" ht="14.25" customHeight="1">
      <c r="O893" s="43" t="inlineStr">
        <is>
          <t>Q3’27</t>
        </is>
      </c>
      <c r="P893" s="43" t="n">
        <v>3</v>
      </c>
      <c r="Q893" s="43" t="n">
        <v>12</v>
      </c>
      <c r="R893" s="43" t="n">
        <v>1</v>
      </c>
      <c r="S893" s="45" t="n">
        <v>2447.661176470588</v>
      </c>
      <c r="T893">
        <f>(S893+S894+S895)=T4</f>
        <v/>
      </c>
      <c r="X893" s="84">
        <f>MAX(S890-S893,0)</f>
        <v/>
      </c>
      <c r="Y893" s="83" t="n">
        <v>0</v>
      </c>
      <c r="AA893" s="84" t="n">
        <v>10</v>
      </c>
      <c r="AB893" s="84" t="inlineStr">
        <is>
          <t>E</t>
        </is>
      </c>
      <c r="AC893" s="84" t="inlineStr">
        <is>
          <t>E+</t>
        </is>
      </c>
      <c r="AD893" s="84" t="n">
        <v>18</v>
      </c>
      <c r="AE893" s="84" t="n">
        <v>13</v>
      </c>
      <c r="AF893" s="84" t="n">
        <v>0.76</v>
      </c>
      <c r="AG893" s="84" t="n">
        <v>0.84</v>
      </c>
      <c r="AH893" s="84" t="n">
        <v>0</v>
      </c>
      <c r="AI893" s="84" t="n">
        <v>0</v>
      </c>
      <c r="AJ893" s="84">
        <f>SUMIFS(AH$8:AH$1039,$O$8:$O$1039,O893,$AB$8:$AB$1039,AB893,$R$8:$R$1039,R893,$AA$8:$AA$1039,"&lt;="&amp;AA893)</f>
        <v/>
      </c>
      <c r="AK893" s="84">
        <f>C84</f>
        <v/>
      </c>
      <c r="AL893" s="84">
        <f>C90</f>
        <v/>
      </c>
      <c r="AM893" s="84">
        <f>MAX(0,AJ893-AK893)</f>
        <v/>
      </c>
      <c r="AN893" s="84">
        <f>IF(AM893=0,AH893,IF(AM893&gt;=AH893,0,AH893-AM893))</f>
        <v/>
      </c>
      <c r="AO893" s="84">
        <f>IF(AM893&gt;=AH893,AI893,AI893*AM893/AH893)</f>
        <v/>
      </c>
      <c r="AP893">
        <f t="array" ref="AP893">INDEX($AU$8:$BB$25,6*(R893-1)+MATCH(AB893,$AS$8:$AS$13,0),MATCH(O893,$AU$7:$BB$7,0))</f>
        <v/>
      </c>
    </row>
    <row r="894" ht="14.25" customHeight="1">
      <c r="O894" s="43" t="inlineStr">
        <is>
          <t>Q3’27</t>
        </is>
      </c>
      <c r="P894" s="43" t="n">
        <v>3</v>
      </c>
      <c r="Q894" s="43" t="n">
        <v>12</v>
      </c>
      <c r="R894" s="43" t="n">
        <v>2</v>
      </c>
      <c r="S894" s="45" t="n">
        <v>6598.155294117646</v>
      </c>
      <c r="T894">
        <f>(S893+S894+S895)=T4</f>
        <v/>
      </c>
      <c r="X894" s="84">
        <f>MAX(S891-S894,0)</f>
        <v/>
      </c>
      <c r="Y894" s="83" t="n">
        <v>0</v>
      </c>
      <c r="AA894" s="84" t="n">
        <v>10</v>
      </c>
      <c r="AB894" s="84" t="inlineStr">
        <is>
          <t>E</t>
        </is>
      </c>
      <c r="AC894" s="84" t="inlineStr">
        <is>
          <t>E+</t>
        </is>
      </c>
      <c r="AD894" s="84" t="n">
        <v>18</v>
      </c>
      <c r="AE894" s="84" t="n">
        <v>13</v>
      </c>
      <c r="AF894" s="84" t="n">
        <v>0.76</v>
      </c>
      <c r="AG894" s="84" t="n">
        <v>0.84</v>
      </c>
      <c r="AH894" s="84" t="n">
        <v>0</v>
      </c>
      <c r="AI894" s="84" t="n">
        <v>0</v>
      </c>
      <c r="AJ894" s="84">
        <f>SUMIFS(AH$8:AH$1039,$O$8:$O$1039,O894,$AB$8:$AB$1039,AB894,$R$8:$R$1039,R894,$AA$8:$AA$1039,"&lt;="&amp;AA894)</f>
        <v/>
      </c>
      <c r="AK894" s="84">
        <f>D84</f>
        <v/>
      </c>
      <c r="AL894" s="84">
        <f>D90</f>
        <v/>
      </c>
      <c r="AM894" s="84">
        <f>MAX(0,AJ894-AK894)</f>
        <v/>
      </c>
      <c r="AN894" s="84">
        <f>IF(AM894=0,AH894,IF(AM894&gt;=AH894,0,AH894-AM894))</f>
        <v/>
      </c>
      <c r="AO894" s="84">
        <f>IF(AM894&gt;=AH894,AI894,AI894*AM894/AH894)</f>
        <v/>
      </c>
      <c r="AP894">
        <f t="array" ref="AP894">INDEX($AU$8:$BB$25,6*(R894-1)+MATCH(AB894,$AS$8:$AS$13,0),MATCH(O894,$AU$7:$BB$7,0))</f>
        <v/>
      </c>
    </row>
    <row r="895" ht="14.25" customHeight="1">
      <c r="O895" s="43" t="inlineStr">
        <is>
          <t>Q3’27</t>
        </is>
      </c>
      <c r="P895" s="43" t="n">
        <v>3</v>
      </c>
      <c r="Q895" s="43" t="n">
        <v>12</v>
      </c>
      <c r="R895" s="43" t="n">
        <v>3</v>
      </c>
      <c r="S895" s="45" t="n">
        <v>3954.183529411766</v>
      </c>
      <c r="T895">
        <f>(S893+S894+S895)=T4</f>
        <v/>
      </c>
      <c r="X895" s="84">
        <f>MAX(S892-S895,0)</f>
        <v/>
      </c>
      <c r="Y895" s="83" t="n">
        <v>0</v>
      </c>
      <c r="AA895" s="84" t="n">
        <v>10</v>
      </c>
      <c r="AB895" s="84" t="inlineStr">
        <is>
          <t>E</t>
        </is>
      </c>
      <c r="AC895" s="84" t="inlineStr">
        <is>
          <t>E+</t>
        </is>
      </c>
      <c r="AD895" s="84" t="n">
        <v>18</v>
      </c>
      <c r="AE895" s="84" t="n">
        <v>13</v>
      </c>
      <c r="AF895" s="84" t="n">
        <v>0.76</v>
      </c>
      <c r="AG895" s="84" t="n">
        <v>0.84</v>
      </c>
      <c r="AH895" s="84" t="n">
        <v>0</v>
      </c>
      <c r="AI895" s="84" t="n">
        <v>0</v>
      </c>
      <c r="AJ895" s="84">
        <f>SUMIFS(AH$8:AH$1039,$O$8:$O$1039,O895,$AB$8:$AB$1039,AB895,$R$8:$R$1039,R895,$AA$8:$AA$1039,"&lt;="&amp;AA895)</f>
        <v/>
      </c>
      <c r="AK895" s="84">
        <f>E84</f>
        <v/>
      </c>
      <c r="AL895" s="84">
        <f>E90</f>
        <v/>
      </c>
      <c r="AM895" s="84">
        <f>MAX(0,AJ895-AK895)</f>
        <v/>
      </c>
      <c r="AN895" s="84">
        <f>IF(AM895=0,AH895,IF(AM895&gt;=AH895,0,AH895-AM895))</f>
        <v/>
      </c>
      <c r="AO895" s="84">
        <f>IF(AM895&gt;=AH895,AI895,AI895*AM895/AH895)</f>
        <v/>
      </c>
      <c r="AP895">
        <f t="array" ref="AP895">INDEX($AU$8:$BB$25,6*(R895-1)+MATCH(AB895,$AS$8:$AS$13,0),MATCH(O895,$AU$7:$BB$7,0))</f>
        <v/>
      </c>
    </row>
    <row r="896" ht="14.25" customHeight="1">
      <c r="O896" s="43" t="inlineStr">
        <is>
          <t>Q3’27</t>
        </is>
      </c>
      <c r="P896" s="43" t="n">
        <v>3</v>
      </c>
      <c r="Q896" s="43" t="n">
        <v>13</v>
      </c>
      <c r="R896" s="43" t="n">
        <v>1</v>
      </c>
      <c r="S896" s="45" t="n">
        <v>2447.661176470587</v>
      </c>
      <c r="T896">
        <f>(S896+S897+S898)=T4</f>
        <v/>
      </c>
      <c r="X896" s="84">
        <f>MAX(S893-S896,0)</f>
        <v/>
      </c>
      <c r="Y896" s="83" t="n">
        <v>0</v>
      </c>
      <c r="AA896" s="84" t="n">
        <v>2</v>
      </c>
      <c r="AB896" s="84" t="inlineStr">
        <is>
          <t>F</t>
        </is>
      </c>
      <c r="AC896" s="84" t="inlineStr">
        <is>
          <t>F+</t>
        </is>
      </c>
      <c r="AD896" s="84" t="n">
        <v>20</v>
      </c>
      <c r="AE896" s="84" t="n">
        <v>18</v>
      </c>
      <c r="AF896" s="84" t="n">
        <v>0.8</v>
      </c>
      <c r="AG896" s="84" t="n">
        <v>0.9</v>
      </c>
      <c r="AH896" s="84" t="n">
        <v>0</v>
      </c>
      <c r="AI896" s="84" t="n">
        <v>0</v>
      </c>
      <c r="AJ896" s="84">
        <f>SUMIFS(AH$8:AH$1039,$O$8:$O$1039,O896,$AB$8:$AB$1039,AB896,$R$8:$R$1039,R896,$AA$8:$AA$1039,"&lt;="&amp;AA896)</f>
        <v/>
      </c>
      <c r="AK896" s="84">
        <f>C85</f>
        <v/>
      </c>
      <c r="AL896" s="84">
        <f>C91</f>
        <v/>
      </c>
      <c r="AM896" s="84">
        <f>MAX(0,AJ896-AK896)</f>
        <v/>
      </c>
      <c r="AN896" s="84">
        <f>IF(AM896=0,AH896,IF(AM896&gt;=AH896,0,AH896-AM896))</f>
        <v/>
      </c>
      <c r="AO896" s="84">
        <f>IF(AM896&gt;=AH896,AI896,AI896*AM896/AH896)</f>
        <v/>
      </c>
      <c r="AP896">
        <f t="array" ref="AP896">INDEX($AU$8:$BB$25,6*(R896-1)+MATCH(AB896,$AS$8:$AS$13,0),MATCH(O896,$AU$7:$BB$7,0))</f>
        <v/>
      </c>
    </row>
    <row r="897" ht="14.25" customHeight="1">
      <c r="O897" s="43" t="inlineStr">
        <is>
          <t>Q3’27</t>
        </is>
      </c>
      <c r="P897" s="43" t="n">
        <v>3</v>
      </c>
      <c r="Q897" s="43" t="n">
        <v>13</v>
      </c>
      <c r="R897" s="43" t="n">
        <v>2</v>
      </c>
      <c r="S897" s="45" t="n">
        <v>6598.155294117647</v>
      </c>
      <c r="T897">
        <f>(S896+S897+S898)=T4</f>
        <v/>
      </c>
      <c r="X897" s="84">
        <f>MAX(S894-S897,0)</f>
        <v/>
      </c>
      <c r="Y897" s="83" t="n">
        <v>0</v>
      </c>
      <c r="AA897" s="84" t="n">
        <v>2</v>
      </c>
      <c r="AB897" s="84" t="inlineStr">
        <is>
          <t>F</t>
        </is>
      </c>
      <c r="AC897" s="84" t="inlineStr">
        <is>
          <t>F+</t>
        </is>
      </c>
      <c r="AD897" s="84" t="n">
        <v>20</v>
      </c>
      <c r="AE897" s="84" t="n">
        <v>18</v>
      </c>
      <c r="AF897" s="84" t="n">
        <v>0.8</v>
      </c>
      <c r="AG897" s="84" t="n">
        <v>0.9</v>
      </c>
      <c r="AH897" s="84" t="n">
        <v>0</v>
      </c>
      <c r="AI897" s="84" t="n">
        <v>0</v>
      </c>
      <c r="AJ897" s="84">
        <f>SUMIFS(AH$8:AH$1039,$O$8:$O$1039,O897,$AB$8:$AB$1039,AB897,$R$8:$R$1039,R897,$AA$8:$AA$1039,"&lt;="&amp;AA897)</f>
        <v/>
      </c>
      <c r="AK897" s="84">
        <f>D85</f>
        <v/>
      </c>
      <c r="AL897" s="84">
        <f>D91</f>
        <v/>
      </c>
      <c r="AM897" s="84">
        <f>MAX(0,AJ897-AK897)</f>
        <v/>
      </c>
      <c r="AN897" s="84">
        <f>IF(AM897=0,AH897,IF(AM897&gt;=AH897,0,AH897-AM897))</f>
        <v/>
      </c>
      <c r="AO897" s="84">
        <f>IF(AM897&gt;=AH897,AI897,AI897*AM897/AH897)</f>
        <v/>
      </c>
      <c r="AP897">
        <f t="array" ref="AP897">INDEX($AU$8:$BB$25,6*(R897-1)+MATCH(AB897,$AS$8:$AS$13,0),MATCH(O897,$AU$7:$BB$7,0))</f>
        <v/>
      </c>
    </row>
    <row r="898" ht="14.25" customHeight="1">
      <c r="O898" s="43" t="inlineStr">
        <is>
          <t>Q3’27</t>
        </is>
      </c>
      <c r="P898" s="43" t="n">
        <v>3</v>
      </c>
      <c r="Q898" s="43" t="n">
        <v>13</v>
      </c>
      <c r="R898" s="43" t="n">
        <v>3</v>
      </c>
      <c r="S898" s="45" t="n">
        <v>3954.183529411766</v>
      </c>
      <c r="T898">
        <f>(S896+S897+S898)=T4</f>
        <v/>
      </c>
      <c r="X898" s="84">
        <f>MAX(S895-S898,0)</f>
        <v/>
      </c>
      <c r="Y898" s="83" t="n">
        <v>0</v>
      </c>
      <c r="AA898" s="84" t="n">
        <v>2</v>
      </c>
      <c r="AB898" s="84" t="inlineStr">
        <is>
          <t>F</t>
        </is>
      </c>
      <c r="AC898" s="84" t="inlineStr">
        <is>
          <t>F+</t>
        </is>
      </c>
      <c r="AD898" s="84" t="n">
        <v>20</v>
      </c>
      <c r="AE898" s="84" t="n">
        <v>18</v>
      </c>
      <c r="AF898" s="84" t="n">
        <v>0.8</v>
      </c>
      <c r="AG898" s="84" t="n">
        <v>0.9</v>
      </c>
      <c r="AH898" s="84" t="n">
        <v>0</v>
      </c>
      <c r="AI898" s="84" t="n">
        <v>0</v>
      </c>
      <c r="AJ898" s="84">
        <f>SUMIFS(AH$8:AH$1039,$O$8:$O$1039,O898,$AB$8:$AB$1039,AB898,$R$8:$R$1039,R898,$AA$8:$AA$1039,"&lt;="&amp;AA898)</f>
        <v/>
      </c>
      <c r="AK898" s="84">
        <f>E85</f>
        <v/>
      </c>
      <c r="AL898" s="84">
        <f>E91</f>
        <v/>
      </c>
      <c r="AM898" s="84">
        <f>MAX(0,AJ898-AK898)</f>
        <v/>
      </c>
      <c r="AN898" s="84">
        <f>IF(AM898=0,AH898,IF(AM898&gt;=AH898,0,AH898-AM898))</f>
        <v/>
      </c>
      <c r="AO898" s="84">
        <f>IF(AM898&gt;=AH898,AI898,AI898*AM898/AH898)</f>
        <v/>
      </c>
      <c r="AP898">
        <f t="array" ref="AP898">INDEX($AU$8:$BB$25,6*(R898-1)+MATCH(AB898,$AS$8:$AS$13,0),MATCH(O898,$AU$7:$BB$7,0))</f>
        <v/>
      </c>
    </row>
    <row r="899" ht="14.25" customHeight="1">
      <c r="O899" s="43" t="inlineStr">
        <is>
          <t>Q3’27</t>
        </is>
      </c>
      <c r="P899" s="43" t="n">
        <v>3</v>
      </c>
      <c r="Q899" s="43" t="n">
        <v>14</v>
      </c>
      <c r="R899" s="43" t="n">
        <v>1</v>
      </c>
      <c r="S899" s="45" t="n">
        <v>2447.661176470589</v>
      </c>
      <c r="T899">
        <f>(S899+S900+S901)=T4</f>
        <v/>
      </c>
      <c r="X899" s="84">
        <f>MAX(S896-S899,0)</f>
        <v/>
      </c>
      <c r="Y899" s="83" t="n">
        <v>0</v>
      </c>
      <c r="AA899" s="84" t="n">
        <v>2</v>
      </c>
      <c r="AB899" s="84" t="inlineStr">
        <is>
          <t>C</t>
        </is>
      </c>
      <c r="AC899" s="84" t="inlineStr">
        <is>
          <t>C+</t>
        </is>
      </c>
      <c r="AD899" s="84" t="n">
        <v>12</v>
      </c>
      <c r="AE899" s="84" t="n">
        <v>11</v>
      </c>
      <c r="AF899" s="84" t="n">
        <v>0.8</v>
      </c>
      <c r="AG899" s="84" t="n">
        <v>0.86</v>
      </c>
      <c r="AH899" s="84" t="n">
        <v>0</v>
      </c>
      <c r="AI899" s="84" t="n">
        <v>0</v>
      </c>
      <c r="AJ899" s="84">
        <f>SUMIFS(AH$8:AH$1039,$O$8:$O$1039,O899,$AB$8:$AB$1039,AB899,$R$8:$R$1039,R899,$AA$8:$AA$1039,"&lt;="&amp;AA899)</f>
        <v/>
      </c>
      <c r="AK899" s="84">
        <f>C82</f>
        <v/>
      </c>
      <c r="AL899" s="84">
        <f>C88</f>
        <v/>
      </c>
      <c r="AM899" s="84">
        <f>MAX(0,AJ899-AK899)</f>
        <v/>
      </c>
      <c r="AN899" s="84">
        <f>IF(AM899=0,AH899,IF(AM899&gt;=AH899,0,AH899-AM899))</f>
        <v/>
      </c>
      <c r="AO899" s="84">
        <f>IF(AM899&gt;=AH899,AI899,AI899*AM899/AH899)</f>
        <v/>
      </c>
      <c r="AP899">
        <f t="array" ref="AP899">INDEX($AU$8:$BB$25,6*(R899-1)+MATCH(AB899,$AS$8:$AS$13,0),MATCH(O899,$AU$7:$BB$7,0))</f>
        <v/>
      </c>
    </row>
    <row r="900" ht="14.25" customHeight="1">
      <c r="O900" s="43" t="inlineStr">
        <is>
          <t>Q3’27</t>
        </is>
      </c>
      <c r="P900" s="43" t="n">
        <v>3</v>
      </c>
      <c r="Q900" s="43" t="n">
        <v>14</v>
      </c>
      <c r="R900" s="43" t="n">
        <v>2</v>
      </c>
      <c r="S900" s="45" t="n">
        <v>6598.155294117647</v>
      </c>
      <c r="T900">
        <f>(S899+S900+S901)=T4</f>
        <v/>
      </c>
      <c r="X900" s="84">
        <f>MAX(S897-S900,0)</f>
        <v/>
      </c>
      <c r="Y900" s="83" t="n">
        <v>0</v>
      </c>
      <c r="AA900" s="84" t="n">
        <v>2</v>
      </c>
      <c r="AB900" s="84" t="inlineStr">
        <is>
          <t>C</t>
        </is>
      </c>
      <c r="AC900" s="84" t="inlineStr">
        <is>
          <t>C+</t>
        </is>
      </c>
      <c r="AD900" s="84" t="n">
        <v>12</v>
      </c>
      <c r="AE900" s="84" t="n">
        <v>11</v>
      </c>
      <c r="AF900" s="84" t="n">
        <v>0.8</v>
      </c>
      <c r="AG900" s="84" t="n">
        <v>0.86</v>
      </c>
      <c r="AH900" s="84" t="n">
        <v>0</v>
      </c>
      <c r="AI900" s="84" t="n">
        <v>0</v>
      </c>
      <c r="AJ900" s="84">
        <f>SUMIFS(AH$8:AH$1039,$O$8:$O$1039,O900,$AB$8:$AB$1039,AB900,$R$8:$R$1039,R900,$AA$8:$AA$1039,"&lt;="&amp;AA900)</f>
        <v/>
      </c>
      <c r="AK900" s="84">
        <f>D82</f>
        <v/>
      </c>
      <c r="AL900" s="84">
        <f>D88</f>
        <v/>
      </c>
      <c r="AM900" s="84">
        <f>MAX(0,AJ900-AK900)</f>
        <v/>
      </c>
      <c r="AN900" s="84">
        <f>IF(AM900=0,AH900,IF(AM900&gt;=AH900,0,AH900-AM900))</f>
        <v/>
      </c>
      <c r="AO900" s="84">
        <f>IF(AM900&gt;=AH900,AI900,AI900*AM900/AH900)</f>
        <v/>
      </c>
      <c r="AP900">
        <f t="array" ref="AP900">INDEX($AU$8:$BB$25,6*(R900-1)+MATCH(AB900,$AS$8:$AS$13,0),MATCH(O900,$AU$7:$BB$7,0))</f>
        <v/>
      </c>
    </row>
    <row r="901" ht="14.25" customHeight="1">
      <c r="O901" s="43" t="inlineStr">
        <is>
          <t>Q3’27</t>
        </is>
      </c>
      <c r="P901" s="43" t="n">
        <v>3</v>
      </c>
      <c r="Q901" s="43" t="n">
        <v>14</v>
      </c>
      <c r="R901" s="43" t="n">
        <v>3</v>
      </c>
      <c r="S901" s="45" t="n">
        <v>3954.183529411765</v>
      </c>
      <c r="T901">
        <f>(S899+S900+S901)=T4</f>
        <v/>
      </c>
      <c r="X901" s="84">
        <f>MAX(S898-S901,0)</f>
        <v/>
      </c>
      <c r="Y901" s="83" t="n">
        <v>0</v>
      </c>
      <c r="AA901" s="84" t="n">
        <v>2</v>
      </c>
      <c r="AB901" s="84" t="inlineStr">
        <is>
          <t>C</t>
        </is>
      </c>
      <c r="AC901" s="84" t="inlineStr">
        <is>
          <t>C+</t>
        </is>
      </c>
      <c r="AD901" s="84" t="n">
        <v>12</v>
      </c>
      <c r="AE901" s="84" t="n">
        <v>11</v>
      </c>
      <c r="AF901" s="84" t="n">
        <v>0.8</v>
      </c>
      <c r="AG901" s="84" t="n">
        <v>0.86</v>
      </c>
      <c r="AH901" s="84" t="n">
        <v>0</v>
      </c>
      <c r="AI901" s="84" t="n">
        <v>0</v>
      </c>
      <c r="AJ901" s="84">
        <f>SUMIFS(AH$8:AH$1039,$O$8:$O$1039,O901,$AB$8:$AB$1039,AB901,$R$8:$R$1039,R901,$AA$8:$AA$1039,"&lt;="&amp;AA901)</f>
        <v/>
      </c>
      <c r="AK901" s="84">
        <f>E82</f>
        <v/>
      </c>
      <c r="AL901" s="84">
        <f>E88</f>
        <v/>
      </c>
      <c r="AM901" s="84">
        <f>MAX(0,AJ901-AK901)</f>
        <v/>
      </c>
      <c r="AN901" s="84">
        <f>IF(AM901=0,AH901,IF(AM901&gt;=AH901,0,AH901-AM901))</f>
        <v/>
      </c>
      <c r="AO901" s="84">
        <f>IF(AM901&gt;=AH901,AI901,AI901*AM901/AH901)</f>
        <v/>
      </c>
      <c r="AP901">
        <f t="array" ref="AP901">INDEX($AU$8:$BB$25,6*(R901-1)+MATCH(AB901,$AS$8:$AS$13,0),MATCH(O901,$AU$7:$BB$7,0))</f>
        <v/>
      </c>
    </row>
    <row r="902" ht="14.25" customHeight="1">
      <c r="O902" s="43" t="inlineStr">
        <is>
          <t>Q3’27</t>
        </is>
      </c>
      <c r="P902" s="43" t="n">
        <v>3</v>
      </c>
      <c r="Q902" s="43" t="n">
        <v>15</v>
      </c>
      <c r="R902" s="43" t="n">
        <v>1</v>
      </c>
      <c r="S902" s="45" t="n">
        <v>2447.661176470589</v>
      </c>
      <c r="T902">
        <f>(S902+S903+S904)=T4</f>
        <v/>
      </c>
      <c r="X902" s="84">
        <f>MAX(S899-S902,0)</f>
        <v/>
      </c>
      <c r="Y902" s="83" t="n">
        <v>0</v>
      </c>
      <c r="AA902" s="84" t="n">
        <v>2</v>
      </c>
      <c r="AB902" s="84" t="inlineStr">
        <is>
          <t>D</t>
        </is>
      </c>
      <c r="AC902" s="84" t="inlineStr">
        <is>
          <t>D+</t>
        </is>
      </c>
      <c r="AD902" s="84" t="n">
        <v>11</v>
      </c>
      <c r="AE902" s="84" t="n">
        <v>10</v>
      </c>
      <c r="AF902" s="84" t="n">
        <v>0.8</v>
      </c>
      <c r="AG902" s="84" t="n">
        <v>0.88</v>
      </c>
      <c r="AH902" s="84" t="n">
        <v>0</v>
      </c>
      <c r="AI902" s="84" t="n">
        <v>0</v>
      </c>
      <c r="AJ902" s="84">
        <f>SUMIFS(AH$8:AH$1039,$O$8:$O$1039,O902,$AB$8:$AB$1039,AB902,$R$8:$R$1039,R902,$AA$8:$AA$1039,"&lt;="&amp;AA902)</f>
        <v/>
      </c>
      <c r="AK902" s="84">
        <f>C83</f>
        <v/>
      </c>
      <c r="AL902" s="84">
        <f>C89</f>
        <v/>
      </c>
      <c r="AM902" s="84">
        <f>MAX(0,AJ902-AK902)</f>
        <v/>
      </c>
      <c r="AN902" s="84">
        <f>IF(AM902=0,AH902,IF(AM902&gt;=AH902,0,AH902-AM902))</f>
        <v/>
      </c>
      <c r="AO902" s="84">
        <f>IF(AM902&gt;=AH902,AI902,AI902*AM902/AH902)</f>
        <v/>
      </c>
      <c r="AP902">
        <f t="array" ref="AP902">INDEX($AU$8:$BB$25,6*(R902-1)+MATCH(AB902,$AS$8:$AS$13,0),MATCH(O902,$AU$7:$BB$7,0))</f>
        <v/>
      </c>
    </row>
    <row r="903" ht="14.25" customHeight="1">
      <c r="O903" s="43" t="inlineStr">
        <is>
          <t>Q3’27</t>
        </is>
      </c>
      <c r="P903" s="43" t="n">
        <v>3</v>
      </c>
      <c r="Q903" s="43" t="n">
        <v>15</v>
      </c>
      <c r="R903" s="43" t="n">
        <v>2</v>
      </c>
      <c r="S903" s="45" t="n">
        <v>6598.155294117647</v>
      </c>
      <c r="T903">
        <f>(S902+S903+S904)=T4</f>
        <v/>
      </c>
      <c r="X903" s="84">
        <f>MAX(S900-S903,0)</f>
        <v/>
      </c>
      <c r="Y903" s="83" t="n">
        <v>0</v>
      </c>
      <c r="AA903" s="84" t="n">
        <v>2</v>
      </c>
      <c r="AB903" s="84" t="inlineStr">
        <is>
          <t>D</t>
        </is>
      </c>
      <c r="AC903" s="84" t="inlineStr">
        <is>
          <t>D+</t>
        </is>
      </c>
      <c r="AD903" s="84" t="n">
        <v>11</v>
      </c>
      <c r="AE903" s="84" t="n">
        <v>10</v>
      </c>
      <c r="AF903" s="84" t="n">
        <v>0.8</v>
      </c>
      <c r="AG903" s="84" t="n">
        <v>0.88</v>
      </c>
      <c r="AH903" s="84" t="n">
        <v>0</v>
      </c>
      <c r="AI903" s="84" t="n">
        <v>0</v>
      </c>
      <c r="AJ903" s="84">
        <f>SUMIFS(AH$8:AH$1039,$O$8:$O$1039,O903,$AB$8:$AB$1039,AB903,$R$8:$R$1039,R903,$AA$8:$AA$1039,"&lt;="&amp;AA903)</f>
        <v/>
      </c>
      <c r="AK903" s="84">
        <f>D83</f>
        <v/>
      </c>
      <c r="AL903" s="84">
        <f>D89</f>
        <v/>
      </c>
      <c r="AM903" s="84">
        <f>MAX(0,AJ903-AK903)</f>
        <v/>
      </c>
      <c r="AN903" s="84">
        <f>IF(AM903=0,AH903,IF(AM903&gt;=AH903,0,AH903-AM903))</f>
        <v/>
      </c>
      <c r="AO903" s="84">
        <f>IF(AM903&gt;=AH903,AI903,AI903*AM903/AH903)</f>
        <v/>
      </c>
      <c r="AP903">
        <f t="array" ref="AP903">INDEX($AU$8:$BB$25,6*(R903-1)+MATCH(AB903,$AS$8:$AS$13,0),MATCH(O903,$AU$7:$BB$7,0))</f>
        <v/>
      </c>
    </row>
    <row r="904" ht="14.25" customHeight="1">
      <c r="O904" s="43" t="inlineStr">
        <is>
          <t>Q3’27</t>
        </is>
      </c>
      <c r="P904" s="43" t="n">
        <v>3</v>
      </c>
      <c r="Q904" s="43" t="n">
        <v>15</v>
      </c>
      <c r="R904" s="43" t="n">
        <v>3</v>
      </c>
      <c r="S904" s="45" t="n">
        <v>3954.183529411765</v>
      </c>
      <c r="T904">
        <f>(S902+S903+S904)=T4</f>
        <v/>
      </c>
      <c r="X904" s="84">
        <f>MAX(S901-S904,0)</f>
        <v/>
      </c>
      <c r="Y904" s="83" t="n">
        <v>0</v>
      </c>
      <c r="AA904" s="84" t="n">
        <v>2</v>
      </c>
      <c r="AB904" s="84" t="inlineStr">
        <is>
          <t>D</t>
        </is>
      </c>
      <c r="AC904" s="84" t="inlineStr">
        <is>
          <t>D+</t>
        </is>
      </c>
      <c r="AD904" s="84" t="n">
        <v>11</v>
      </c>
      <c r="AE904" s="84" t="n">
        <v>10</v>
      </c>
      <c r="AF904" s="84" t="n">
        <v>0.8</v>
      </c>
      <c r="AG904" s="84" t="n">
        <v>0.88</v>
      </c>
      <c r="AH904" s="84" t="n">
        <v>0</v>
      </c>
      <c r="AI904" s="84" t="n">
        <v>0</v>
      </c>
      <c r="AJ904" s="84">
        <f>SUMIFS(AH$8:AH$1039,$O$8:$O$1039,O904,$AB$8:$AB$1039,AB904,$R$8:$R$1039,R904,$AA$8:$AA$1039,"&lt;="&amp;AA904)</f>
        <v/>
      </c>
      <c r="AK904" s="84">
        <f>E83</f>
        <v/>
      </c>
      <c r="AL904" s="84">
        <f>E89</f>
        <v/>
      </c>
      <c r="AM904" s="84">
        <f>MAX(0,AJ904-AK904)</f>
        <v/>
      </c>
      <c r="AN904" s="84">
        <f>IF(AM904=0,AH904,IF(AM904&gt;=AH904,0,AH904-AM904))</f>
        <v/>
      </c>
      <c r="AO904" s="84">
        <f>IF(AM904&gt;=AH904,AI904,AI904*AM904/AH904)</f>
        <v/>
      </c>
      <c r="AP904">
        <f t="array" ref="AP904">INDEX($AU$8:$BB$25,6*(R904-1)+MATCH(AB904,$AS$8:$AS$13,0),MATCH(O904,$AU$7:$BB$7,0))</f>
        <v/>
      </c>
    </row>
    <row r="905" ht="14.25" customHeight="1">
      <c r="O905" s="43" t="inlineStr">
        <is>
          <t>Q3’27</t>
        </is>
      </c>
      <c r="P905" s="43" t="n">
        <v>3</v>
      </c>
      <c r="Q905" s="43" t="n">
        <v>16</v>
      </c>
      <c r="R905" s="43" t="n">
        <v>1</v>
      </c>
      <c r="S905" s="45" t="n">
        <v>2447.661176470589</v>
      </c>
      <c r="T905">
        <f>(S905+S906+S907)=T4</f>
        <v/>
      </c>
      <c r="X905" s="84">
        <f>MAX(S902-S905,0)</f>
        <v/>
      </c>
      <c r="Y905" s="83" t="n">
        <v>0</v>
      </c>
      <c r="AA905" s="84" t="n">
        <v>4</v>
      </c>
      <c r="AB905" s="84" t="inlineStr">
        <is>
          <t>C</t>
        </is>
      </c>
      <c r="AC905" s="84" t="inlineStr">
        <is>
          <t>C+</t>
        </is>
      </c>
      <c r="AD905" s="84" t="n">
        <v>25</v>
      </c>
      <c r="AE905" s="84" t="n">
        <v>20</v>
      </c>
      <c r="AF905" s="84" t="n">
        <v>0.8</v>
      </c>
      <c r="AG905" s="84" t="n">
        <v>0.86</v>
      </c>
      <c r="AH905" s="84" t="n">
        <v>0</v>
      </c>
      <c r="AI905" s="84" t="n">
        <v>0</v>
      </c>
      <c r="AJ905" s="84">
        <f>SUMIFS(AH$8:AH$1039,$O$8:$O$1039,O905,$AB$8:$AB$1039,AB905,$R$8:$R$1039,R905,$AA$8:$AA$1039,"&lt;="&amp;AA905)</f>
        <v/>
      </c>
      <c r="AK905" s="84">
        <f>C82</f>
        <v/>
      </c>
      <c r="AL905" s="84">
        <f>C88</f>
        <v/>
      </c>
      <c r="AM905" s="84">
        <f>MAX(0,AJ905-AK905)</f>
        <v/>
      </c>
      <c r="AN905" s="84">
        <f>IF(AM905=0,AH905,IF(AM905&gt;=AH905,0,AH905-AM905))</f>
        <v/>
      </c>
      <c r="AO905" s="84">
        <f>IF(AM905&gt;=AH905,AI905,AI905*AM905/AH905)</f>
        <v/>
      </c>
      <c r="AP905">
        <f t="array" ref="AP905">INDEX($AU$8:$BB$25,6*(R905-1)+MATCH(AB905,$AS$8:$AS$13,0),MATCH(O905,$AU$7:$BB$7,0))</f>
        <v/>
      </c>
    </row>
    <row r="906" ht="14.25" customHeight="1">
      <c r="O906" s="43" t="inlineStr">
        <is>
          <t>Q3’27</t>
        </is>
      </c>
      <c r="P906" s="43" t="n">
        <v>3</v>
      </c>
      <c r="Q906" s="43" t="n">
        <v>16</v>
      </c>
      <c r="R906" s="43" t="n">
        <v>2</v>
      </c>
      <c r="S906" s="45" t="n">
        <v>6598.155294117647</v>
      </c>
      <c r="T906">
        <f>(S905+S906+S907)=T4</f>
        <v/>
      </c>
      <c r="X906" s="84">
        <f>MAX(S903-S906,0)</f>
        <v/>
      </c>
      <c r="Y906" s="83" t="n">
        <v>0</v>
      </c>
      <c r="AA906" s="84" t="n">
        <v>4</v>
      </c>
      <c r="AB906" s="84" t="inlineStr">
        <is>
          <t>C</t>
        </is>
      </c>
      <c r="AC906" s="84" t="inlineStr">
        <is>
          <t>C+</t>
        </is>
      </c>
      <c r="AD906" s="84" t="n">
        <v>25</v>
      </c>
      <c r="AE906" s="84" t="n">
        <v>20</v>
      </c>
      <c r="AF906" s="84" t="n">
        <v>0.8</v>
      </c>
      <c r="AG906" s="84" t="n">
        <v>0.86</v>
      </c>
      <c r="AH906" s="84" t="n">
        <v>0</v>
      </c>
      <c r="AI906" s="84" t="n">
        <v>0</v>
      </c>
      <c r="AJ906" s="84">
        <f>SUMIFS(AH$8:AH$1039,$O$8:$O$1039,O906,$AB$8:$AB$1039,AB906,$R$8:$R$1039,R906,$AA$8:$AA$1039,"&lt;="&amp;AA906)</f>
        <v/>
      </c>
      <c r="AK906" s="84">
        <f>D82</f>
        <v/>
      </c>
      <c r="AL906" s="84">
        <f>D88</f>
        <v/>
      </c>
      <c r="AM906" s="84">
        <f>MAX(0,AJ906-AK906)</f>
        <v/>
      </c>
      <c r="AN906" s="84">
        <f>IF(AM906=0,AH906,IF(AM906&gt;=AH906,0,AH906-AM906))</f>
        <v/>
      </c>
      <c r="AO906" s="84">
        <f>IF(AM906&gt;=AH906,AI906,AI906*AM906/AH906)</f>
        <v/>
      </c>
      <c r="AP906">
        <f t="array" ref="AP906">INDEX($AU$8:$BB$25,6*(R906-1)+MATCH(AB906,$AS$8:$AS$13,0),MATCH(O906,$AU$7:$BB$7,0))</f>
        <v/>
      </c>
    </row>
    <row r="907" ht="14.25" customHeight="1">
      <c r="O907" s="43" t="inlineStr">
        <is>
          <t>Q3’27</t>
        </is>
      </c>
      <c r="P907" s="43" t="n">
        <v>3</v>
      </c>
      <c r="Q907" s="43" t="n">
        <v>16</v>
      </c>
      <c r="R907" s="43" t="n">
        <v>3</v>
      </c>
      <c r="S907" s="45" t="n">
        <v>3954.183529411765</v>
      </c>
      <c r="T907">
        <f>(S905+S906+S907)=T4</f>
        <v/>
      </c>
      <c r="X907" s="84">
        <f>MAX(S904-S907,0)</f>
        <v/>
      </c>
      <c r="Y907" s="83" t="n">
        <v>0</v>
      </c>
      <c r="AA907" s="84" t="n">
        <v>4</v>
      </c>
      <c r="AB907" s="84" t="inlineStr">
        <is>
          <t>C</t>
        </is>
      </c>
      <c r="AC907" s="84" t="inlineStr">
        <is>
          <t>C+</t>
        </is>
      </c>
      <c r="AD907" s="84" t="n">
        <v>25</v>
      </c>
      <c r="AE907" s="84" t="n">
        <v>20</v>
      </c>
      <c r="AF907" s="84" t="n">
        <v>0.8</v>
      </c>
      <c r="AG907" s="84" t="n">
        <v>0.86</v>
      </c>
      <c r="AH907" s="84" t="n">
        <v>0</v>
      </c>
      <c r="AI907" s="84" t="n">
        <v>0</v>
      </c>
      <c r="AJ907" s="84">
        <f>SUMIFS(AH$8:AH$1039,$O$8:$O$1039,O907,$AB$8:$AB$1039,AB907,$R$8:$R$1039,R907,$AA$8:$AA$1039,"&lt;="&amp;AA907)</f>
        <v/>
      </c>
      <c r="AK907" s="84">
        <f>E82</f>
        <v/>
      </c>
      <c r="AL907" s="84">
        <f>E88</f>
        <v/>
      </c>
      <c r="AM907" s="84">
        <f>MAX(0,AJ907-AK907)</f>
        <v/>
      </c>
      <c r="AN907" s="84">
        <f>IF(AM907=0,AH907,IF(AM907&gt;=AH907,0,AH907-AM907))</f>
        <v/>
      </c>
      <c r="AO907" s="84">
        <f>IF(AM907&gt;=AH907,AI907,AI907*AM907/AH907)</f>
        <v/>
      </c>
      <c r="AP907">
        <f t="array" ref="AP907">INDEX($AU$8:$BB$25,6*(R907-1)+MATCH(AB907,$AS$8:$AS$13,0),MATCH(O907,$AU$7:$BB$7,0))</f>
        <v/>
      </c>
    </row>
    <row r="908" ht="14.25" customHeight="1">
      <c r="O908" s="43" t="inlineStr">
        <is>
          <t>Q3’27</t>
        </is>
      </c>
      <c r="P908" s="43" t="n">
        <v>3</v>
      </c>
      <c r="Q908" s="43" t="n">
        <v>17</v>
      </c>
      <c r="R908" s="43" t="n">
        <v>1</v>
      </c>
      <c r="S908" s="45" t="n">
        <v>2447.661176470589</v>
      </c>
      <c r="T908">
        <f>(S908+S909+S910)=T4</f>
        <v/>
      </c>
      <c r="X908" s="84">
        <f>MAX(S905-S908,0)</f>
        <v/>
      </c>
      <c r="Y908" s="83" t="n">
        <v>0</v>
      </c>
      <c r="AA908" s="84" t="n">
        <v>1</v>
      </c>
      <c r="AB908" s="84" t="inlineStr">
        <is>
          <t>F</t>
        </is>
      </c>
      <c r="AC908" s="84" t="inlineStr">
        <is>
          <t>F+</t>
        </is>
      </c>
      <c r="AD908" s="84" t="n">
        <v>14</v>
      </c>
      <c r="AE908" s="84" t="n">
        <v>13</v>
      </c>
      <c r="AF908" s="84" t="n">
        <v>0.8</v>
      </c>
      <c r="AG908" s="84" t="n">
        <v>0.9</v>
      </c>
      <c r="AH908" s="84" t="n">
        <v>0</v>
      </c>
      <c r="AI908" s="84" t="n">
        <v>0</v>
      </c>
      <c r="AJ908" s="84">
        <f>SUMIFS(AH$8:AH$1039,$O$8:$O$1039,O908,$AB$8:$AB$1039,AB908,$R$8:$R$1039,R908,$AA$8:$AA$1039,"&lt;="&amp;AA908)</f>
        <v/>
      </c>
      <c r="AK908" s="84">
        <f>C85</f>
        <v/>
      </c>
      <c r="AL908" s="84">
        <f>C91</f>
        <v/>
      </c>
      <c r="AM908" s="84">
        <f>MAX(0,AJ908-AK908)</f>
        <v/>
      </c>
      <c r="AN908" s="84">
        <f>IF(AM908=0,AH908,IF(AM908&gt;=AH908,0,AH908-AM908))</f>
        <v/>
      </c>
      <c r="AO908" s="84">
        <f>IF(AM908&gt;=AH908,AI908,AI908*AM908/AH908)</f>
        <v/>
      </c>
      <c r="AP908">
        <f t="array" ref="AP908">INDEX($AU$8:$BB$25,6*(R908-1)+MATCH(AB908,$AS$8:$AS$13,0),MATCH(O908,$AU$7:$BB$7,0))</f>
        <v/>
      </c>
    </row>
    <row r="909" ht="14.25" customHeight="1">
      <c r="O909" s="43" t="inlineStr">
        <is>
          <t>Q3’27</t>
        </is>
      </c>
      <c r="P909" s="43" t="n">
        <v>3</v>
      </c>
      <c r="Q909" s="43" t="n">
        <v>17</v>
      </c>
      <c r="R909" s="43" t="n">
        <v>2</v>
      </c>
      <c r="S909" s="45" t="n">
        <v>6598.155294117647</v>
      </c>
      <c r="T909">
        <f>(S908+S909+S910)=T4</f>
        <v/>
      </c>
      <c r="X909" s="84">
        <f>MAX(S906-S909,0)</f>
        <v/>
      </c>
      <c r="Y909" s="83" t="n">
        <v>0</v>
      </c>
      <c r="AA909" s="84" t="n">
        <v>1</v>
      </c>
      <c r="AB909" s="84" t="inlineStr">
        <is>
          <t>F</t>
        </is>
      </c>
      <c r="AC909" s="84" t="inlineStr">
        <is>
          <t>F+</t>
        </is>
      </c>
      <c r="AD909" s="84" t="n">
        <v>14</v>
      </c>
      <c r="AE909" s="84" t="n">
        <v>13</v>
      </c>
      <c r="AF909" s="84" t="n">
        <v>0.8</v>
      </c>
      <c r="AG909" s="84" t="n">
        <v>0.9</v>
      </c>
      <c r="AH909" s="84" t="n">
        <v>0</v>
      </c>
      <c r="AI909" s="84" t="n">
        <v>0</v>
      </c>
      <c r="AJ909" s="84">
        <f>SUMIFS(AH$8:AH$1039,$O$8:$O$1039,O909,$AB$8:$AB$1039,AB909,$R$8:$R$1039,R909,$AA$8:$AA$1039,"&lt;="&amp;AA909)</f>
        <v/>
      </c>
      <c r="AK909" s="84">
        <f>D85</f>
        <v/>
      </c>
      <c r="AL909" s="84">
        <f>D91</f>
        <v/>
      </c>
      <c r="AM909" s="84">
        <f>MAX(0,AJ909-AK909)</f>
        <v/>
      </c>
      <c r="AN909" s="84">
        <f>IF(AM909=0,AH909,IF(AM909&gt;=AH909,0,AH909-AM909))</f>
        <v/>
      </c>
      <c r="AO909" s="84">
        <f>IF(AM909&gt;=AH909,AI909,AI909*AM909/AH909)</f>
        <v/>
      </c>
      <c r="AP909">
        <f t="array" ref="AP909">INDEX($AU$8:$BB$25,6*(R909-1)+MATCH(AB909,$AS$8:$AS$13,0),MATCH(O909,$AU$7:$BB$7,0))</f>
        <v/>
      </c>
    </row>
    <row r="910" ht="14.25" customHeight="1">
      <c r="O910" s="43" t="inlineStr">
        <is>
          <t>Q3’27</t>
        </is>
      </c>
      <c r="P910" s="43" t="n">
        <v>3</v>
      </c>
      <c r="Q910" s="43" t="n">
        <v>17</v>
      </c>
      <c r="R910" s="43" t="n">
        <v>3</v>
      </c>
      <c r="S910" s="45" t="n">
        <v>3954.183529411765</v>
      </c>
      <c r="T910">
        <f>(S908+S909+S910)=T4</f>
        <v/>
      </c>
      <c r="X910" s="84">
        <f>MAX(S907-S910,0)</f>
        <v/>
      </c>
      <c r="Y910" s="83" t="n">
        <v>0</v>
      </c>
      <c r="AA910" s="84" t="n">
        <v>1</v>
      </c>
      <c r="AB910" s="84" t="inlineStr">
        <is>
          <t>F</t>
        </is>
      </c>
      <c r="AC910" s="84" t="inlineStr">
        <is>
          <t>F+</t>
        </is>
      </c>
      <c r="AD910" s="84" t="n">
        <v>14</v>
      </c>
      <c r="AE910" s="84" t="n">
        <v>13</v>
      </c>
      <c r="AF910" s="84" t="n">
        <v>0.8</v>
      </c>
      <c r="AG910" s="84" t="n">
        <v>0.9</v>
      </c>
      <c r="AH910" s="84" t="n">
        <v>0</v>
      </c>
      <c r="AI910" s="84" t="n">
        <v>0</v>
      </c>
      <c r="AJ910" s="84">
        <f>SUMIFS(AH$8:AH$1039,$O$8:$O$1039,O910,$AB$8:$AB$1039,AB910,$R$8:$R$1039,R910,$AA$8:$AA$1039,"&lt;="&amp;AA910)</f>
        <v/>
      </c>
      <c r="AK910" s="84">
        <f>E85</f>
        <v/>
      </c>
      <c r="AL910" s="84">
        <f>E91</f>
        <v/>
      </c>
      <c r="AM910" s="84">
        <f>MAX(0,AJ910-AK910)</f>
        <v/>
      </c>
      <c r="AN910" s="84">
        <f>IF(AM910=0,AH910,IF(AM910&gt;=AH910,0,AH910-AM910))</f>
        <v/>
      </c>
      <c r="AO910" s="84">
        <f>IF(AM910&gt;=AH910,AI910,AI910*AM910/AH910)</f>
        <v/>
      </c>
      <c r="AP910">
        <f t="array" ref="AP910">INDEX($AU$8:$BB$25,6*(R910-1)+MATCH(AB910,$AS$8:$AS$13,0),MATCH(O910,$AU$7:$BB$7,0))</f>
        <v/>
      </c>
    </row>
    <row r="911" ht="14.25" customHeight="1">
      <c r="O911" s="43" t="inlineStr">
        <is>
          <t>Q4’27</t>
        </is>
      </c>
      <c r="P911" s="43" t="n">
        <v>1</v>
      </c>
      <c r="Q911" s="43" t="n">
        <v>1</v>
      </c>
      <c r="R911" s="43" t="n">
        <v>1</v>
      </c>
      <c r="S911" s="45" t="n">
        <v>171.163318887531</v>
      </c>
      <c r="T911">
        <f>(S911+S912+S913)=U2</f>
        <v/>
      </c>
      <c r="X911" s="84" t="n">
        <v>0</v>
      </c>
      <c r="Y911" s="83" t="n">
        <v>0</v>
      </c>
      <c r="AA911" s="84" t="n">
        <v>4</v>
      </c>
      <c r="AB911" s="84" t="inlineStr">
        <is>
          <t>D</t>
        </is>
      </c>
      <c r="AC911" s="84" t="inlineStr">
        <is>
          <t>D+</t>
        </is>
      </c>
      <c r="AD911" s="84" t="n">
        <v>14</v>
      </c>
      <c r="AE911" s="84" t="n">
        <v>12</v>
      </c>
      <c r="AF911" s="84" t="n">
        <v>0.8</v>
      </c>
      <c r="AG911" s="84" t="n">
        <v>0.88</v>
      </c>
      <c r="AH911" s="84" t="n">
        <v>0</v>
      </c>
      <c r="AI911" s="84" t="n">
        <v>0</v>
      </c>
      <c r="AJ911" s="84">
        <f>SUMIFS(AH$8:AH$1039,$O$8:$O$1039,O911,$AB$8:$AB$1039,AB911,$R$8:$R$1039,R911,$AA$8:$AA$1039,"&lt;="&amp;AA911)</f>
        <v/>
      </c>
      <c r="AK911" s="84">
        <f>C95</f>
        <v/>
      </c>
      <c r="AL911" s="84">
        <f>C101</f>
        <v/>
      </c>
      <c r="AM911" s="84">
        <f>MAX(0,AJ911-AK911)</f>
        <v/>
      </c>
      <c r="AN911" s="84">
        <f>IF(AM911=0,AH911,IF(AM911&gt;=AH911,0,AH911-AM911))</f>
        <v/>
      </c>
      <c r="AO911" s="84">
        <f>IF(AM911&gt;=AH911,AI911,AI911*AM911/AH911)</f>
        <v/>
      </c>
      <c r="AP911">
        <f t="array" ref="AP911">INDEX($AU$8:$BB$25,6*(R911-1)+MATCH(AB911,$AS$8:$AS$13,0),MATCH(O911,$AU$7:$BB$7,0))</f>
        <v/>
      </c>
    </row>
    <row r="912" ht="14.25" customHeight="1">
      <c r="O912" s="43" t="inlineStr">
        <is>
          <t>Q4’27</t>
        </is>
      </c>
      <c r="P912" s="43" t="n">
        <v>1</v>
      </c>
      <c r="Q912" s="43" t="n">
        <v>1</v>
      </c>
      <c r="R912" s="43" t="n">
        <v>2</v>
      </c>
      <c r="S912" s="45" t="n">
        <v>979.7950649511901</v>
      </c>
      <c r="T912">
        <f>(S911+S912+S913)=U2</f>
        <v/>
      </c>
      <c r="X912" s="84" t="n">
        <v>0</v>
      </c>
      <c r="Y912" s="83" t="n">
        <v>0</v>
      </c>
      <c r="AA912" s="84" t="n">
        <v>4</v>
      </c>
      <c r="AB912" s="84" t="inlineStr">
        <is>
          <t>D</t>
        </is>
      </c>
      <c r="AC912" s="84" t="inlineStr">
        <is>
          <t>D+</t>
        </is>
      </c>
      <c r="AD912" s="84" t="n">
        <v>14</v>
      </c>
      <c r="AE912" s="84" t="n">
        <v>12</v>
      </c>
      <c r="AF912" s="84" t="n">
        <v>0.8</v>
      </c>
      <c r="AG912" s="84" t="n">
        <v>0.88</v>
      </c>
      <c r="AH912" s="84" t="n">
        <v>0</v>
      </c>
      <c r="AI912" s="84" t="n">
        <v>0</v>
      </c>
      <c r="AJ912" s="84">
        <f>SUMIFS(AH$8:AH$1039,$O$8:$O$1039,O912,$AB$8:$AB$1039,AB912,$R$8:$R$1039,R912,$AA$8:$AA$1039,"&lt;="&amp;AA912)</f>
        <v/>
      </c>
      <c r="AK912" s="84">
        <f>D95</f>
        <v/>
      </c>
      <c r="AL912" s="84">
        <f>D101</f>
        <v/>
      </c>
      <c r="AM912" s="84">
        <f>MAX(0,AJ912-AK912)</f>
        <v/>
      </c>
      <c r="AN912" s="84">
        <f>IF(AM912=0,AH912,IF(AM912&gt;=AH912,0,AH912-AM912))</f>
        <v/>
      </c>
      <c r="AO912" s="84">
        <f>IF(AM912&gt;=AH912,AI912,AI912*AM912/AH912)</f>
        <v/>
      </c>
      <c r="AP912">
        <f t="array" ref="AP912">INDEX($AU$8:$BB$25,6*(R912-1)+MATCH(AB912,$AS$8:$AS$13,0),MATCH(O912,$AU$7:$BB$7,0))</f>
        <v/>
      </c>
    </row>
    <row r="913" ht="14.25" customHeight="1">
      <c r="O913" s="43" t="inlineStr">
        <is>
          <t>Q4’27</t>
        </is>
      </c>
      <c r="P913" s="43" t="n">
        <v>1</v>
      </c>
      <c r="Q913" s="43" t="n">
        <v>1</v>
      </c>
      <c r="R913" s="43" t="n">
        <v>3</v>
      </c>
      <c r="S913" s="45" t="n">
        <v>849.041616161279</v>
      </c>
      <c r="T913">
        <f>(S911+S912+S913)=U2</f>
        <v/>
      </c>
      <c r="X913" s="84" t="n">
        <v>0</v>
      </c>
      <c r="Y913" s="83" t="n">
        <v>0</v>
      </c>
      <c r="AA913" s="84" t="n">
        <v>4</v>
      </c>
      <c r="AB913" s="84" t="inlineStr">
        <is>
          <t>D</t>
        </is>
      </c>
      <c r="AC913" s="84" t="inlineStr">
        <is>
          <t>D+</t>
        </is>
      </c>
      <c r="AD913" s="84" t="n">
        <v>14</v>
      </c>
      <c r="AE913" s="84" t="n">
        <v>12</v>
      </c>
      <c r="AF913" s="84" t="n">
        <v>0.8</v>
      </c>
      <c r="AG913" s="84" t="n">
        <v>0.88</v>
      </c>
      <c r="AH913" s="84" t="n">
        <v>0</v>
      </c>
      <c r="AI913" s="84" t="n">
        <v>0</v>
      </c>
      <c r="AJ913" s="84">
        <f>SUMIFS(AH$8:AH$1039,$O$8:$O$1039,O913,$AB$8:$AB$1039,AB913,$R$8:$R$1039,R913,$AA$8:$AA$1039,"&lt;="&amp;AA913)</f>
        <v/>
      </c>
      <c r="AK913" s="84">
        <f>E95</f>
        <v/>
      </c>
      <c r="AL913" s="84">
        <f>E101</f>
        <v/>
      </c>
      <c r="AM913" s="84">
        <f>MAX(0,AJ913-AK913)</f>
        <v/>
      </c>
      <c r="AN913" s="84">
        <f>IF(AM913=0,AH913,IF(AM913&gt;=AH913,0,AH913-AM913))</f>
        <v/>
      </c>
      <c r="AO913" s="84">
        <f>IF(AM913&gt;=AH913,AI913,AI913*AM913/AH913)</f>
        <v/>
      </c>
      <c r="AP913">
        <f t="array" ref="AP913">INDEX($AU$8:$BB$25,6*(R913-1)+MATCH(AB913,$AS$8:$AS$13,0),MATCH(O913,$AU$7:$BB$7,0))</f>
        <v/>
      </c>
    </row>
    <row r="914" ht="14.25" customHeight="1">
      <c r="O914" s="43" t="inlineStr">
        <is>
          <t>Q4’27</t>
        </is>
      </c>
      <c r="P914" s="43" t="n">
        <v>1</v>
      </c>
      <c r="Q914" s="43" t="n">
        <v>2</v>
      </c>
      <c r="R914" s="43" t="n">
        <v>1</v>
      </c>
      <c r="S914" s="45" t="n">
        <v>171.163318887531</v>
      </c>
      <c r="T914">
        <f>(S914+S915+S916)=U2</f>
        <v/>
      </c>
      <c r="X914" s="84">
        <f>MAX(S911-S914,0)</f>
        <v/>
      </c>
      <c r="Y914" s="83" t="n">
        <v>0</v>
      </c>
      <c r="AA914" s="84" t="n">
        <v>10</v>
      </c>
      <c r="AB914" s="84" t="inlineStr">
        <is>
          <t>F</t>
        </is>
      </c>
      <c r="AC914" s="84" t="inlineStr">
        <is>
          <t>F+</t>
        </is>
      </c>
      <c r="AD914" s="84" t="n">
        <v>25</v>
      </c>
      <c r="AE914" s="84" t="n">
        <v>21</v>
      </c>
      <c r="AF914" s="84" t="n">
        <v>0.8</v>
      </c>
      <c r="AG914" s="84" t="n">
        <v>0.9</v>
      </c>
      <c r="AH914" s="84" t="n">
        <v>0</v>
      </c>
      <c r="AI914" s="84" t="n">
        <v>0</v>
      </c>
      <c r="AJ914" s="84">
        <f>SUMIFS(AH$8:AH$1039,$O$8:$O$1039,O914,$AB$8:$AB$1039,AB914,$R$8:$R$1039,R914,$AA$8:$AA$1039,"&lt;="&amp;AA914)</f>
        <v/>
      </c>
      <c r="AK914" s="84">
        <f>C97</f>
        <v/>
      </c>
      <c r="AL914" s="84">
        <f>C103</f>
        <v/>
      </c>
      <c r="AM914" s="84">
        <f>MAX(0,AJ914-AK914)</f>
        <v/>
      </c>
      <c r="AN914" s="84">
        <f>IF(AM914=0,AH914,IF(AM914&gt;=AH914,0,AH914-AM914))</f>
        <v/>
      </c>
      <c r="AO914" s="84">
        <f>IF(AM914&gt;=AH914,AI914,AI914*AM914/AH914)</f>
        <v/>
      </c>
      <c r="AP914">
        <f t="array" ref="AP914">INDEX($AU$8:$BB$25,6*(R914-1)+MATCH(AB914,$AS$8:$AS$13,0),MATCH(O914,$AU$7:$BB$7,0))</f>
        <v/>
      </c>
    </row>
    <row r="915" ht="14.25" customHeight="1">
      <c r="O915" s="43" t="inlineStr">
        <is>
          <t>Q4’27</t>
        </is>
      </c>
      <c r="P915" s="43" t="n">
        <v>1</v>
      </c>
      <c r="Q915" s="43" t="n">
        <v>2</v>
      </c>
      <c r="R915" s="43" t="n">
        <v>2</v>
      </c>
      <c r="S915" s="45" t="n">
        <v>979.7950649511901</v>
      </c>
      <c r="T915">
        <f>(S914+S915+S916)=U2</f>
        <v/>
      </c>
      <c r="X915" s="84">
        <f>MAX(S912-S915,0)</f>
        <v/>
      </c>
      <c r="Y915" s="83" t="n">
        <v>0</v>
      </c>
      <c r="AA915" s="84" t="n">
        <v>10</v>
      </c>
      <c r="AB915" s="84" t="inlineStr">
        <is>
          <t>F</t>
        </is>
      </c>
      <c r="AC915" s="84" t="inlineStr">
        <is>
          <t>F+</t>
        </is>
      </c>
      <c r="AD915" s="84" t="n">
        <v>25</v>
      </c>
      <c r="AE915" s="84" t="n">
        <v>21</v>
      </c>
      <c r="AF915" s="84" t="n">
        <v>0.8</v>
      </c>
      <c r="AG915" s="84" t="n">
        <v>0.9</v>
      </c>
      <c r="AH915" s="84" t="n">
        <v>0</v>
      </c>
      <c r="AI915" s="84" t="n">
        <v>0</v>
      </c>
      <c r="AJ915" s="84">
        <f>SUMIFS(AH$8:AH$1039,$O$8:$O$1039,O915,$AB$8:$AB$1039,AB915,$R$8:$R$1039,R915,$AA$8:$AA$1039,"&lt;="&amp;AA915)</f>
        <v/>
      </c>
      <c r="AK915" s="84">
        <f>D97</f>
        <v/>
      </c>
      <c r="AL915" s="84">
        <f>D103</f>
        <v/>
      </c>
      <c r="AM915" s="84">
        <f>MAX(0,AJ915-AK915)</f>
        <v/>
      </c>
      <c r="AN915" s="84">
        <f>IF(AM915=0,AH915,IF(AM915&gt;=AH915,0,AH915-AM915))</f>
        <v/>
      </c>
      <c r="AO915" s="84">
        <f>IF(AM915&gt;=AH915,AI915,AI915*AM915/AH915)</f>
        <v/>
      </c>
      <c r="AP915">
        <f t="array" ref="AP915">INDEX($AU$8:$BB$25,6*(R915-1)+MATCH(AB915,$AS$8:$AS$13,0),MATCH(O915,$AU$7:$BB$7,0))</f>
        <v/>
      </c>
    </row>
    <row r="916" ht="14.25" customHeight="1">
      <c r="O916" s="43" t="inlineStr">
        <is>
          <t>Q4’27</t>
        </is>
      </c>
      <c r="P916" s="43" t="n">
        <v>1</v>
      </c>
      <c r="Q916" s="43" t="n">
        <v>2</v>
      </c>
      <c r="R916" s="43" t="n">
        <v>3</v>
      </c>
      <c r="S916" s="45" t="n">
        <v>849.041616161279</v>
      </c>
      <c r="T916">
        <f>(S914+S915+S916)=U2</f>
        <v/>
      </c>
      <c r="X916" s="84">
        <f>MAX(S913-S916,0)</f>
        <v/>
      </c>
      <c r="Y916" s="83" t="n">
        <v>0</v>
      </c>
      <c r="AA916" s="84" t="n">
        <v>10</v>
      </c>
      <c r="AB916" s="84" t="inlineStr">
        <is>
          <t>F</t>
        </is>
      </c>
      <c r="AC916" s="84" t="inlineStr">
        <is>
          <t>F+</t>
        </is>
      </c>
      <c r="AD916" s="84" t="n">
        <v>25</v>
      </c>
      <c r="AE916" s="84" t="n">
        <v>21</v>
      </c>
      <c r="AF916" s="84" t="n">
        <v>0.8</v>
      </c>
      <c r="AG916" s="84" t="n">
        <v>0.9</v>
      </c>
      <c r="AH916" s="84" t="n">
        <v>0</v>
      </c>
      <c r="AI916" s="84" t="n">
        <v>0</v>
      </c>
      <c r="AJ916" s="84">
        <f>SUMIFS(AH$8:AH$1039,$O$8:$O$1039,O916,$AB$8:$AB$1039,AB916,$R$8:$R$1039,R916,$AA$8:$AA$1039,"&lt;="&amp;AA916)</f>
        <v/>
      </c>
      <c r="AK916" s="84">
        <f>E97</f>
        <v/>
      </c>
      <c r="AL916" s="84">
        <f>E103</f>
        <v/>
      </c>
      <c r="AM916" s="84">
        <f>MAX(0,AJ916-AK916)</f>
        <v/>
      </c>
      <c r="AN916" s="84">
        <f>IF(AM916=0,AH916,IF(AM916&gt;=AH916,0,AH916-AM916))</f>
        <v/>
      </c>
      <c r="AO916" s="84">
        <f>IF(AM916&gt;=AH916,AI916,AI916*AM916/AH916)</f>
        <v/>
      </c>
      <c r="AP916">
        <f t="array" ref="AP916">INDEX($AU$8:$BB$25,6*(R916-1)+MATCH(AB916,$AS$8:$AS$13,0),MATCH(O916,$AU$7:$BB$7,0))</f>
        <v/>
      </c>
    </row>
    <row r="917" ht="14.25" customHeight="1">
      <c r="O917" s="43" t="inlineStr">
        <is>
          <t>Q4’27</t>
        </is>
      </c>
      <c r="P917" s="43" t="n">
        <v>1</v>
      </c>
      <c r="Q917" s="43" t="n">
        <v>3</v>
      </c>
      <c r="R917" s="43" t="n">
        <v>1</v>
      </c>
      <c r="S917" s="45" t="n">
        <v>171.163318887531</v>
      </c>
      <c r="T917">
        <f>(S917+S918+S919)=U2</f>
        <v/>
      </c>
      <c r="X917" s="84">
        <f>MAX(S914-S917,0)</f>
        <v/>
      </c>
      <c r="Y917" s="83" t="n">
        <v>0</v>
      </c>
      <c r="AA917" s="84" t="n">
        <v>8</v>
      </c>
      <c r="AB917" s="84" t="inlineStr">
        <is>
          <t>F</t>
        </is>
      </c>
      <c r="AC917" s="84" t="inlineStr">
        <is>
          <t>F+</t>
        </is>
      </c>
      <c r="AD917" s="84" t="n">
        <v>27</v>
      </c>
      <c r="AE917" s="84" t="n">
        <v>23</v>
      </c>
      <c r="AF917" s="84" t="n">
        <v>0.8</v>
      </c>
      <c r="AG917" s="84" t="n">
        <v>0.9</v>
      </c>
      <c r="AH917" s="84" t="n">
        <v>0</v>
      </c>
      <c r="AI917" s="84" t="n">
        <v>0</v>
      </c>
      <c r="AJ917" s="84">
        <f>SUMIFS(AH$8:AH$1039,$O$8:$O$1039,O917,$AB$8:$AB$1039,AB917,$R$8:$R$1039,R917,$AA$8:$AA$1039,"&lt;="&amp;AA917)</f>
        <v/>
      </c>
      <c r="AK917" s="84">
        <f>C97</f>
        <v/>
      </c>
      <c r="AL917" s="84">
        <f>C103</f>
        <v/>
      </c>
      <c r="AM917" s="84">
        <f>MAX(0,AJ917-AK917)</f>
        <v/>
      </c>
      <c r="AN917" s="84">
        <f>IF(AM917=0,AH917,IF(AM917&gt;=AH917,0,AH917-AM917))</f>
        <v/>
      </c>
      <c r="AO917" s="84">
        <f>IF(AM917&gt;=AH917,AI917,AI917*AM917/AH917)</f>
        <v/>
      </c>
      <c r="AP917">
        <f t="array" ref="AP917">INDEX($AU$8:$BB$25,6*(R917-1)+MATCH(AB917,$AS$8:$AS$13,0),MATCH(O917,$AU$7:$BB$7,0))</f>
        <v/>
      </c>
    </row>
    <row r="918" ht="14.25" customHeight="1">
      <c r="O918" s="43" t="inlineStr">
        <is>
          <t>Q4’27</t>
        </is>
      </c>
      <c r="P918" s="43" t="n">
        <v>1</v>
      </c>
      <c r="Q918" s="43" t="n">
        <v>3</v>
      </c>
      <c r="R918" s="43" t="n">
        <v>2</v>
      </c>
      <c r="S918" s="45" t="n">
        <v>979.7950649511901</v>
      </c>
      <c r="T918">
        <f>(S917+S918+S919)=U2</f>
        <v/>
      </c>
      <c r="X918" s="84">
        <f>MAX(S915-S918,0)</f>
        <v/>
      </c>
      <c r="Y918" s="83" t="n">
        <v>0</v>
      </c>
      <c r="AA918" s="84" t="n">
        <v>8</v>
      </c>
      <c r="AB918" s="84" t="inlineStr">
        <is>
          <t>F</t>
        </is>
      </c>
      <c r="AC918" s="84" t="inlineStr">
        <is>
          <t>F+</t>
        </is>
      </c>
      <c r="AD918" s="84" t="n">
        <v>27</v>
      </c>
      <c r="AE918" s="84" t="n">
        <v>23</v>
      </c>
      <c r="AF918" s="84" t="n">
        <v>0.8</v>
      </c>
      <c r="AG918" s="84" t="n">
        <v>0.9</v>
      </c>
      <c r="AH918" s="84" t="n">
        <v>0</v>
      </c>
      <c r="AI918" s="84" t="n">
        <v>0</v>
      </c>
      <c r="AJ918" s="84">
        <f>SUMIFS(AH$8:AH$1039,$O$8:$O$1039,O918,$AB$8:$AB$1039,AB918,$R$8:$R$1039,R918,$AA$8:$AA$1039,"&lt;="&amp;AA918)</f>
        <v/>
      </c>
      <c r="AK918" s="84">
        <f>D97</f>
        <v/>
      </c>
      <c r="AL918" s="84">
        <f>D103</f>
        <v/>
      </c>
      <c r="AM918" s="84">
        <f>MAX(0,AJ918-AK918)</f>
        <v/>
      </c>
      <c r="AN918" s="84">
        <f>IF(AM918=0,AH918,IF(AM918&gt;=AH918,0,AH918-AM918))</f>
        <v/>
      </c>
      <c r="AO918" s="84">
        <f>IF(AM918&gt;=AH918,AI918,AI918*AM918/AH918)</f>
        <v/>
      </c>
      <c r="AP918">
        <f t="array" ref="AP918">INDEX($AU$8:$BB$25,6*(R918-1)+MATCH(AB918,$AS$8:$AS$13,0),MATCH(O918,$AU$7:$BB$7,0))</f>
        <v/>
      </c>
    </row>
    <row r="919" ht="14.25" customHeight="1">
      <c r="O919" s="43" t="inlineStr">
        <is>
          <t>Q4’27</t>
        </is>
      </c>
      <c r="P919" s="43" t="n">
        <v>1</v>
      </c>
      <c r="Q919" s="43" t="n">
        <v>3</v>
      </c>
      <c r="R919" s="43" t="n">
        <v>3</v>
      </c>
      <c r="S919" s="45" t="n">
        <v>849.041616161279</v>
      </c>
      <c r="T919">
        <f>(S917+S918+S919)=U2</f>
        <v/>
      </c>
      <c r="X919" s="84">
        <f>MAX(S916-S919,0)</f>
        <v/>
      </c>
      <c r="Y919" s="83" t="n">
        <v>0</v>
      </c>
      <c r="AA919" s="84" t="n">
        <v>8</v>
      </c>
      <c r="AB919" s="84" t="inlineStr">
        <is>
          <t>F</t>
        </is>
      </c>
      <c r="AC919" s="84" t="inlineStr">
        <is>
          <t>F+</t>
        </is>
      </c>
      <c r="AD919" s="84" t="n">
        <v>27</v>
      </c>
      <c r="AE919" s="84" t="n">
        <v>23</v>
      </c>
      <c r="AF919" s="84" t="n">
        <v>0.8</v>
      </c>
      <c r="AG919" s="84" t="n">
        <v>0.9</v>
      </c>
      <c r="AH919" s="84" t="n">
        <v>0</v>
      </c>
      <c r="AI919" s="84" t="n">
        <v>0</v>
      </c>
      <c r="AJ919" s="84">
        <f>SUMIFS(AH$8:AH$1039,$O$8:$O$1039,O919,$AB$8:$AB$1039,AB919,$R$8:$R$1039,R919,$AA$8:$AA$1039,"&lt;="&amp;AA919)</f>
        <v/>
      </c>
      <c r="AK919" s="84">
        <f>E97</f>
        <v/>
      </c>
      <c r="AL919" s="84">
        <f>E103</f>
        <v/>
      </c>
      <c r="AM919" s="84">
        <f>MAX(0,AJ919-AK919)</f>
        <v/>
      </c>
      <c r="AN919" s="84">
        <f>IF(AM919=0,AH919,IF(AM919&gt;=AH919,0,AH919-AM919))</f>
        <v/>
      </c>
      <c r="AO919" s="84">
        <f>IF(AM919&gt;=AH919,AI919,AI919*AM919/AH919)</f>
        <v/>
      </c>
      <c r="AP919">
        <f t="array" ref="AP919">INDEX($AU$8:$BB$25,6*(R919-1)+MATCH(AB919,$AS$8:$AS$13,0),MATCH(O919,$AU$7:$BB$7,0))</f>
        <v/>
      </c>
    </row>
    <row r="920" ht="14.25" customHeight="1">
      <c r="O920" s="43" t="inlineStr">
        <is>
          <t>Q4’27</t>
        </is>
      </c>
      <c r="P920" s="43" t="n">
        <v>1</v>
      </c>
      <c r="Q920" s="43" t="n">
        <v>4</v>
      </c>
      <c r="R920" s="43" t="n">
        <v>1</v>
      </c>
      <c r="S920" s="45" t="n">
        <v>0</v>
      </c>
      <c r="T920">
        <f>(S920+S921+S922)=U2</f>
        <v/>
      </c>
      <c r="X920" s="84">
        <f>MAX(S917-S920,0)</f>
        <v/>
      </c>
      <c r="Y920" s="83" t="n">
        <v>0</v>
      </c>
      <c r="AA920" s="84" t="n">
        <v>3</v>
      </c>
      <c r="AB920" s="84" t="inlineStr">
        <is>
          <t>A</t>
        </is>
      </c>
      <c r="AC920" s="84" t="inlineStr">
        <is>
          <t>A+</t>
        </is>
      </c>
      <c r="AD920" s="84" t="n">
        <v>20</v>
      </c>
      <c r="AE920" s="84" t="n">
        <v>16</v>
      </c>
      <c r="AF920" s="84" t="n">
        <v>0.78</v>
      </c>
      <c r="AG920" s="84" t="n">
        <v>0.84</v>
      </c>
      <c r="AH920" s="84" t="n">
        <v>0</v>
      </c>
      <c r="AI920" s="84" t="n">
        <v>0</v>
      </c>
      <c r="AJ920" s="84">
        <f>SUMIFS(AH$8:AH$1039,$O$8:$O$1039,O920,$AB$8:$AB$1039,AB920,$R$8:$R$1039,R920,$AA$8:$AA$1039,"&lt;="&amp;AA920)</f>
        <v/>
      </c>
      <c r="AK920" s="84">
        <f>C92</f>
        <v/>
      </c>
      <c r="AL920" s="84">
        <f>C98</f>
        <v/>
      </c>
      <c r="AM920" s="84">
        <f>MAX(0,AJ920-AK920)</f>
        <v/>
      </c>
      <c r="AN920" s="84">
        <f>IF(AM920=0,AH920,IF(AM920&gt;=AH920,0,AH920-AM920))</f>
        <v/>
      </c>
      <c r="AO920" s="84">
        <f>IF(AM920&gt;=AH920,AI920,AI920*AM920/AH920)</f>
        <v/>
      </c>
      <c r="AP920">
        <f t="array" ref="AP920">INDEX($AU$8:$BB$25,6*(R920-1)+MATCH(AB920,$AS$8:$AS$13,0),MATCH(O920,$AU$7:$BB$7,0))</f>
        <v/>
      </c>
    </row>
    <row r="921" ht="14.25" customHeight="1">
      <c r="O921" s="43" t="inlineStr">
        <is>
          <t>Q4’27</t>
        </is>
      </c>
      <c r="P921" s="43" t="n">
        <v>1</v>
      </c>
      <c r="Q921" s="43" t="n">
        <v>4</v>
      </c>
      <c r="R921" s="43" t="n">
        <v>2</v>
      </c>
      <c r="S921" s="45" t="n">
        <v>1063.253333335853</v>
      </c>
      <c r="T921">
        <f>(S920+S921+S922)=U2</f>
        <v/>
      </c>
      <c r="X921" s="84">
        <f>MAX(S918-S921,0)</f>
        <v/>
      </c>
      <c r="Y921" s="83" t="n">
        <v>0</v>
      </c>
      <c r="AA921" s="84" t="n">
        <v>3</v>
      </c>
      <c r="AB921" s="84" t="inlineStr">
        <is>
          <t>A</t>
        </is>
      </c>
      <c r="AC921" s="84" t="inlineStr">
        <is>
          <t>A+</t>
        </is>
      </c>
      <c r="AD921" s="84" t="n">
        <v>20</v>
      </c>
      <c r="AE921" s="84" t="n">
        <v>16</v>
      </c>
      <c r="AF921" s="84" t="n">
        <v>0.78</v>
      </c>
      <c r="AG921" s="84" t="n">
        <v>0.84</v>
      </c>
      <c r="AH921" s="84" t="n">
        <v>0</v>
      </c>
      <c r="AI921" s="84" t="n">
        <v>0</v>
      </c>
      <c r="AJ921" s="84">
        <f>SUMIFS(AH$8:AH$1039,$O$8:$O$1039,O921,$AB$8:$AB$1039,AB921,$R$8:$R$1039,R921,$AA$8:$AA$1039,"&lt;="&amp;AA921)</f>
        <v/>
      </c>
      <c r="AK921" s="84">
        <f>D92</f>
        <v/>
      </c>
      <c r="AL921" s="84">
        <f>D98</f>
        <v/>
      </c>
      <c r="AM921" s="84">
        <f>MAX(0,AJ921-AK921)</f>
        <v/>
      </c>
      <c r="AN921" s="84">
        <f>IF(AM921=0,AH921,IF(AM921&gt;=AH921,0,AH921-AM921))</f>
        <v/>
      </c>
      <c r="AO921" s="84">
        <f>IF(AM921&gt;=AH921,AI921,AI921*AM921/AH921)</f>
        <v/>
      </c>
      <c r="AP921">
        <f t="array" ref="AP921">INDEX($AU$8:$BB$25,6*(R921-1)+MATCH(AB921,$AS$8:$AS$13,0),MATCH(O921,$AU$7:$BB$7,0))</f>
        <v/>
      </c>
    </row>
    <row r="922" ht="14.25" customHeight="1">
      <c r="O922" s="43" t="inlineStr">
        <is>
          <t>Q4’27</t>
        </is>
      </c>
      <c r="P922" s="43" t="n">
        <v>1</v>
      </c>
      <c r="Q922" s="43" t="n">
        <v>4</v>
      </c>
      <c r="R922" s="43" t="n">
        <v>3</v>
      </c>
      <c r="S922" s="45" t="n">
        <v>936.746666664147</v>
      </c>
      <c r="T922">
        <f>(S920+S921+S922)=U2</f>
        <v/>
      </c>
      <c r="X922" s="84">
        <f>MAX(S919-S922,0)</f>
        <v/>
      </c>
      <c r="Y922" s="83" t="n">
        <v>0</v>
      </c>
      <c r="AA922" s="84" t="n">
        <v>3</v>
      </c>
      <c r="AB922" s="84" t="inlineStr">
        <is>
          <t>A</t>
        </is>
      </c>
      <c r="AC922" s="84" t="inlineStr">
        <is>
          <t>A+</t>
        </is>
      </c>
      <c r="AD922" s="84" t="n">
        <v>20</v>
      </c>
      <c r="AE922" s="84" t="n">
        <v>16</v>
      </c>
      <c r="AF922" s="84" t="n">
        <v>0.78</v>
      </c>
      <c r="AG922" s="84" t="n">
        <v>0.84</v>
      </c>
      <c r="AH922" s="84" t="n">
        <v>0</v>
      </c>
      <c r="AI922" s="84" t="n">
        <v>0</v>
      </c>
      <c r="AJ922" s="84">
        <f>SUMIFS(AH$8:AH$1039,$O$8:$O$1039,O922,$AB$8:$AB$1039,AB922,$R$8:$R$1039,R922,$AA$8:$AA$1039,"&lt;="&amp;AA922)</f>
        <v/>
      </c>
      <c r="AK922" s="84">
        <f>E92</f>
        <v/>
      </c>
      <c r="AL922" s="84">
        <f>E98</f>
        <v/>
      </c>
      <c r="AM922" s="84">
        <f>MAX(0,AJ922-AK922)</f>
        <v/>
      </c>
      <c r="AN922" s="84">
        <f>IF(AM922=0,AH922,IF(AM922&gt;=AH922,0,AH922-AM922))</f>
        <v/>
      </c>
      <c r="AO922" s="84">
        <f>IF(AM922&gt;=AH922,AI922,AI922*AM922/AH922)</f>
        <v/>
      </c>
      <c r="AP922">
        <f t="array" ref="AP922">INDEX($AU$8:$BB$25,6*(R922-1)+MATCH(AB922,$AS$8:$AS$13,0),MATCH(O922,$AU$7:$BB$7,0))</f>
        <v/>
      </c>
    </row>
    <row r="923" ht="14.25" customHeight="1">
      <c r="O923" s="43" t="inlineStr">
        <is>
          <t>Q4’27</t>
        </is>
      </c>
      <c r="P923" s="43" t="n">
        <v>1</v>
      </c>
      <c r="Q923" s="43" t="n">
        <v>5</v>
      </c>
      <c r="R923" s="43" t="n">
        <v>1</v>
      </c>
      <c r="S923" s="45" t="n">
        <v>-0</v>
      </c>
      <c r="T923">
        <f>(S923+S924+S925)=U2</f>
        <v/>
      </c>
      <c r="X923" s="84">
        <f>MAX(S920-S923,0)</f>
        <v/>
      </c>
      <c r="Y923" s="83" t="n">
        <v>0</v>
      </c>
      <c r="AA923" s="84" t="n">
        <v>11</v>
      </c>
      <c r="AB923" s="84" t="inlineStr">
        <is>
          <t>F</t>
        </is>
      </c>
      <c r="AC923" s="84" t="inlineStr">
        <is>
          <t>F+</t>
        </is>
      </c>
      <c r="AD923" s="84" t="n">
        <v>12</v>
      </c>
      <c r="AE923" s="84" t="n">
        <v>9</v>
      </c>
      <c r="AF923" s="84" t="n">
        <v>0.8</v>
      </c>
      <c r="AG923" s="84" t="n">
        <v>0.9</v>
      </c>
      <c r="AH923" s="84" t="n">
        <v>0</v>
      </c>
      <c r="AI923" s="84" t="n">
        <v>0</v>
      </c>
      <c r="AJ923" s="84">
        <f>SUMIFS(AH$8:AH$1039,$O$8:$O$1039,O923,$AB$8:$AB$1039,AB923,$R$8:$R$1039,R923,$AA$8:$AA$1039,"&lt;="&amp;AA923)</f>
        <v/>
      </c>
      <c r="AK923" s="84">
        <f>C97</f>
        <v/>
      </c>
      <c r="AL923" s="84">
        <f>C103</f>
        <v/>
      </c>
      <c r="AM923" s="84">
        <f>MAX(0,AJ923-AK923)</f>
        <v/>
      </c>
      <c r="AN923" s="84">
        <f>IF(AM923=0,AH923,IF(AM923&gt;=AH923,0,AH923-AM923))</f>
        <v/>
      </c>
      <c r="AO923" s="84">
        <f>IF(AM923&gt;=AH923,AI923,AI923*AM923/AH923)</f>
        <v/>
      </c>
      <c r="AP923">
        <f t="array" ref="AP923">INDEX($AU$8:$BB$25,6*(R923-1)+MATCH(AB923,$AS$8:$AS$13,0),MATCH(O923,$AU$7:$BB$7,0))</f>
        <v/>
      </c>
    </row>
    <row r="924" ht="14.25" customHeight="1">
      <c r="O924" s="43" t="inlineStr">
        <is>
          <t>Q4’27</t>
        </is>
      </c>
      <c r="P924" s="43" t="n">
        <v>1</v>
      </c>
      <c r="Q924" s="43" t="n">
        <v>5</v>
      </c>
      <c r="R924" s="43" t="n">
        <v>2</v>
      </c>
      <c r="S924" s="45" t="n">
        <v>1063.253333335853</v>
      </c>
      <c r="T924">
        <f>(S923+S924+S925)=U2</f>
        <v/>
      </c>
      <c r="X924" s="84">
        <f>MAX(S921-S924,0)</f>
        <v/>
      </c>
      <c r="Y924" s="83" t="n">
        <v>0</v>
      </c>
      <c r="AA924" s="84" t="n">
        <v>11</v>
      </c>
      <c r="AB924" s="84" t="inlineStr">
        <is>
          <t>F</t>
        </is>
      </c>
      <c r="AC924" s="84" t="inlineStr">
        <is>
          <t>F+</t>
        </is>
      </c>
      <c r="AD924" s="84" t="n">
        <v>12</v>
      </c>
      <c r="AE924" s="84" t="n">
        <v>9</v>
      </c>
      <c r="AF924" s="84" t="n">
        <v>0.8</v>
      </c>
      <c r="AG924" s="84" t="n">
        <v>0.9</v>
      </c>
      <c r="AH924" s="84" t="n">
        <v>0</v>
      </c>
      <c r="AI924" s="84" t="n">
        <v>0</v>
      </c>
      <c r="AJ924" s="84">
        <f>SUMIFS(AH$8:AH$1039,$O$8:$O$1039,O924,$AB$8:$AB$1039,AB924,$R$8:$R$1039,R924,$AA$8:$AA$1039,"&lt;="&amp;AA924)</f>
        <v/>
      </c>
      <c r="AK924" s="84">
        <f>D97</f>
        <v/>
      </c>
      <c r="AL924" s="84">
        <f>D103</f>
        <v/>
      </c>
      <c r="AM924" s="84">
        <f>MAX(0,AJ924-AK924)</f>
        <v/>
      </c>
      <c r="AN924" s="84">
        <f>IF(AM924=0,AH924,IF(AM924&gt;=AH924,0,AH924-AM924))</f>
        <v/>
      </c>
      <c r="AO924" s="84">
        <f>IF(AM924&gt;=AH924,AI924,AI924*AM924/AH924)</f>
        <v/>
      </c>
      <c r="AP924">
        <f t="array" ref="AP924">INDEX($AU$8:$BB$25,6*(R924-1)+MATCH(AB924,$AS$8:$AS$13,0),MATCH(O924,$AU$7:$BB$7,0))</f>
        <v/>
      </c>
    </row>
    <row r="925" ht="14.25" customHeight="1">
      <c r="O925" s="43" t="inlineStr">
        <is>
          <t>Q4’27</t>
        </is>
      </c>
      <c r="P925" s="43" t="n">
        <v>1</v>
      </c>
      <c r="Q925" s="43" t="n">
        <v>5</v>
      </c>
      <c r="R925" s="43" t="n">
        <v>3</v>
      </c>
      <c r="S925" s="45" t="n">
        <v>936.746666664147</v>
      </c>
      <c r="T925">
        <f>(S923+S924+S925)=U2</f>
        <v/>
      </c>
      <c r="X925" s="84">
        <f>MAX(S922-S925,0)</f>
        <v/>
      </c>
      <c r="Y925" s="83" t="n">
        <v>0</v>
      </c>
      <c r="AA925" s="84" t="n">
        <v>11</v>
      </c>
      <c r="AB925" s="84" t="inlineStr">
        <is>
          <t>F</t>
        </is>
      </c>
      <c r="AC925" s="84" t="inlineStr">
        <is>
          <t>F+</t>
        </is>
      </c>
      <c r="AD925" s="84" t="n">
        <v>12</v>
      </c>
      <c r="AE925" s="84" t="n">
        <v>9</v>
      </c>
      <c r="AF925" s="84" t="n">
        <v>0.8</v>
      </c>
      <c r="AG925" s="84" t="n">
        <v>0.9</v>
      </c>
      <c r="AH925" s="84" t="n">
        <v>0</v>
      </c>
      <c r="AI925" s="84" t="n">
        <v>0</v>
      </c>
      <c r="AJ925" s="84">
        <f>SUMIFS(AH$8:AH$1039,$O$8:$O$1039,O925,$AB$8:$AB$1039,AB925,$R$8:$R$1039,R925,$AA$8:$AA$1039,"&lt;="&amp;AA925)</f>
        <v/>
      </c>
      <c r="AK925" s="84">
        <f>E97</f>
        <v/>
      </c>
      <c r="AL925" s="84">
        <f>E103</f>
        <v/>
      </c>
      <c r="AM925" s="84">
        <f>MAX(0,AJ925-AK925)</f>
        <v/>
      </c>
      <c r="AN925" s="84">
        <f>IF(AM925=0,AH925,IF(AM925&gt;=AH925,0,AH925-AM925))</f>
        <v/>
      </c>
      <c r="AO925" s="84">
        <f>IF(AM925&gt;=AH925,AI925,AI925*AM925/AH925)</f>
        <v/>
      </c>
      <c r="AP925">
        <f t="array" ref="AP925">INDEX($AU$8:$BB$25,6*(R925-1)+MATCH(AB925,$AS$8:$AS$13,0),MATCH(O925,$AU$7:$BB$7,0))</f>
        <v/>
      </c>
    </row>
    <row r="926" ht="14.25" customHeight="1">
      <c r="O926" s="43" t="inlineStr">
        <is>
          <t>Q4’27</t>
        </is>
      </c>
      <c r="P926" s="43" t="n">
        <v>1</v>
      </c>
      <c r="Q926" s="43" t="n">
        <v>6</v>
      </c>
      <c r="R926" s="43" t="n">
        <v>1</v>
      </c>
      <c r="S926" s="45" t="n">
        <v>0</v>
      </c>
      <c r="T926">
        <f>(S926+S927+S928)=U2</f>
        <v/>
      </c>
      <c r="X926" s="84">
        <f>MAX(S923-S926,0)</f>
        <v/>
      </c>
      <c r="Y926" s="83" t="n">
        <v>0</v>
      </c>
      <c r="AA926" s="84" t="n">
        <v>7</v>
      </c>
      <c r="AB926" s="84" t="inlineStr">
        <is>
          <t>D</t>
        </is>
      </c>
      <c r="AC926" s="84" t="inlineStr">
        <is>
          <t>D+</t>
        </is>
      </c>
      <c r="AD926" s="84" t="n">
        <v>27</v>
      </c>
      <c r="AE926" s="84" t="n">
        <v>21</v>
      </c>
      <c r="AF926" s="84" t="n">
        <v>0.8</v>
      </c>
      <c r="AG926" s="84" t="n">
        <v>0.88</v>
      </c>
      <c r="AH926" s="84" t="n">
        <v>0</v>
      </c>
      <c r="AI926" s="84" t="n">
        <v>0</v>
      </c>
      <c r="AJ926" s="84">
        <f>SUMIFS(AH$8:AH$1039,$O$8:$O$1039,O926,$AB$8:$AB$1039,AB926,$R$8:$R$1039,R926,$AA$8:$AA$1039,"&lt;="&amp;AA926)</f>
        <v/>
      </c>
      <c r="AK926" s="84">
        <f>C95</f>
        <v/>
      </c>
      <c r="AL926" s="84">
        <f>C101</f>
        <v/>
      </c>
      <c r="AM926" s="84">
        <f>MAX(0,AJ926-AK926)</f>
        <v/>
      </c>
      <c r="AN926" s="84">
        <f>IF(AM926=0,AH926,IF(AM926&gt;=AH926,0,AH926-AM926))</f>
        <v/>
      </c>
      <c r="AO926" s="84">
        <f>IF(AM926&gt;=AH926,AI926,AI926*AM926/AH926)</f>
        <v/>
      </c>
      <c r="AP926">
        <f t="array" ref="AP926">INDEX($AU$8:$BB$25,6*(R926-1)+MATCH(AB926,$AS$8:$AS$13,0),MATCH(O926,$AU$7:$BB$7,0))</f>
        <v/>
      </c>
    </row>
    <row r="927" ht="14.25" customHeight="1">
      <c r="O927" s="43" t="inlineStr">
        <is>
          <t>Q4’27</t>
        </is>
      </c>
      <c r="P927" s="43" t="n">
        <v>1</v>
      </c>
      <c r="Q927" s="43" t="n">
        <v>6</v>
      </c>
      <c r="R927" s="43" t="n">
        <v>2</v>
      </c>
      <c r="S927" s="45" t="n">
        <v>1063.253333335853</v>
      </c>
      <c r="T927">
        <f>(S926+S927+S928)=U2</f>
        <v/>
      </c>
      <c r="X927" s="84">
        <f>MAX(S924-S927,0)</f>
        <v/>
      </c>
      <c r="Y927" s="83" t="n">
        <v>0</v>
      </c>
      <c r="AA927" s="84" t="n">
        <v>7</v>
      </c>
      <c r="AB927" s="84" t="inlineStr">
        <is>
          <t>D</t>
        </is>
      </c>
      <c r="AC927" s="84" t="inlineStr">
        <is>
          <t>D+</t>
        </is>
      </c>
      <c r="AD927" s="84" t="n">
        <v>27</v>
      </c>
      <c r="AE927" s="84" t="n">
        <v>21</v>
      </c>
      <c r="AF927" s="84" t="n">
        <v>0.8</v>
      </c>
      <c r="AG927" s="84" t="n">
        <v>0.88</v>
      </c>
      <c r="AH927" s="84" t="n">
        <v>0</v>
      </c>
      <c r="AI927" s="84" t="n">
        <v>0</v>
      </c>
      <c r="AJ927" s="84">
        <f>SUMIFS(AH$8:AH$1039,$O$8:$O$1039,O927,$AB$8:$AB$1039,AB927,$R$8:$R$1039,R927,$AA$8:$AA$1039,"&lt;="&amp;AA927)</f>
        <v/>
      </c>
      <c r="AK927" s="84">
        <f>D95</f>
        <v/>
      </c>
      <c r="AL927" s="84">
        <f>D101</f>
        <v/>
      </c>
      <c r="AM927" s="84">
        <f>MAX(0,AJ927-AK927)</f>
        <v/>
      </c>
      <c r="AN927" s="84">
        <f>IF(AM927=0,AH927,IF(AM927&gt;=AH927,0,AH927-AM927))</f>
        <v/>
      </c>
      <c r="AO927" s="84">
        <f>IF(AM927&gt;=AH927,AI927,AI927*AM927/AH927)</f>
        <v/>
      </c>
      <c r="AP927">
        <f t="array" ref="AP927">INDEX($AU$8:$BB$25,6*(R927-1)+MATCH(AB927,$AS$8:$AS$13,0),MATCH(O927,$AU$7:$BB$7,0))</f>
        <v/>
      </c>
    </row>
    <row r="928" ht="14.25" customHeight="1">
      <c r="O928" s="43" t="inlineStr">
        <is>
          <t>Q4’27</t>
        </is>
      </c>
      <c r="P928" s="43" t="n">
        <v>1</v>
      </c>
      <c r="Q928" s="43" t="n">
        <v>6</v>
      </c>
      <c r="R928" s="43" t="n">
        <v>3</v>
      </c>
      <c r="S928" s="45" t="n">
        <v>936.746666664147</v>
      </c>
      <c r="T928">
        <f>(S926+S927+S928)=U2</f>
        <v/>
      </c>
      <c r="X928" s="84">
        <f>MAX(S925-S928,0)</f>
        <v/>
      </c>
      <c r="Y928" s="83" t="n">
        <v>0</v>
      </c>
      <c r="AA928" s="84" t="n">
        <v>7</v>
      </c>
      <c r="AB928" s="84" t="inlineStr">
        <is>
          <t>D</t>
        </is>
      </c>
      <c r="AC928" s="84" t="inlineStr">
        <is>
          <t>D+</t>
        </is>
      </c>
      <c r="AD928" s="84" t="n">
        <v>27</v>
      </c>
      <c r="AE928" s="84" t="n">
        <v>21</v>
      </c>
      <c r="AF928" s="84" t="n">
        <v>0.8</v>
      </c>
      <c r="AG928" s="84" t="n">
        <v>0.88</v>
      </c>
      <c r="AH928" s="84" t="n">
        <v>0</v>
      </c>
      <c r="AI928" s="84" t="n">
        <v>0</v>
      </c>
      <c r="AJ928" s="84">
        <f>SUMIFS(AH$8:AH$1039,$O$8:$O$1039,O928,$AB$8:$AB$1039,AB928,$R$8:$R$1039,R928,$AA$8:$AA$1039,"&lt;="&amp;AA928)</f>
        <v/>
      </c>
      <c r="AK928" s="84">
        <f>E95</f>
        <v/>
      </c>
      <c r="AL928" s="84">
        <f>E101</f>
        <v/>
      </c>
      <c r="AM928" s="84">
        <f>MAX(0,AJ928-AK928)</f>
        <v/>
      </c>
      <c r="AN928" s="84">
        <f>IF(AM928=0,AH928,IF(AM928&gt;=AH928,0,AH928-AM928))</f>
        <v/>
      </c>
      <c r="AO928" s="84">
        <f>IF(AM928&gt;=AH928,AI928,AI928*AM928/AH928)</f>
        <v/>
      </c>
      <c r="AP928">
        <f t="array" ref="AP928">INDEX($AU$8:$BB$25,6*(R928-1)+MATCH(AB928,$AS$8:$AS$13,0),MATCH(O928,$AU$7:$BB$7,0))</f>
        <v/>
      </c>
    </row>
    <row r="929" ht="14.25" customHeight="1">
      <c r="O929" s="43" t="inlineStr">
        <is>
          <t>Q4’27</t>
        </is>
      </c>
      <c r="P929" s="43" t="n">
        <v>1</v>
      </c>
      <c r="Q929" s="43" t="n">
        <v>7</v>
      </c>
      <c r="R929" s="43" t="n">
        <v>1</v>
      </c>
      <c r="S929" s="45" t="n">
        <v>3.925999411026804e-09</v>
      </c>
      <c r="T929">
        <f>(S929+S930+S931)=U2</f>
        <v/>
      </c>
      <c r="X929" s="84">
        <f>MAX(S926-S929,0)</f>
        <v/>
      </c>
      <c r="Y929" s="83" t="n">
        <v>0</v>
      </c>
      <c r="AA929" s="84" t="n">
        <v>9</v>
      </c>
      <c r="AB929" s="84" t="inlineStr">
        <is>
          <t>D</t>
        </is>
      </c>
      <c r="AC929" s="84" t="inlineStr">
        <is>
          <t>D+</t>
        </is>
      </c>
      <c r="AD929" s="84" t="n">
        <v>17</v>
      </c>
      <c r="AE929" s="84" t="n">
        <v>13</v>
      </c>
      <c r="AF929" s="84" t="n">
        <v>0.8</v>
      </c>
      <c r="AG929" s="84" t="n">
        <v>0.88</v>
      </c>
      <c r="AH929" s="84" t="n">
        <v>0</v>
      </c>
      <c r="AI929" s="84" t="n">
        <v>0</v>
      </c>
      <c r="AJ929" s="84">
        <f>SUMIFS(AH$8:AH$1039,$O$8:$O$1039,O929,$AB$8:$AB$1039,AB929,$R$8:$R$1039,R929,$AA$8:$AA$1039,"&lt;="&amp;AA929)</f>
        <v/>
      </c>
      <c r="AK929" s="84">
        <f>C95</f>
        <v/>
      </c>
      <c r="AL929" s="84">
        <f>C101</f>
        <v/>
      </c>
      <c r="AM929" s="84">
        <f>MAX(0,AJ929-AK929)</f>
        <v/>
      </c>
      <c r="AN929" s="84">
        <f>IF(AM929=0,AH929,IF(AM929&gt;=AH929,0,AH929-AM929))</f>
        <v/>
      </c>
      <c r="AO929" s="84">
        <f>IF(AM929&gt;=AH929,AI929,AI929*AM929/AH929)</f>
        <v/>
      </c>
      <c r="AP929">
        <f t="array" ref="AP929">INDEX($AU$8:$BB$25,6*(R929-1)+MATCH(AB929,$AS$8:$AS$13,0),MATCH(O929,$AU$7:$BB$7,0))</f>
        <v/>
      </c>
    </row>
    <row r="930" ht="14.25" customHeight="1">
      <c r="O930" s="43" t="inlineStr">
        <is>
          <t>Q4’27</t>
        </is>
      </c>
      <c r="P930" s="43" t="n">
        <v>1</v>
      </c>
      <c r="Q930" s="43" t="n">
        <v>7</v>
      </c>
      <c r="R930" s="43" t="n">
        <v>2</v>
      </c>
      <c r="S930" s="45" t="n">
        <v>1063.253333331932</v>
      </c>
      <c r="T930">
        <f>(S929+S930+S931)=U2</f>
        <v/>
      </c>
      <c r="X930" s="84">
        <f>MAX(S927-S930,0)</f>
        <v/>
      </c>
      <c r="Y930" s="83" t="n">
        <v>0</v>
      </c>
      <c r="AA930" s="84" t="n">
        <v>9</v>
      </c>
      <c r="AB930" s="84" t="inlineStr">
        <is>
          <t>D</t>
        </is>
      </c>
      <c r="AC930" s="84" t="inlineStr">
        <is>
          <t>D+</t>
        </is>
      </c>
      <c r="AD930" s="84" t="n">
        <v>17</v>
      </c>
      <c r="AE930" s="84" t="n">
        <v>13</v>
      </c>
      <c r="AF930" s="84" t="n">
        <v>0.8</v>
      </c>
      <c r="AG930" s="84" t="n">
        <v>0.88</v>
      </c>
      <c r="AH930" s="84" t="n">
        <v>0</v>
      </c>
      <c r="AI930" s="84" t="n">
        <v>0</v>
      </c>
      <c r="AJ930" s="84">
        <f>SUMIFS(AH$8:AH$1039,$O$8:$O$1039,O930,$AB$8:$AB$1039,AB930,$R$8:$R$1039,R930,$AA$8:$AA$1039,"&lt;="&amp;AA930)</f>
        <v/>
      </c>
      <c r="AK930" s="84">
        <f>D95</f>
        <v/>
      </c>
      <c r="AL930" s="84">
        <f>D101</f>
        <v/>
      </c>
      <c r="AM930" s="84">
        <f>MAX(0,AJ930-AK930)</f>
        <v/>
      </c>
      <c r="AN930" s="84">
        <f>IF(AM930=0,AH930,IF(AM930&gt;=AH930,0,AH930-AM930))</f>
        <v/>
      </c>
      <c r="AO930" s="84">
        <f>IF(AM930&gt;=AH930,AI930,AI930*AM930/AH930)</f>
        <v/>
      </c>
      <c r="AP930">
        <f t="array" ref="AP930">INDEX($AU$8:$BB$25,6*(R930-1)+MATCH(AB930,$AS$8:$AS$13,0),MATCH(O930,$AU$7:$BB$7,0))</f>
        <v/>
      </c>
    </row>
    <row r="931" ht="14.25" customHeight="1">
      <c r="O931" s="43" t="inlineStr">
        <is>
          <t>Q4’27</t>
        </is>
      </c>
      <c r="P931" s="43" t="n">
        <v>1</v>
      </c>
      <c r="Q931" s="43" t="n">
        <v>7</v>
      </c>
      <c r="R931" s="43" t="n">
        <v>3</v>
      </c>
      <c r="S931" s="45" t="n">
        <v>936.7466666641417</v>
      </c>
      <c r="T931">
        <f>(S929+S930+S931)=U2</f>
        <v/>
      </c>
      <c r="X931" s="84">
        <f>MAX(S928-S931,0)</f>
        <v/>
      </c>
      <c r="Y931" s="83" t="n">
        <v>0</v>
      </c>
      <c r="AA931" s="84" t="n">
        <v>9</v>
      </c>
      <c r="AB931" s="84" t="inlineStr">
        <is>
          <t>D</t>
        </is>
      </c>
      <c r="AC931" s="84" t="inlineStr">
        <is>
          <t>D+</t>
        </is>
      </c>
      <c r="AD931" s="84" t="n">
        <v>17</v>
      </c>
      <c r="AE931" s="84" t="n">
        <v>13</v>
      </c>
      <c r="AF931" s="84" t="n">
        <v>0.8</v>
      </c>
      <c r="AG931" s="84" t="n">
        <v>0.88</v>
      </c>
      <c r="AH931" s="84" t="n">
        <v>0</v>
      </c>
      <c r="AI931" s="84" t="n">
        <v>0</v>
      </c>
      <c r="AJ931" s="84">
        <f>SUMIFS(AH$8:AH$1039,$O$8:$O$1039,O931,$AB$8:$AB$1039,AB931,$R$8:$R$1039,R931,$AA$8:$AA$1039,"&lt;="&amp;AA931)</f>
        <v/>
      </c>
      <c r="AK931" s="84">
        <f>E95</f>
        <v/>
      </c>
      <c r="AL931" s="84">
        <f>E101</f>
        <v/>
      </c>
      <c r="AM931" s="84">
        <f>MAX(0,AJ931-AK931)</f>
        <v/>
      </c>
      <c r="AN931" s="84">
        <f>IF(AM931=0,AH931,IF(AM931&gt;=AH931,0,AH931-AM931))</f>
        <v/>
      </c>
      <c r="AO931" s="84">
        <f>IF(AM931&gt;=AH931,AI931,AI931*AM931/AH931)</f>
        <v/>
      </c>
      <c r="AP931">
        <f t="array" ref="AP931">INDEX($AU$8:$BB$25,6*(R931-1)+MATCH(AB931,$AS$8:$AS$13,0),MATCH(O931,$AU$7:$BB$7,0))</f>
        <v/>
      </c>
    </row>
    <row r="932" ht="14.25" customHeight="1">
      <c r="O932" s="43" t="inlineStr">
        <is>
          <t>Q4’27</t>
        </is>
      </c>
      <c r="P932" s="43" t="n">
        <v>1</v>
      </c>
      <c r="Q932" s="43" t="n">
        <v>8</v>
      </c>
      <c r="R932" s="43" t="n">
        <v>1</v>
      </c>
      <c r="S932" s="45" t="n">
        <v>0</v>
      </c>
      <c r="T932">
        <f>(S932+S933+S934)=U2</f>
        <v/>
      </c>
      <c r="X932" s="84">
        <f>MAX(S929-S932,0)</f>
        <v/>
      </c>
      <c r="Y932" s="83" t="n">
        <v>0</v>
      </c>
      <c r="AA932" s="84" t="n">
        <v>1</v>
      </c>
      <c r="AB932" s="84" t="inlineStr">
        <is>
          <t>A</t>
        </is>
      </c>
      <c r="AC932" s="84" t="inlineStr">
        <is>
          <t>A+</t>
        </is>
      </c>
      <c r="AD932" s="84" t="n">
        <v>18</v>
      </c>
      <c r="AE932" s="84" t="n">
        <v>16</v>
      </c>
      <c r="AF932" s="84" t="n">
        <v>0.78</v>
      </c>
      <c r="AG932" s="84" t="n">
        <v>0.84</v>
      </c>
      <c r="AH932" s="84" t="n">
        <v>0</v>
      </c>
      <c r="AI932" s="84" t="n">
        <v>0</v>
      </c>
      <c r="AJ932" s="84">
        <f>SUMIFS(AH$8:AH$1039,$O$8:$O$1039,O932,$AB$8:$AB$1039,AB932,$R$8:$R$1039,R932,$AA$8:$AA$1039,"&lt;="&amp;AA932)</f>
        <v/>
      </c>
      <c r="AK932" s="84">
        <f>C92</f>
        <v/>
      </c>
      <c r="AL932" s="84">
        <f>C98</f>
        <v/>
      </c>
      <c r="AM932" s="84">
        <f>MAX(0,AJ932-AK932)</f>
        <v/>
      </c>
      <c r="AN932" s="84">
        <f>IF(AM932=0,AH932,IF(AM932&gt;=AH932,0,AH932-AM932))</f>
        <v/>
      </c>
      <c r="AO932" s="84">
        <f>IF(AM932&gt;=AH932,AI932,AI932*AM932/AH932)</f>
        <v/>
      </c>
      <c r="AP932">
        <f t="array" ref="AP932">INDEX($AU$8:$BB$25,6*(R932-1)+MATCH(AB932,$AS$8:$AS$13,0),MATCH(O932,$AU$7:$BB$7,0))</f>
        <v/>
      </c>
    </row>
    <row r="933" ht="14.25" customHeight="1">
      <c r="O933" s="43" t="inlineStr">
        <is>
          <t>Q4’27</t>
        </is>
      </c>
      <c r="P933" s="43" t="n">
        <v>1</v>
      </c>
      <c r="Q933" s="43" t="n">
        <v>8</v>
      </c>
      <c r="R933" s="43" t="n">
        <v>2</v>
      </c>
      <c r="S933" s="45" t="n">
        <v>1063.253333331943</v>
      </c>
      <c r="T933">
        <f>(S932+S933+S934)=U2</f>
        <v/>
      </c>
      <c r="X933" s="84">
        <f>MAX(S930-S933,0)</f>
        <v/>
      </c>
      <c r="Y933" s="83" t="n">
        <v>0</v>
      </c>
      <c r="AA933" s="84" t="n">
        <v>1</v>
      </c>
      <c r="AB933" s="84" t="inlineStr">
        <is>
          <t>A</t>
        </is>
      </c>
      <c r="AC933" s="84" t="inlineStr">
        <is>
          <t>A+</t>
        </is>
      </c>
      <c r="AD933" s="84" t="n">
        <v>18</v>
      </c>
      <c r="AE933" s="84" t="n">
        <v>16</v>
      </c>
      <c r="AF933" s="84" t="n">
        <v>0.78</v>
      </c>
      <c r="AG933" s="84" t="n">
        <v>0.84</v>
      </c>
      <c r="AH933" s="84" t="n">
        <v>0</v>
      </c>
      <c r="AI933" s="84" t="n">
        <v>0</v>
      </c>
      <c r="AJ933" s="84">
        <f>SUMIFS(AH$8:AH$1039,$O$8:$O$1039,O933,$AB$8:$AB$1039,AB933,$R$8:$R$1039,R933,$AA$8:$AA$1039,"&lt;="&amp;AA933)</f>
        <v/>
      </c>
      <c r="AK933" s="84">
        <f>D92</f>
        <v/>
      </c>
      <c r="AL933" s="84">
        <f>D98</f>
        <v/>
      </c>
      <c r="AM933" s="84">
        <f>MAX(0,AJ933-AK933)</f>
        <v/>
      </c>
      <c r="AN933" s="84">
        <f>IF(AM933=0,AH933,IF(AM933&gt;=AH933,0,AH933-AM933))</f>
        <v/>
      </c>
      <c r="AO933" s="84">
        <f>IF(AM933&gt;=AH933,AI933,AI933*AM933/AH933)</f>
        <v/>
      </c>
      <c r="AP933">
        <f t="array" ref="AP933">INDEX($AU$8:$BB$25,6*(R933-1)+MATCH(AB933,$AS$8:$AS$13,0),MATCH(O933,$AU$7:$BB$7,0))</f>
        <v/>
      </c>
    </row>
    <row r="934" ht="14.25" customHeight="1">
      <c r="O934" s="43" t="inlineStr">
        <is>
          <t>Q4’27</t>
        </is>
      </c>
      <c r="P934" s="43" t="n">
        <v>1</v>
      </c>
      <c r="Q934" s="43" t="n">
        <v>8</v>
      </c>
      <c r="R934" s="43" t="n">
        <v>3</v>
      </c>
      <c r="S934" s="45" t="n">
        <v>936.7466666680569</v>
      </c>
      <c r="T934">
        <f>(S932+S933+S934)=U2</f>
        <v/>
      </c>
      <c r="X934" s="84">
        <f>MAX(S931-S934,0)</f>
        <v/>
      </c>
      <c r="Y934" s="83" t="n">
        <v>0</v>
      </c>
      <c r="AA934" s="84" t="n">
        <v>1</v>
      </c>
      <c r="AB934" s="84" t="inlineStr">
        <is>
          <t>A</t>
        </is>
      </c>
      <c r="AC934" s="84" t="inlineStr">
        <is>
          <t>A+</t>
        </is>
      </c>
      <c r="AD934" s="84" t="n">
        <v>18</v>
      </c>
      <c r="AE934" s="84" t="n">
        <v>16</v>
      </c>
      <c r="AF934" s="84" t="n">
        <v>0.78</v>
      </c>
      <c r="AG934" s="84" t="n">
        <v>0.84</v>
      </c>
      <c r="AH934" s="84" t="n">
        <v>0</v>
      </c>
      <c r="AI934" s="84" t="n">
        <v>0</v>
      </c>
      <c r="AJ934" s="84">
        <f>SUMIFS(AH$8:AH$1039,$O$8:$O$1039,O934,$AB$8:$AB$1039,AB934,$R$8:$R$1039,R934,$AA$8:$AA$1039,"&lt;="&amp;AA934)</f>
        <v/>
      </c>
      <c r="AK934" s="84">
        <f>E92</f>
        <v/>
      </c>
      <c r="AL934" s="84">
        <f>E98</f>
        <v/>
      </c>
      <c r="AM934" s="84">
        <f>MAX(0,AJ934-AK934)</f>
        <v/>
      </c>
      <c r="AN934" s="84">
        <f>IF(AM934=0,AH934,IF(AM934&gt;=AH934,0,AH934-AM934))</f>
        <v/>
      </c>
      <c r="AO934" s="84">
        <f>IF(AM934&gt;=AH934,AI934,AI934*AM934/AH934)</f>
        <v/>
      </c>
      <c r="AP934">
        <f t="array" ref="AP934">INDEX($AU$8:$BB$25,6*(R934-1)+MATCH(AB934,$AS$8:$AS$13,0),MATCH(O934,$AU$7:$BB$7,0))</f>
        <v/>
      </c>
    </row>
    <row r="935" ht="14.25" customHeight="1">
      <c r="O935" s="43" t="inlineStr">
        <is>
          <t>Q4’27</t>
        </is>
      </c>
      <c r="P935" s="43" t="n">
        <v>1</v>
      </c>
      <c r="Q935" s="43" t="n">
        <v>9</v>
      </c>
      <c r="R935" s="43" t="n">
        <v>1</v>
      </c>
      <c r="S935" s="45" t="n">
        <v>0</v>
      </c>
      <c r="T935">
        <f>(S935+S936+S937)=U2</f>
        <v/>
      </c>
      <c r="X935" s="84">
        <f>MAX(S932-S935,0)</f>
        <v/>
      </c>
      <c r="Y935" s="83" t="n">
        <v>0</v>
      </c>
      <c r="AA935" s="84" t="n">
        <v>2</v>
      </c>
      <c r="AB935" s="84" t="inlineStr">
        <is>
          <t>A</t>
        </is>
      </c>
      <c r="AC935" s="84" t="inlineStr">
        <is>
          <t>A+</t>
        </is>
      </c>
      <c r="AD935" s="84" t="n">
        <v>16</v>
      </c>
      <c r="AE935" s="84" t="n">
        <v>13</v>
      </c>
      <c r="AF935" s="84" t="n">
        <v>0.78</v>
      </c>
      <c r="AG935" s="84" t="n">
        <v>0.84</v>
      </c>
      <c r="AH935" s="84" t="n">
        <v>0</v>
      </c>
      <c r="AI935" s="84" t="n">
        <v>0</v>
      </c>
      <c r="AJ935" s="84">
        <f>SUMIFS(AH$8:AH$1039,$O$8:$O$1039,O935,$AB$8:$AB$1039,AB935,$R$8:$R$1039,R935,$AA$8:$AA$1039,"&lt;="&amp;AA935)</f>
        <v/>
      </c>
      <c r="AK935" s="84">
        <f>C92</f>
        <v/>
      </c>
      <c r="AL935" s="84">
        <f>C98</f>
        <v/>
      </c>
      <c r="AM935" s="84">
        <f>MAX(0,AJ935-AK935)</f>
        <v/>
      </c>
      <c r="AN935" s="84">
        <f>IF(AM935=0,AH935,IF(AM935&gt;=AH935,0,AH935-AM935))</f>
        <v/>
      </c>
      <c r="AO935" s="84">
        <f>IF(AM935&gt;=AH935,AI935,AI935*AM935/AH935)</f>
        <v/>
      </c>
      <c r="AP935">
        <f t="array" ref="AP935">INDEX($AU$8:$BB$25,6*(R935-1)+MATCH(AB935,$AS$8:$AS$13,0),MATCH(O935,$AU$7:$BB$7,0))</f>
        <v/>
      </c>
    </row>
    <row r="936" ht="14.25" customHeight="1">
      <c r="O936" s="43" t="inlineStr">
        <is>
          <t>Q4’27</t>
        </is>
      </c>
      <c r="P936" s="43" t="n">
        <v>1</v>
      </c>
      <c r="Q936" s="43" t="n">
        <v>9</v>
      </c>
      <c r="R936" s="43" t="n">
        <v>2</v>
      </c>
      <c r="S936" s="45" t="n">
        <v>1063.253333331943</v>
      </c>
      <c r="T936">
        <f>(S935+S936+S937)=U2</f>
        <v/>
      </c>
      <c r="X936" s="84">
        <f>MAX(S933-S936,0)</f>
        <v/>
      </c>
      <c r="Y936" s="83" t="n">
        <v>0</v>
      </c>
      <c r="AA936" s="84" t="n">
        <v>2</v>
      </c>
      <c r="AB936" s="84" t="inlineStr">
        <is>
          <t>A</t>
        </is>
      </c>
      <c r="AC936" s="84" t="inlineStr">
        <is>
          <t>A+</t>
        </is>
      </c>
      <c r="AD936" s="84" t="n">
        <v>16</v>
      </c>
      <c r="AE936" s="84" t="n">
        <v>13</v>
      </c>
      <c r="AF936" s="84" t="n">
        <v>0.78</v>
      </c>
      <c r="AG936" s="84" t="n">
        <v>0.84</v>
      </c>
      <c r="AH936" s="84" t="n">
        <v>0</v>
      </c>
      <c r="AI936" s="84" t="n">
        <v>0</v>
      </c>
      <c r="AJ936" s="84">
        <f>SUMIFS(AH$8:AH$1039,$O$8:$O$1039,O936,$AB$8:$AB$1039,AB936,$R$8:$R$1039,R936,$AA$8:$AA$1039,"&lt;="&amp;AA936)</f>
        <v/>
      </c>
      <c r="AK936" s="84">
        <f>D92</f>
        <v/>
      </c>
      <c r="AL936" s="84">
        <f>D98</f>
        <v/>
      </c>
      <c r="AM936" s="84">
        <f>MAX(0,AJ936-AK936)</f>
        <v/>
      </c>
      <c r="AN936" s="84">
        <f>IF(AM936=0,AH936,IF(AM936&gt;=AH936,0,AH936-AM936))</f>
        <v/>
      </c>
      <c r="AO936" s="84">
        <f>IF(AM936&gt;=AH936,AI936,AI936*AM936/AH936)</f>
        <v/>
      </c>
      <c r="AP936">
        <f t="array" ref="AP936">INDEX($AU$8:$BB$25,6*(R936-1)+MATCH(AB936,$AS$8:$AS$13,0),MATCH(O936,$AU$7:$BB$7,0))</f>
        <v/>
      </c>
    </row>
    <row r="937" ht="14.25" customHeight="1">
      <c r="O937" s="43" t="inlineStr">
        <is>
          <t>Q4’27</t>
        </is>
      </c>
      <c r="P937" s="43" t="n">
        <v>1</v>
      </c>
      <c r="Q937" s="43" t="n">
        <v>9</v>
      </c>
      <c r="R937" s="43" t="n">
        <v>3</v>
      </c>
      <c r="S937" s="45" t="n">
        <v>936.7466666680569</v>
      </c>
      <c r="T937">
        <f>(S935+S936+S937)=U2</f>
        <v/>
      </c>
      <c r="X937" s="84">
        <f>MAX(S934-S937,0)</f>
        <v/>
      </c>
      <c r="Y937" s="83" t="n">
        <v>0</v>
      </c>
      <c r="AA937" s="84" t="n">
        <v>2</v>
      </c>
      <c r="AB937" s="84" t="inlineStr">
        <is>
          <t>A</t>
        </is>
      </c>
      <c r="AC937" s="84" t="inlineStr">
        <is>
          <t>A+</t>
        </is>
      </c>
      <c r="AD937" s="84" t="n">
        <v>16</v>
      </c>
      <c r="AE937" s="84" t="n">
        <v>13</v>
      </c>
      <c r="AF937" s="84" t="n">
        <v>0.78</v>
      </c>
      <c r="AG937" s="84" t="n">
        <v>0.84</v>
      </c>
      <c r="AH937" s="84" t="n">
        <v>0</v>
      </c>
      <c r="AI937" s="84" t="n">
        <v>0</v>
      </c>
      <c r="AJ937" s="84">
        <f>SUMIFS(AH$8:AH$1039,$O$8:$O$1039,O937,$AB$8:$AB$1039,AB937,$R$8:$R$1039,R937,$AA$8:$AA$1039,"&lt;="&amp;AA937)</f>
        <v/>
      </c>
      <c r="AK937" s="84">
        <f>E92</f>
        <v/>
      </c>
      <c r="AL937" s="84">
        <f>E98</f>
        <v/>
      </c>
      <c r="AM937" s="84">
        <f>MAX(0,AJ937-AK937)</f>
        <v/>
      </c>
      <c r="AN937" s="84">
        <f>IF(AM937=0,AH937,IF(AM937&gt;=AH937,0,AH937-AM937))</f>
        <v/>
      </c>
      <c r="AO937" s="84">
        <f>IF(AM937&gt;=AH937,AI937,AI937*AM937/AH937)</f>
        <v/>
      </c>
      <c r="AP937">
        <f t="array" ref="AP937">INDEX($AU$8:$BB$25,6*(R937-1)+MATCH(AB937,$AS$8:$AS$13,0),MATCH(O937,$AU$7:$BB$7,0))</f>
        <v/>
      </c>
    </row>
    <row r="938" ht="14.25" customHeight="1">
      <c r="O938" s="43" t="inlineStr">
        <is>
          <t>Q4’27</t>
        </is>
      </c>
      <c r="P938" s="43" t="n">
        <v>1</v>
      </c>
      <c r="Q938" s="43" t="n">
        <v>10</v>
      </c>
      <c r="R938" s="43" t="n">
        <v>1</v>
      </c>
      <c r="S938" s="45" t="n">
        <v>0</v>
      </c>
      <c r="T938">
        <f>(S938+S939+S940)=U2</f>
        <v/>
      </c>
      <c r="X938" s="84">
        <f>MAX(S935-S938,0)</f>
        <v/>
      </c>
      <c r="Y938" s="83" t="n">
        <v>0</v>
      </c>
      <c r="AA938" s="84" t="n">
        <v>6</v>
      </c>
      <c r="AB938" s="84" t="inlineStr">
        <is>
          <t>D</t>
        </is>
      </c>
      <c r="AC938" s="84" t="inlineStr">
        <is>
          <t>D+</t>
        </is>
      </c>
      <c r="AD938" s="84" t="n">
        <v>14</v>
      </c>
      <c r="AE938" s="84" t="n">
        <v>11</v>
      </c>
      <c r="AF938" s="84" t="n">
        <v>0.8</v>
      </c>
      <c r="AG938" s="84" t="n">
        <v>0.88</v>
      </c>
      <c r="AH938" s="84" t="n">
        <v>0</v>
      </c>
      <c r="AI938" s="84" t="n">
        <v>0</v>
      </c>
      <c r="AJ938" s="84">
        <f>SUMIFS(AH$8:AH$1039,$O$8:$O$1039,O938,$AB$8:$AB$1039,AB938,$R$8:$R$1039,R938,$AA$8:$AA$1039,"&lt;="&amp;AA938)</f>
        <v/>
      </c>
      <c r="AK938" s="84">
        <f>C95</f>
        <v/>
      </c>
      <c r="AL938" s="84">
        <f>C101</f>
        <v/>
      </c>
      <c r="AM938" s="84">
        <f>MAX(0,AJ938-AK938)</f>
        <v/>
      </c>
      <c r="AN938" s="84">
        <f>IF(AM938=0,AH938,IF(AM938&gt;=AH938,0,AH938-AM938))</f>
        <v/>
      </c>
      <c r="AO938" s="84">
        <f>IF(AM938&gt;=AH938,AI938,AI938*AM938/AH938)</f>
        <v/>
      </c>
      <c r="AP938">
        <f t="array" ref="AP938">INDEX($AU$8:$BB$25,6*(R938-1)+MATCH(AB938,$AS$8:$AS$13,0),MATCH(O938,$AU$7:$BB$7,0))</f>
        <v/>
      </c>
    </row>
    <row r="939" ht="14.25" customHeight="1">
      <c r="O939" s="43" t="inlineStr">
        <is>
          <t>Q4’27</t>
        </is>
      </c>
      <c r="P939" s="43" t="n">
        <v>1</v>
      </c>
      <c r="Q939" s="43" t="n">
        <v>10</v>
      </c>
      <c r="R939" s="43" t="n">
        <v>2</v>
      </c>
      <c r="S939" s="45" t="n">
        <v>1063.253333331943</v>
      </c>
      <c r="T939">
        <f>(S938+S939+S940)=U2</f>
        <v/>
      </c>
      <c r="X939" s="84">
        <f>MAX(S936-S939,0)</f>
        <v/>
      </c>
      <c r="Y939" s="83" t="n">
        <v>0</v>
      </c>
      <c r="AA939" s="84" t="n">
        <v>6</v>
      </c>
      <c r="AB939" s="84" t="inlineStr">
        <is>
          <t>D</t>
        </is>
      </c>
      <c r="AC939" s="84" t="inlineStr">
        <is>
          <t>D+</t>
        </is>
      </c>
      <c r="AD939" s="84" t="n">
        <v>14</v>
      </c>
      <c r="AE939" s="84" t="n">
        <v>11</v>
      </c>
      <c r="AF939" s="84" t="n">
        <v>0.8</v>
      </c>
      <c r="AG939" s="84" t="n">
        <v>0.88</v>
      </c>
      <c r="AH939" s="84" t="n">
        <v>0</v>
      </c>
      <c r="AI939" s="84" t="n">
        <v>0</v>
      </c>
      <c r="AJ939" s="84">
        <f>SUMIFS(AH$8:AH$1039,$O$8:$O$1039,O939,$AB$8:$AB$1039,AB939,$R$8:$R$1039,R939,$AA$8:$AA$1039,"&lt;="&amp;AA939)</f>
        <v/>
      </c>
      <c r="AK939" s="84">
        <f>D95</f>
        <v/>
      </c>
      <c r="AL939" s="84">
        <f>D101</f>
        <v/>
      </c>
      <c r="AM939" s="84">
        <f>MAX(0,AJ939-AK939)</f>
        <v/>
      </c>
      <c r="AN939" s="84">
        <f>IF(AM939=0,AH939,IF(AM939&gt;=AH939,0,AH939-AM939))</f>
        <v/>
      </c>
      <c r="AO939" s="84">
        <f>IF(AM939&gt;=AH939,AI939,AI939*AM939/AH939)</f>
        <v/>
      </c>
      <c r="AP939">
        <f t="array" ref="AP939">INDEX($AU$8:$BB$25,6*(R939-1)+MATCH(AB939,$AS$8:$AS$13,0),MATCH(O939,$AU$7:$BB$7,0))</f>
        <v/>
      </c>
    </row>
    <row r="940" ht="14.25" customHeight="1">
      <c r="O940" s="43" t="inlineStr">
        <is>
          <t>Q4’27</t>
        </is>
      </c>
      <c r="P940" s="43" t="n">
        <v>1</v>
      </c>
      <c r="Q940" s="43" t="n">
        <v>10</v>
      </c>
      <c r="R940" s="43" t="n">
        <v>3</v>
      </c>
      <c r="S940" s="45" t="n">
        <v>936.7466666680569</v>
      </c>
      <c r="T940">
        <f>(S938+S939+S940)=U2</f>
        <v/>
      </c>
      <c r="X940" s="84">
        <f>MAX(S937-S940,0)</f>
        <v/>
      </c>
      <c r="Y940" s="83" t="n">
        <v>0</v>
      </c>
      <c r="AA940" s="84" t="n">
        <v>6</v>
      </c>
      <c r="AB940" s="84" t="inlineStr">
        <is>
          <t>D</t>
        </is>
      </c>
      <c r="AC940" s="84" t="inlineStr">
        <is>
          <t>D+</t>
        </is>
      </c>
      <c r="AD940" s="84" t="n">
        <v>14</v>
      </c>
      <c r="AE940" s="84" t="n">
        <v>11</v>
      </c>
      <c r="AF940" s="84" t="n">
        <v>0.8</v>
      </c>
      <c r="AG940" s="84" t="n">
        <v>0.88</v>
      </c>
      <c r="AH940" s="84" t="n">
        <v>0</v>
      </c>
      <c r="AI940" s="84" t="n">
        <v>0</v>
      </c>
      <c r="AJ940" s="84">
        <f>SUMIFS(AH$8:AH$1039,$O$8:$O$1039,O940,$AB$8:$AB$1039,AB940,$R$8:$R$1039,R940,$AA$8:$AA$1039,"&lt;="&amp;AA940)</f>
        <v/>
      </c>
      <c r="AK940" s="84">
        <f>E95</f>
        <v/>
      </c>
      <c r="AL940" s="84">
        <f>E101</f>
        <v/>
      </c>
      <c r="AM940" s="84">
        <f>MAX(0,AJ940-AK940)</f>
        <v/>
      </c>
      <c r="AN940" s="84">
        <f>IF(AM940=0,AH940,IF(AM940&gt;=AH940,0,AH940-AM940))</f>
        <v/>
      </c>
      <c r="AO940" s="84">
        <f>IF(AM940&gt;=AH940,AI940,AI940*AM940/AH940)</f>
        <v/>
      </c>
      <c r="AP940">
        <f t="array" ref="AP940">INDEX($AU$8:$BB$25,6*(R940-1)+MATCH(AB940,$AS$8:$AS$13,0),MATCH(O940,$AU$7:$BB$7,0))</f>
        <v/>
      </c>
    </row>
    <row r="941" ht="14.25" customHeight="1">
      <c r="O941" s="43" t="inlineStr">
        <is>
          <t>Q4’27</t>
        </is>
      </c>
      <c r="P941" s="43" t="n">
        <v>1</v>
      </c>
      <c r="Q941" s="43" t="n">
        <v>11</v>
      </c>
      <c r="R941" s="43" t="n">
        <v>1</v>
      </c>
      <c r="S941" s="45" t="n">
        <v>0</v>
      </c>
      <c r="T941">
        <f>(S941+S942+S943)=U2</f>
        <v/>
      </c>
      <c r="X941" s="84">
        <f>MAX(S938-S941,0)</f>
        <v/>
      </c>
      <c r="Y941" s="83" t="n">
        <v>0</v>
      </c>
      <c r="AA941" s="84" t="n">
        <v>3</v>
      </c>
      <c r="AB941" s="84" t="inlineStr">
        <is>
          <t>F</t>
        </is>
      </c>
      <c r="AC941" s="84" t="inlineStr">
        <is>
          <t>F+</t>
        </is>
      </c>
      <c r="AD941" s="84" t="n">
        <v>18</v>
      </c>
      <c r="AE941" s="84" t="n">
        <v>16</v>
      </c>
      <c r="AF941" s="84" t="n">
        <v>0.8</v>
      </c>
      <c r="AG941" s="84" t="n">
        <v>0.9</v>
      </c>
      <c r="AH941" s="84" t="n">
        <v>0</v>
      </c>
      <c r="AI941" s="84" t="n">
        <v>0</v>
      </c>
      <c r="AJ941" s="84">
        <f>SUMIFS(AH$8:AH$1039,$O$8:$O$1039,O941,$AB$8:$AB$1039,AB941,$R$8:$R$1039,R941,$AA$8:$AA$1039,"&lt;="&amp;AA941)</f>
        <v/>
      </c>
      <c r="AK941" s="84">
        <f>C97</f>
        <v/>
      </c>
      <c r="AL941" s="84">
        <f>C103</f>
        <v/>
      </c>
      <c r="AM941" s="84">
        <f>MAX(0,AJ941-AK941)</f>
        <v/>
      </c>
      <c r="AN941" s="84">
        <f>IF(AM941=0,AH941,IF(AM941&gt;=AH941,0,AH941-AM941))</f>
        <v/>
      </c>
      <c r="AO941" s="84">
        <f>IF(AM941&gt;=AH941,AI941,AI941*AM941/AH941)</f>
        <v/>
      </c>
      <c r="AP941">
        <f t="array" ref="AP941">INDEX($AU$8:$BB$25,6*(R941-1)+MATCH(AB941,$AS$8:$AS$13,0),MATCH(O941,$AU$7:$BB$7,0))</f>
        <v/>
      </c>
    </row>
    <row r="942" ht="14.25" customHeight="1">
      <c r="O942" s="43" t="inlineStr">
        <is>
          <t>Q4’27</t>
        </is>
      </c>
      <c r="P942" s="43" t="n">
        <v>1</v>
      </c>
      <c r="Q942" s="43" t="n">
        <v>11</v>
      </c>
      <c r="R942" s="43" t="n">
        <v>2</v>
      </c>
      <c r="S942" s="45" t="n">
        <v>1063.253333331943</v>
      </c>
      <c r="T942">
        <f>(S941+S942+S943)=U2</f>
        <v/>
      </c>
      <c r="X942" s="84">
        <f>MAX(S939-S942,0)</f>
        <v/>
      </c>
      <c r="Y942" s="83" t="n">
        <v>0</v>
      </c>
      <c r="AA942" s="84" t="n">
        <v>3</v>
      </c>
      <c r="AB942" s="84" t="inlineStr">
        <is>
          <t>F</t>
        </is>
      </c>
      <c r="AC942" s="84" t="inlineStr">
        <is>
          <t>F+</t>
        </is>
      </c>
      <c r="AD942" s="84" t="n">
        <v>18</v>
      </c>
      <c r="AE942" s="84" t="n">
        <v>16</v>
      </c>
      <c r="AF942" s="84" t="n">
        <v>0.8</v>
      </c>
      <c r="AG942" s="84" t="n">
        <v>0.9</v>
      </c>
      <c r="AH942" s="84" t="n">
        <v>0</v>
      </c>
      <c r="AI942" s="84" t="n">
        <v>0</v>
      </c>
      <c r="AJ942" s="84">
        <f>SUMIFS(AH$8:AH$1039,$O$8:$O$1039,O942,$AB$8:$AB$1039,AB942,$R$8:$R$1039,R942,$AA$8:$AA$1039,"&lt;="&amp;AA942)</f>
        <v/>
      </c>
      <c r="AK942" s="84">
        <f>D97</f>
        <v/>
      </c>
      <c r="AL942" s="84">
        <f>D103</f>
        <v/>
      </c>
      <c r="AM942" s="84">
        <f>MAX(0,AJ942-AK942)</f>
        <v/>
      </c>
      <c r="AN942" s="84">
        <f>IF(AM942=0,AH942,IF(AM942&gt;=AH942,0,AH942-AM942))</f>
        <v/>
      </c>
      <c r="AO942" s="84">
        <f>IF(AM942&gt;=AH942,AI942,AI942*AM942/AH942)</f>
        <v/>
      </c>
      <c r="AP942">
        <f t="array" ref="AP942">INDEX($AU$8:$BB$25,6*(R942-1)+MATCH(AB942,$AS$8:$AS$13,0),MATCH(O942,$AU$7:$BB$7,0))</f>
        <v/>
      </c>
    </row>
    <row r="943" ht="14.25" customHeight="1">
      <c r="O943" s="43" t="inlineStr">
        <is>
          <t>Q4’27</t>
        </is>
      </c>
      <c r="P943" s="43" t="n">
        <v>1</v>
      </c>
      <c r="Q943" s="43" t="n">
        <v>11</v>
      </c>
      <c r="R943" s="43" t="n">
        <v>3</v>
      </c>
      <c r="S943" s="45" t="n">
        <v>936.7466666680569</v>
      </c>
      <c r="T943">
        <f>(S941+S942+S943)=U2</f>
        <v/>
      </c>
      <c r="X943" s="84">
        <f>MAX(S940-S943,0)</f>
        <v/>
      </c>
      <c r="Y943" s="83" t="n">
        <v>0</v>
      </c>
      <c r="AA943" s="84" t="n">
        <v>3</v>
      </c>
      <c r="AB943" s="84" t="inlineStr">
        <is>
          <t>F</t>
        </is>
      </c>
      <c r="AC943" s="84" t="inlineStr">
        <is>
          <t>F+</t>
        </is>
      </c>
      <c r="AD943" s="84" t="n">
        <v>18</v>
      </c>
      <c r="AE943" s="84" t="n">
        <v>16</v>
      </c>
      <c r="AF943" s="84" t="n">
        <v>0.8</v>
      </c>
      <c r="AG943" s="84" t="n">
        <v>0.9</v>
      </c>
      <c r="AH943" s="84" t="n">
        <v>0</v>
      </c>
      <c r="AI943" s="84" t="n">
        <v>0</v>
      </c>
      <c r="AJ943" s="84">
        <f>SUMIFS(AH$8:AH$1039,$O$8:$O$1039,O943,$AB$8:$AB$1039,AB943,$R$8:$R$1039,R943,$AA$8:$AA$1039,"&lt;="&amp;AA943)</f>
        <v/>
      </c>
      <c r="AK943" s="84">
        <f>E97</f>
        <v/>
      </c>
      <c r="AL943" s="84">
        <f>E103</f>
        <v/>
      </c>
      <c r="AM943" s="84">
        <f>MAX(0,AJ943-AK943)</f>
        <v/>
      </c>
      <c r="AN943" s="84">
        <f>IF(AM943=0,AH943,IF(AM943&gt;=AH943,0,AH943-AM943))</f>
        <v/>
      </c>
      <c r="AO943" s="84">
        <f>IF(AM943&gt;=AH943,AI943,AI943*AM943/AH943)</f>
        <v/>
      </c>
      <c r="AP943">
        <f t="array" ref="AP943">INDEX($AU$8:$BB$25,6*(R943-1)+MATCH(AB943,$AS$8:$AS$13,0),MATCH(O943,$AU$7:$BB$7,0))</f>
        <v/>
      </c>
    </row>
    <row r="944" ht="14.25" customHeight="1">
      <c r="O944" s="43" t="inlineStr">
        <is>
          <t>Q4’27</t>
        </is>
      </c>
      <c r="P944" s="43" t="n">
        <v>2</v>
      </c>
      <c r="Q944" s="43" t="n">
        <v>1</v>
      </c>
      <c r="R944" s="43" t="n">
        <v>1</v>
      </c>
      <c r="S944" s="45" t="n">
        <v>6058.145882352941</v>
      </c>
      <c r="T944">
        <f>(S944+S945+S946)=U3</f>
        <v/>
      </c>
      <c r="X944" s="84" t="n">
        <v>0</v>
      </c>
      <c r="Y944" s="83" t="n">
        <v>0</v>
      </c>
      <c r="AA944" s="84" t="n">
        <v>9</v>
      </c>
      <c r="AB944" s="84" t="inlineStr">
        <is>
          <t>F</t>
        </is>
      </c>
      <c r="AC944" s="84" t="inlineStr">
        <is>
          <t>F+</t>
        </is>
      </c>
      <c r="AD944" s="84" t="n">
        <v>19</v>
      </c>
      <c r="AE944" s="84" t="n">
        <v>16</v>
      </c>
      <c r="AF944" s="84" t="n">
        <v>0.8</v>
      </c>
      <c r="AG944" s="84" t="n">
        <v>0.9</v>
      </c>
      <c r="AH944" s="84" t="n">
        <v>0</v>
      </c>
      <c r="AI944" s="84" t="n">
        <v>0</v>
      </c>
      <c r="AJ944" s="84">
        <f>SUMIFS(AH$8:AH$1039,$O$8:$O$1039,O944,$AB$8:$AB$1039,AB944,$R$8:$R$1039,R944,$AA$8:$AA$1039,"&lt;="&amp;AA944)</f>
        <v/>
      </c>
      <c r="AK944" s="84">
        <f>C97</f>
        <v/>
      </c>
      <c r="AL944" s="84">
        <f>C103</f>
        <v/>
      </c>
      <c r="AM944" s="84">
        <f>MAX(0,AJ944-AK944)</f>
        <v/>
      </c>
      <c r="AN944" s="84">
        <f>IF(AM944=0,AH944,IF(AM944&gt;=AH944,0,AH944-AM944))</f>
        <v/>
      </c>
      <c r="AO944" s="84">
        <f>IF(AM944&gt;=AH944,AI944,AI944*AM944/AH944)</f>
        <v/>
      </c>
      <c r="AP944">
        <f t="array" ref="AP944">INDEX($AU$8:$BB$25,6*(R944-1)+MATCH(AB944,$AS$8:$AS$13,0),MATCH(O944,$AU$7:$BB$7,0))</f>
        <v/>
      </c>
    </row>
    <row r="945" ht="14.25" customHeight="1">
      <c r="O945" s="43" t="inlineStr">
        <is>
          <t>Q4’27</t>
        </is>
      </c>
      <c r="P945" s="43" t="n">
        <v>2</v>
      </c>
      <c r="Q945" s="43" t="n">
        <v>1</v>
      </c>
      <c r="R945" s="43" t="n">
        <v>2</v>
      </c>
      <c r="S945" s="45" t="n">
        <v>1441.854117647059</v>
      </c>
      <c r="T945">
        <f>(S944+S945+S946)=U3</f>
        <v/>
      </c>
      <c r="X945" s="84" t="n">
        <v>0</v>
      </c>
      <c r="Y945" s="83" t="n">
        <v>0</v>
      </c>
      <c r="AA945" s="84" t="n">
        <v>9</v>
      </c>
      <c r="AB945" s="84" t="inlineStr">
        <is>
          <t>F</t>
        </is>
      </c>
      <c r="AC945" s="84" t="inlineStr">
        <is>
          <t>F+</t>
        </is>
      </c>
      <c r="AD945" s="84" t="n">
        <v>19</v>
      </c>
      <c r="AE945" s="84" t="n">
        <v>16</v>
      </c>
      <c r="AF945" s="84" t="n">
        <v>0.8</v>
      </c>
      <c r="AG945" s="84" t="n">
        <v>0.9</v>
      </c>
      <c r="AH945" s="84" t="n">
        <v>0</v>
      </c>
      <c r="AI945" s="84" t="n">
        <v>0</v>
      </c>
      <c r="AJ945" s="84">
        <f>SUMIFS(AH$8:AH$1039,$O$8:$O$1039,O945,$AB$8:$AB$1039,AB945,$R$8:$R$1039,R945,$AA$8:$AA$1039,"&lt;="&amp;AA945)</f>
        <v/>
      </c>
      <c r="AK945" s="84">
        <f>D97</f>
        <v/>
      </c>
      <c r="AL945" s="84">
        <f>D103</f>
        <v/>
      </c>
      <c r="AM945" s="84">
        <f>MAX(0,AJ945-AK945)</f>
        <v/>
      </c>
      <c r="AN945" s="84">
        <f>IF(AM945=0,AH945,IF(AM945&gt;=AH945,0,AH945-AM945))</f>
        <v/>
      </c>
      <c r="AO945" s="84">
        <f>IF(AM945&gt;=AH945,AI945,AI945*AM945/AH945)</f>
        <v/>
      </c>
      <c r="AP945">
        <f t="array" ref="AP945">INDEX($AU$8:$BB$25,6*(R945-1)+MATCH(AB945,$AS$8:$AS$13,0),MATCH(O945,$AU$7:$BB$7,0))</f>
        <v/>
      </c>
    </row>
    <row r="946" ht="14.25" customHeight="1">
      <c r="O946" s="43" t="inlineStr">
        <is>
          <t>Q4’27</t>
        </is>
      </c>
      <c r="P946" s="43" t="n">
        <v>2</v>
      </c>
      <c r="Q946" s="43" t="n">
        <v>1</v>
      </c>
      <c r="R946" s="43" t="n">
        <v>3</v>
      </c>
      <c r="S946" s="45" t="n">
        <v>0</v>
      </c>
      <c r="T946">
        <f>(S944+S945+S946)=U3</f>
        <v/>
      </c>
      <c r="X946" s="84" t="n">
        <v>0</v>
      </c>
      <c r="Y946" s="83" t="n">
        <v>0</v>
      </c>
      <c r="AA946" s="84" t="n">
        <v>9</v>
      </c>
      <c r="AB946" s="84" t="inlineStr">
        <is>
          <t>F</t>
        </is>
      </c>
      <c r="AC946" s="84" t="inlineStr">
        <is>
          <t>F+</t>
        </is>
      </c>
      <c r="AD946" s="84" t="n">
        <v>19</v>
      </c>
      <c r="AE946" s="84" t="n">
        <v>16</v>
      </c>
      <c r="AF946" s="84" t="n">
        <v>0.8</v>
      </c>
      <c r="AG946" s="84" t="n">
        <v>0.9</v>
      </c>
      <c r="AH946" s="84" t="n">
        <v>0</v>
      </c>
      <c r="AI946" s="84" t="n">
        <v>0</v>
      </c>
      <c r="AJ946" s="84">
        <f>SUMIFS(AH$8:AH$1039,$O$8:$O$1039,O946,$AB$8:$AB$1039,AB946,$R$8:$R$1039,R946,$AA$8:$AA$1039,"&lt;="&amp;AA946)</f>
        <v/>
      </c>
      <c r="AK946" s="84">
        <f>E97</f>
        <v/>
      </c>
      <c r="AL946" s="84">
        <f>E103</f>
        <v/>
      </c>
      <c r="AM946" s="84">
        <f>MAX(0,AJ946-AK946)</f>
        <v/>
      </c>
      <c r="AN946" s="84">
        <f>IF(AM946=0,AH946,IF(AM946&gt;=AH946,0,AH946-AM946))</f>
        <v/>
      </c>
      <c r="AO946" s="84">
        <f>IF(AM946&gt;=AH946,AI946,AI946*AM946/AH946)</f>
        <v/>
      </c>
      <c r="AP946">
        <f t="array" ref="AP946">INDEX($AU$8:$BB$25,6*(R946-1)+MATCH(AB946,$AS$8:$AS$13,0),MATCH(O946,$AU$7:$BB$7,0))</f>
        <v/>
      </c>
    </row>
    <row r="947" ht="14.25" customHeight="1">
      <c r="O947" s="43" t="inlineStr">
        <is>
          <t>Q4’27</t>
        </is>
      </c>
      <c r="P947" s="43" t="n">
        <v>2</v>
      </c>
      <c r="Q947" s="43" t="n">
        <v>2</v>
      </c>
      <c r="R947" s="43" t="n">
        <v>1</v>
      </c>
      <c r="S947" s="45" t="n">
        <v>6058.14588235294</v>
      </c>
      <c r="T947">
        <f>(S947+S948+S949)=U3</f>
        <v/>
      </c>
      <c r="X947" s="84">
        <f>MAX(S944-S947,0)</f>
        <v/>
      </c>
      <c r="Y947" s="83" t="n">
        <v>0</v>
      </c>
      <c r="AA947" s="84" t="n">
        <v>1</v>
      </c>
      <c r="AB947" s="84" t="inlineStr">
        <is>
          <t>B</t>
        </is>
      </c>
      <c r="AC947" s="84" t="inlineStr">
        <is>
          <t>B+</t>
        </is>
      </c>
      <c r="AD947" s="84" t="n">
        <v>20</v>
      </c>
      <c r="AE947" s="84" t="n">
        <v>18</v>
      </c>
      <c r="AF947" s="84" t="n">
        <v>0.76</v>
      </c>
      <c r="AG947" s="84" t="n">
        <v>0.8100000000000001</v>
      </c>
      <c r="AH947" s="84" t="n">
        <v>0</v>
      </c>
      <c r="AI947" s="84" t="n">
        <v>0</v>
      </c>
      <c r="AJ947" s="84">
        <f>SUMIFS(AH$8:AH$1039,$O$8:$O$1039,O947,$AB$8:$AB$1039,AB947,$R$8:$R$1039,R947,$AA$8:$AA$1039,"&lt;="&amp;AA947)</f>
        <v/>
      </c>
      <c r="AK947" s="84">
        <f>C93</f>
        <v/>
      </c>
      <c r="AL947" s="84">
        <f>C99</f>
        <v/>
      </c>
      <c r="AM947" s="84">
        <f>MAX(0,AJ947-AK947)</f>
        <v/>
      </c>
      <c r="AN947" s="84">
        <f>IF(AM947=0,AH947,IF(AM947&gt;=AH947,0,AH947-AM947))</f>
        <v/>
      </c>
      <c r="AO947" s="84">
        <f>IF(AM947&gt;=AH947,AI947,AI947*AM947/AH947)</f>
        <v/>
      </c>
      <c r="AP947">
        <f t="array" ref="AP947">INDEX($AU$8:$BB$25,6*(R947-1)+MATCH(AB947,$AS$8:$AS$13,0),MATCH(O947,$AU$7:$BB$7,0))</f>
        <v/>
      </c>
    </row>
    <row r="948" ht="14.25" customHeight="1">
      <c r="O948" s="43" t="inlineStr">
        <is>
          <t>Q4’27</t>
        </is>
      </c>
      <c r="P948" s="43" t="n">
        <v>2</v>
      </c>
      <c r="Q948" s="43" t="n">
        <v>2</v>
      </c>
      <c r="R948" s="43" t="n">
        <v>2</v>
      </c>
      <c r="S948" s="45" t="n">
        <v>1441.85411764706</v>
      </c>
      <c r="T948">
        <f>(S947+S948+S949)=U3</f>
        <v/>
      </c>
      <c r="X948" s="84">
        <f>MAX(S945-S948,0)</f>
        <v/>
      </c>
      <c r="Y948" s="83" t="n">
        <v>0</v>
      </c>
      <c r="AA948" s="84" t="n">
        <v>1</v>
      </c>
      <c r="AB948" s="84" t="inlineStr">
        <is>
          <t>B</t>
        </is>
      </c>
      <c r="AC948" s="84" t="inlineStr">
        <is>
          <t>B+</t>
        </is>
      </c>
      <c r="AD948" s="84" t="n">
        <v>20</v>
      </c>
      <c r="AE948" s="84" t="n">
        <v>18</v>
      </c>
      <c r="AF948" s="84" t="n">
        <v>0.76</v>
      </c>
      <c r="AG948" s="84" t="n">
        <v>0.8100000000000001</v>
      </c>
      <c r="AH948" s="84" t="n">
        <v>0</v>
      </c>
      <c r="AI948" s="84" t="n">
        <v>0</v>
      </c>
      <c r="AJ948" s="84">
        <f>SUMIFS(AH$8:AH$1039,$O$8:$O$1039,O948,$AB$8:$AB$1039,AB948,$R$8:$R$1039,R948,$AA$8:$AA$1039,"&lt;="&amp;AA948)</f>
        <v/>
      </c>
      <c r="AK948" s="84">
        <f>D93</f>
        <v/>
      </c>
      <c r="AL948" s="84">
        <f>D99</f>
        <v/>
      </c>
      <c r="AM948" s="84">
        <f>MAX(0,AJ948-AK948)</f>
        <v/>
      </c>
      <c r="AN948" s="84">
        <f>IF(AM948=0,AH948,IF(AM948&gt;=AH948,0,AH948-AM948))</f>
        <v/>
      </c>
      <c r="AO948" s="84">
        <f>IF(AM948&gt;=AH948,AI948,AI948*AM948/AH948)</f>
        <v/>
      </c>
      <c r="AP948">
        <f t="array" ref="AP948">INDEX($AU$8:$BB$25,6*(R948-1)+MATCH(AB948,$AS$8:$AS$13,0),MATCH(O948,$AU$7:$BB$7,0))</f>
        <v/>
      </c>
    </row>
    <row r="949" ht="14.25" customHeight="1">
      <c r="O949" s="43" t="inlineStr">
        <is>
          <t>Q4’27</t>
        </is>
      </c>
      <c r="P949" s="43" t="n">
        <v>2</v>
      </c>
      <c r="Q949" s="43" t="n">
        <v>2</v>
      </c>
      <c r="R949" s="43" t="n">
        <v>3</v>
      </c>
      <c r="S949" s="45" t="n">
        <v>0</v>
      </c>
      <c r="T949">
        <f>(S947+S948+S949)=U3</f>
        <v/>
      </c>
      <c r="X949" s="84">
        <f>MAX(S946-S949,0)</f>
        <v/>
      </c>
      <c r="Y949" s="83" t="n">
        <v>0</v>
      </c>
      <c r="AA949" s="84" t="n">
        <v>1</v>
      </c>
      <c r="AB949" s="84" t="inlineStr">
        <is>
          <t>B</t>
        </is>
      </c>
      <c r="AC949" s="84" t="inlineStr">
        <is>
          <t>B+</t>
        </is>
      </c>
      <c r="AD949" s="84" t="n">
        <v>20</v>
      </c>
      <c r="AE949" s="84" t="n">
        <v>18</v>
      </c>
      <c r="AF949" s="84" t="n">
        <v>0.76</v>
      </c>
      <c r="AG949" s="84" t="n">
        <v>0.8100000000000001</v>
      </c>
      <c r="AH949" s="84" t="n">
        <v>0</v>
      </c>
      <c r="AI949" s="84" t="n">
        <v>0</v>
      </c>
      <c r="AJ949" s="84">
        <f>SUMIFS(AH$8:AH$1039,$O$8:$O$1039,O949,$AB$8:$AB$1039,AB949,$R$8:$R$1039,R949,$AA$8:$AA$1039,"&lt;="&amp;AA949)</f>
        <v/>
      </c>
      <c r="AK949" s="84">
        <f>E93</f>
        <v/>
      </c>
      <c r="AL949" s="84">
        <f>E99</f>
        <v/>
      </c>
      <c r="AM949" s="84">
        <f>MAX(0,AJ949-AK949)</f>
        <v/>
      </c>
      <c r="AN949" s="84">
        <f>IF(AM949=0,AH949,IF(AM949&gt;=AH949,0,AH949-AM949))</f>
        <v/>
      </c>
      <c r="AO949" s="84">
        <f>IF(AM949&gt;=AH949,AI949,AI949*AM949/AH949)</f>
        <v/>
      </c>
      <c r="AP949">
        <f t="array" ref="AP949">INDEX($AU$8:$BB$25,6*(R949-1)+MATCH(AB949,$AS$8:$AS$13,0),MATCH(O949,$AU$7:$BB$7,0))</f>
        <v/>
      </c>
    </row>
    <row r="950" ht="14.25" customHeight="1">
      <c r="O950" s="43" t="inlineStr">
        <is>
          <t>Q4’27</t>
        </is>
      </c>
      <c r="P950" s="43" t="n">
        <v>2</v>
      </c>
      <c r="Q950" s="43" t="n">
        <v>3</v>
      </c>
      <c r="R950" s="43" t="n">
        <v>1</v>
      </c>
      <c r="S950" s="45" t="n">
        <v>6058.145882352913</v>
      </c>
      <c r="T950">
        <f>(S950+S951+S952)=U3</f>
        <v/>
      </c>
      <c r="X950" s="84">
        <f>MAX(S947-S950,0)</f>
        <v/>
      </c>
      <c r="Y950" s="83" t="n">
        <v>0</v>
      </c>
      <c r="AA950" s="84" t="n">
        <v>11</v>
      </c>
      <c r="AB950" s="84" t="inlineStr">
        <is>
          <t>E</t>
        </is>
      </c>
      <c r="AC950" s="84" t="inlineStr">
        <is>
          <t>E+</t>
        </is>
      </c>
      <c r="AD950" s="84" t="n">
        <v>10</v>
      </c>
      <c r="AE950" s="84" t="n">
        <v>7</v>
      </c>
      <c r="AF950" s="84" t="n">
        <v>0.76</v>
      </c>
      <c r="AG950" s="84" t="n">
        <v>0.84</v>
      </c>
      <c r="AH950" s="84" t="n">
        <v>0</v>
      </c>
      <c r="AI950" s="84" t="n">
        <v>0</v>
      </c>
      <c r="AJ950" s="84">
        <f>SUMIFS(AH$8:AH$1039,$O$8:$O$1039,O950,$AB$8:$AB$1039,AB950,$R$8:$R$1039,R950,$AA$8:$AA$1039,"&lt;="&amp;AA950)</f>
        <v/>
      </c>
      <c r="AK950" s="84">
        <f>C96</f>
        <v/>
      </c>
      <c r="AL950" s="84">
        <f>C102</f>
        <v/>
      </c>
      <c r="AM950" s="84">
        <f>MAX(0,AJ950-AK950)</f>
        <v/>
      </c>
      <c r="AN950" s="84">
        <f>IF(AM950=0,AH950,IF(AM950&gt;=AH950,0,AH950-AM950))</f>
        <v/>
      </c>
      <c r="AO950" s="84">
        <f>IF(AM950&gt;=AH950,AI950,AI950*AM950/AH950)</f>
        <v/>
      </c>
      <c r="AP950">
        <f t="array" ref="AP950">INDEX($AU$8:$BB$25,6*(R950-1)+MATCH(AB950,$AS$8:$AS$13,0),MATCH(O950,$AU$7:$BB$7,0))</f>
        <v/>
      </c>
    </row>
    <row r="951" ht="14.25" customHeight="1">
      <c r="O951" s="43" t="inlineStr">
        <is>
          <t>Q4’27</t>
        </is>
      </c>
      <c r="P951" s="43" t="n">
        <v>2</v>
      </c>
      <c r="Q951" s="43" t="n">
        <v>3</v>
      </c>
      <c r="R951" s="43" t="n">
        <v>2</v>
      </c>
      <c r="S951" s="45" t="n">
        <v>1441.854117647059</v>
      </c>
      <c r="T951">
        <f>(S950+S951+S952)=U3</f>
        <v/>
      </c>
      <c r="X951" s="84">
        <f>MAX(S948-S951,0)</f>
        <v/>
      </c>
      <c r="Y951" s="83" t="n">
        <v>0</v>
      </c>
      <c r="AA951" s="84" t="n">
        <v>11</v>
      </c>
      <c r="AB951" s="84" t="inlineStr">
        <is>
          <t>E</t>
        </is>
      </c>
      <c r="AC951" s="84" t="inlineStr">
        <is>
          <t>E+</t>
        </is>
      </c>
      <c r="AD951" s="84" t="n">
        <v>10</v>
      </c>
      <c r="AE951" s="84" t="n">
        <v>7</v>
      </c>
      <c r="AF951" s="84" t="n">
        <v>0.76</v>
      </c>
      <c r="AG951" s="84" t="n">
        <v>0.84</v>
      </c>
      <c r="AH951" s="84" t="n">
        <v>0</v>
      </c>
      <c r="AI951" s="84" t="n">
        <v>0</v>
      </c>
      <c r="AJ951" s="84">
        <f>SUMIFS(AH$8:AH$1039,$O$8:$O$1039,O951,$AB$8:$AB$1039,AB951,$R$8:$R$1039,R951,$AA$8:$AA$1039,"&lt;="&amp;AA951)</f>
        <v/>
      </c>
      <c r="AK951" s="84">
        <f>D96</f>
        <v/>
      </c>
      <c r="AL951" s="84">
        <f>D102</f>
        <v/>
      </c>
      <c r="AM951" s="84">
        <f>MAX(0,AJ951-AK951)</f>
        <v/>
      </c>
      <c r="AN951" s="84">
        <f>IF(AM951=0,AH951,IF(AM951&gt;=AH951,0,AH951-AM951))</f>
        <v/>
      </c>
      <c r="AO951" s="84">
        <f>IF(AM951&gt;=AH951,AI951,AI951*AM951/AH951)</f>
        <v/>
      </c>
      <c r="AP951">
        <f t="array" ref="AP951">INDEX($AU$8:$BB$25,6*(R951-1)+MATCH(AB951,$AS$8:$AS$13,0),MATCH(O951,$AU$7:$BB$7,0))</f>
        <v/>
      </c>
    </row>
    <row r="952" ht="14.25" customHeight="1">
      <c r="O952" s="43" t="inlineStr">
        <is>
          <t>Q4’27</t>
        </is>
      </c>
      <c r="P952" s="43" t="n">
        <v>2</v>
      </c>
      <c r="Q952" s="43" t="n">
        <v>3</v>
      </c>
      <c r="R952" s="43" t="n">
        <v>3</v>
      </c>
      <c r="S952" s="45" t="n">
        <v>2.819433575496078e-11</v>
      </c>
      <c r="T952">
        <f>(S950+S951+S952)=U3</f>
        <v/>
      </c>
      <c r="X952" s="84">
        <f>MAX(S949-S952,0)</f>
        <v/>
      </c>
      <c r="Y952" s="83" t="n">
        <v>0</v>
      </c>
      <c r="AA952" s="84" t="n">
        <v>11</v>
      </c>
      <c r="AB952" s="84" t="inlineStr">
        <is>
          <t>E</t>
        </is>
      </c>
      <c r="AC952" s="84" t="inlineStr">
        <is>
          <t>E+</t>
        </is>
      </c>
      <c r="AD952" s="84" t="n">
        <v>10</v>
      </c>
      <c r="AE952" s="84" t="n">
        <v>7</v>
      </c>
      <c r="AF952" s="84" t="n">
        <v>0.76</v>
      </c>
      <c r="AG952" s="84" t="n">
        <v>0.84</v>
      </c>
      <c r="AH952" s="84" t="n">
        <v>0</v>
      </c>
      <c r="AI952" s="84" t="n">
        <v>0</v>
      </c>
      <c r="AJ952" s="84">
        <f>SUMIFS(AH$8:AH$1039,$O$8:$O$1039,O952,$AB$8:$AB$1039,AB952,$R$8:$R$1039,R952,$AA$8:$AA$1039,"&lt;="&amp;AA952)</f>
        <v/>
      </c>
      <c r="AK952" s="84">
        <f>E96</f>
        <v/>
      </c>
      <c r="AL952" s="84">
        <f>E102</f>
        <v/>
      </c>
      <c r="AM952" s="84">
        <f>MAX(0,AJ952-AK952)</f>
        <v/>
      </c>
      <c r="AN952" s="84">
        <f>IF(AM952=0,AH952,IF(AM952&gt;=AH952,0,AH952-AM952))</f>
        <v/>
      </c>
      <c r="AO952" s="84">
        <f>IF(AM952&gt;=AH952,AI952,AI952*AM952/AH952)</f>
        <v/>
      </c>
      <c r="AP952">
        <f t="array" ref="AP952">INDEX($AU$8:$BB$25,6*(R952-1)+MATCH(AB952,$AS$8:$AS$13,0),MATCH(O952,$AU$7:$BB$7,0))</f>
        <v/>
      </c>
    </row>
    <row r="953" ht="14.25" customHeight="1">
      <c r="O953" s="43" t="inlineStr">
        <is>
          <t>Q4’27</t>
        </is>
      </c>
      <c r="P953" s="43" t="n">
        <v>2</v>
      </c>
      <c r="Q953" s="43" t="n">
        <v>4</v>
      </c>
      <c r="R953" s="43" t="n">
        <v>1</v>
      </c>
      <c r="S953" s="45" t="n">
        <v>6058.14588235294</v>
      </c>
      <c r="T953">
        <f>(S953+S954+S955)=U3</f>
        <v/>
      </c>
      <c r="X953" s="84">
        <f>MAX(S950-S953,0)</f>
        <v/>
      </c>
      <c r="Y953" s="83" t="n">
        <v>0</v>
      </c>
      <c r="AA953" s="84" t="n">
        <v>2</v>
      </c>
      <c r="AB953" s="84" t="inlineStr">
        <is>
          <t>B</t>
        </is>
      </c>
      <c r="AC953" s="84" t="inlineStr">
        <is>
          <t>B+</t>
        </is>
      </c>
      <c r="AD953" s="84" t="n">
        <v>25</v>
      </c>
      <c r="AE953" s="84" t="n">
        <v>19</v>
      </c>
      <c r="AF953" s="84" t="n">
        <v>0.76</v>
      </c>
      <c r="AG953" s="84" t="n">
        <v>0.8100000000000001</v>
      </c>
      <c r="AH953" s="84" t="n">
        <v>0</v>
      </c>
      <c r="AI953" s="84" t="n">
        <v>0</v>
      </c>
      <c r="AJ953" s="84">
        <f>SUMIFS(AH$8:AH$1039,$O$8:$O$1039,O953,$AB$8:$AB$1039,AB953,$R$8:$R$1039,R953,$AA$8:$AA$1039,"&lt;="&amp;AA953)</f>
        <v/>
      </c>
      <c r="AK953" s="84">
        <f>C93</f>
        <v/>
      </c>
      <c r="AL953" s="84">
        <f>C99</f>
        <v/>
      </c>
      <c r="AM953" s="84">
        <f>MAX(0,AJ953-AK953)</f>
        <v/>
      </c>
      <c r="AN953" s="84">
        <f>IF(AM953=0,AH953,IF(AM953&gt;=AH953,0,AH953-AM953))</f>
        <v/>
      </c>
      <c r="AO953" s="84">
        <f>IF(AM953&gt;=AH953,AI953,AI953*AM953/AH953)</f>
        <v/>
      </c>
      <c r="AP953">
        <f t="array" ref="AP953">INDEX($AU$8:$BB$25,6*(R953-1)+MATCH(AB953,$AS$8:$AS$13,0),MATCH(O953,$AU$7:$BB$7,0))</f>
        <v/>
      </c>
    </row>
    <row r="954" ht="14.25" customHeight="1">
      <c r="O954" s="43" t="inlineStr">
        <is>
          <t>Q4’27</t>
        </is>
      </c>
      <c r="P954" s="43" t="n">
        <v>2</v>
      </c>
      <c r="Q954" s="43" t="n">
        <v>4</v>
      </c>
      <c r="R954" s="43" t="n">
        <v>2</v>
      </c>
      <c r="S954" s="45" t="n">
        <v>1441.85411764706</v>
      </c>
      <c r="T954">
        <f>(S953+S954+S955)=U3</f>
        <v/>
      </c>
      <c r="X954" s="84">
        <f>MAX(S951-S954,0)</f>
        <v/>
      </c>
      <c r="Y954" s="83" t="n">
        <v>0</v>
      </c>
      <c r="AA954" s="84" t="n">
        <v>2</v>
      </c>
      <c r="AB954" s="84" t="inlineStr">
        <is>
          <t>B</t>
        </is>
      </c>
      <c r="AC954" s="84" t="inlineStr">
        <is>
          <t>B+</t>
        </is>
      </c>
      <c r="AD954" s="84" t="n">
        <v>25</v>
      </c>
      <c r="AE954" s="84" t="n">
        <v>19</v>
      </c>
      <c r="AF954" s="84" t="n">
        <v>0.76</v>
      </c>
      <c r="AG954" s="84" t="n">
        <v>0.8100000000000001</v>
      </c>
      <c r="AH954" s="84" t="n">
        <v>0</v>
      </c>
      <c r="AI954" s="84" t="n">
        <v>0</v>
      </c>
      <c r="AJ954" s="84">
        <f>SUMIFS(AH$8:AH$1039,$O$8:$O$1039,O954,$AB$8:$AB$1039,AB954,$R$8:$R$1039,R954,$AA$8:$AA$1039,"&lt;="&amp;AA954)</f>
        <v/>
      </c>
      <c r="AK954" s="84">
        <f>D93</f>
        <v/>
      </c>
      <c r="AL954" s="84">
        <f>D99</f>
        <v/>
      </c>
      <c r="AM954" s="84">
        <f>MAX(0,AJ954-AK954)</f>
        <v/>
      </c>
      <c r="AN954" s="84">
        <f>IF(AM954=0,AH954,IF(AM954&gt;=AH954,0,AH954-AM954))</f>
        <v/>
      </c>
      <c r="AO954" s="84">
        <f>IF(AM954&gt;=AH954,AI954,AI954*AM954/AH954)</f>
        <v/>
      </c>
      <c r="AP954">
        <f t="array" ref="AP954">INDEX($AU$8:$BB$25,6*(R954-1)+MATCH(AB954,$AS$8:$AS$13,0),MATCH(O954,$AU$7:$BB$7,0))</f>
        <v/>
      </c>
    </row>
    <row r="955" ht="14.25" customHeight="1">
      <c r="O955" s="43" t="inlineStr">
        <is>
          <t>Q4’27</t>
        </is>
      </c>
      <c r="P955" s="43" t="n">
        <v>2</v>
      </c>
      <c r="Q955" s="43" t="n">
        <v>4</v>
      </c>
      <c r="R955" s="43" t="n">
        <v>3</v>
      </c>
      <c r="S955" s="45" t="n">
        <v>0</v>
      </c>
      <c r="T955">
        <f>(S953+S954+S955)=U3</f>
        <v/>
      </c>
      <c r="X955" s="84">
        <f>MAX(S952-S955,0)</f>
        <v/>
      </c>
      <c r="Y955" s="83" t="n">
        <v>0</v>
      </c>
      <c r="AA955" s="84" t="n">
        <v>2</v>
      </c>
      <c r="AB955" s="84" t="inlineStr">
        <is>
          <t>B</t>
        </is>
      </c>
      <c r="AC955" s="84" t="inlineStr">
        <is>
          <t>B+</t>
        </is>
      </c>
      <c r="AD955" s="84" t="n">
        <v>25</v>
      </c>
      <c r="AE955" s="84" t="n">
        <v>19</v>
      </c>
      <c r="AF955" s="84" t="n">
        <v>0.76</v>
      </c>
      <c r="AG955" s="84" t="n">
        <v>0.8100000000000001</v>
      </c>
      <c r="AH955" s="84" t="n">
        <v>0</v>
      </c>
      <c r="AI955" s="84" t="n">
        <v>0</v>
      </c>
      <c r="AJ955" s="84">
        <f>SUMIFS(AH$8:AH$1039,$O$8:$O$1039,O955,$AB$8:$AB$1039,AB955,$R$8:$R$1039,R955,$AA$8:$AA$1039,"&lt;="&amp;AA955)</f>
        <v/>
      </c>
      <c r="AK955" s="84">
        <f>E93</f>
        <v/>
      </c>
      <c r="AL955" s="84">
        <f>E99</f>
        <v/>
      </c>
      <c r="AM955" s="84">
        <f>MAX(0,AJ955-AK955)</f>
        <v/>
      </c>
      <c r="AN955" s="84">
        <f>IF(AM955=0,AH955,IF(AM955&gt;=AH955,0,AH955-AM955))</f>
        <v/>
      </c>
      <c r="AO955" s="84">
        <f>IF(AM955&gt;=AH955,AI955,AI955*AM955/AH955)</f>
        <v/>
      </c>
      <c r="AP955">
        <f t="array" ref="AP955">INDEX($AU$8:$BB$25,6*(R955-1)+MATCH(AB955,$AS$8:$AS$13,0),MATCH(O955,$AU$7:$BB$7,0))</f>
        <v/>
      </c>
    </row>
    <row r="956" ht="14.25" customHeight="1">
      <c r="O956" s="43" t="inlineStr">
        <is>
          <t>Q4’27</t>
        </is>
      </c>
      <c r="P956" s="43" t="n">
        <v>2</v>
      </c>
      <c r="Q956" s="43" t="n">
        <v>5</v>
      </c>
      <c r="R956" s="43" t="n">
        <v>1</v>
      </c>
      <c r="S956" s="45" t="n">
        <v>6058.145882352943</v>
      </c>
      <c r="T956">
        <f>(S956+S957+S958)=U3</f>
        <v/>
      </c>
      <c r="X956" s="84">
        <f>MAX(S953-S956,0)</f>
        <v/>
      </c>
      <c r="Y956" s="83" t="n">
        <v>0</v>
      </c>
      <c r="AA956" s="84" t="n">
        <v>3</v>
      </c>
      <c r="AB956" s="84" t="inlineStr">
        <is>
          <t>B</t>
        </is>
      </c>
      <c r="AC956" s="84" t="inlineStr">
        <is>
          <t>B+</t>
        </is>
      </c>
      <c r="AD956" s="84" t="n">
        <v>15</v>
      </c>
      <c r="AE956" s="84" t="n">
        <v>11</v>
      </c>
      <c r="AF956" s="84" t="n">
        <v>0.76</v>
      </c>
      <c r="AG956" s="84" t="n">
        <v>0.8100000000000001</v>
      </c>
      <c r="AH956" s="84" t="n">
        <v>0</v>
      </c>
      <c r="AI956" s="84" t="n">
        <v>0</v>
      </c>
      <c r="AJ956" s="84">
        <f>SUMIFS(AH$8:AH$1039,$O$8:$O$1039,O956,$AB$8:$AB$1039,AB956,$R$8:$R$1039,R956,$AA$8:$AA$1039,"&lt;="&amp;AA956)</f>
        <v/>
      </c>
      <c r="AK956" s="84">
        <f>C93</f>
        <v/>
      </c>
      <c r="AL956" s="84">
        <f>C99</f>
        <v/>
      </c>
      <c r="AM956" s="84">
        <f>MAX(0,AJ956-AK956)</f>
        <v/>
      </c>
      <c r="AN956" s="84">
        <f>IF(AM956=0,AH956,IF(AM956&gt;=AH956,0,AH956-AM956))</f>
        <v/>
      </c>
      <c r="AO956" s="84">
        <f>IF(AM956&gt;=AH956,AI956,AI956*AM956/AH956)</f>
        <v/>
      </c>
      <c r="AP956">
        <f t="array" ref="AP956">INDEX($AU$8:$BB$25,6*(R956-1)+MATCH(AB956,$AS$8:$AS$13,0),MATCH(O956,$AU$7:$BB$7,0))</f>
        <v/>
      </c>
    </row>
    <row r="957" ht="14.25" customHeight="1">
      <c r="O957" s="43" t="inlineStr">
        <is>
          <t>Q4’27</t>
        </is>
      </c>
      <c r="P957" s="43" t="n">
        <v>2</v>
      </c>
      <c r="Q957" s="43" t="n">
        <v>5</v>
      </c>
      <c r="R957" s="43" t="n">
        <v>2</v>
      </c>
      <c r="S957" s="45" t="n">
        <v>1441.854117647057</v>
      </c>
      <c r="T957">
        <f>(S956+S957+S958)=U3</f>
        <v/>
      </c>
      <c r="X957" s="84">
        <f>MAX(S954-S957,0)</f>
        <v/>
      </c>
      <c r="Y957" s="83" t="n">
        <v>0</v>
      </c>
      <c r="AA957" s="84" t="n">
        <v>3</v>
      </c>
      <c r="AB957" s="84" t="inlineStr">
        <is>
          <t>B</t>
        </is>
      </c>
      <c r="AC957" s="84" t="inlineStr">
        <is>
          <t>B+</t>
        </is>
      </c>
      <c r="AD957" s="84" t="n">
        <v>15</v>
      </c>
      <c r="AE957" s="84" t="n">
        <v>11</v>
      </c>
      <c r="AF957" s="84" t="n">
        <v>0.76</v>
      </c>
      <c r="AG957" s="84" t="n">
        <v>0.8100000000000001</v>
      </c>
      <c r="AH957" s="84" t="n">
        <v>0</v>
      </c>
      <c r="AI957" s="84" t="n">
        <v>0</v>
      </c>
      <c r="AJ957" s="84">
        <f>SUMIFS(AH$8:AH$1039,$O$8:$O$1039,O957,$AB$8:$AB$1039,AB957,$R$8:$R$1039,R957,$AA$8:$AA$1039,"&lt;="&amp;AA957)</f>
        <v/>
      </c>
      <c r="AK957" s="84">
        <f>D93</f>
        <v/>
      </c>
      <c r="AL957" s="84">
        <f>D99</f>
        <v/>
      </c>
      <c r="AM957" s="84">
        <f>MAX(0,AJ957-AK957)</f>
        <v/>
      </c>
      <c r="AN957" s="84">
        <f>IF(AM957=0,AH957,IF(AM957&gt;=AH957,0,AH957-AM957))</f>
        <v/>
      </c>
      <c r="AO957" s="84">
        <f>IF(AM957&gt;=AH957,AI957,AI957*AM957/AH957)</f>
        <v/>
      </c>
      <c r="AP957">
        <f t="array" ref="AP957">INDEX($AU$8:$BB$25,6*(R957-1)+MATCH(AB957,$AS$8:$AS$13,0),MATCH(O957,$AU$7:$BB$7,0))</f>
        <v/>
      </c>
    </row>
    <row r="958" ht="14.25" customHeight="1">
      <c r="O958" s="43" t="inlineStr">
        <is>
          <t>Q4’27</t>
        </is>
      </c>
      <c r="P958" s="43" t="n">
        <v>2</v>
      </c>
      <c r="Q958" s="43" t="n">
        <v>5</v>
      </c>
      <c r="R958" s="43" t="n">
        <v>3</v>
      </c>
      <c r="S958" s="45" t="n">
        <v>0</v>
      </c>
      <c r="T958">
        <f>(S956+S957+S958)=U3</f>
        <v/>
      </c>
      <c r="X958" s="84">
        <f>MAX(S955-S958,0)</f>
        <v/>
      </c>
      <c r="Y958" s="83" t="n">
        <v>0</v>
      </c>
      <c r="AA958" s="84" t="n">
        <v>3</v>
      </c>
      <c r="AB958" s="84" t="inlineStr">
        <is>
          <t>B</t>
        </is>
      </c>
      <c r="AC958" s="84" t="inlineStr">
        <is>
          <t>B+</t>
        </is>
      </c>
      <c r="AD958" s="84" t="n">
        <v>15</v>
      </c>
      <c r="AE958" s="84" t="n">
        <v>11</v>
      </c>
      <c r="AF958" s="84" t="n">
        <v>0.76</v>
      </c>
      <c r="AG958" s="84" t="n">
        <v>0.8100000000000001</v>
      </c>
      <c r="AH958" s="84" t="n">
        <v>0</v>
      </c>
      <c r="AI958" s="84" t="n">
        <v>0</v>
      </c>
      <c r="AJ958" s="84">
        <f>SUMIFS(AH$8:AH$1039,$O$8:$O$1039,O958,$AB$8:$AB$1039,AB958,$R$8:$R$1039,R958,$AA$8:$AA$1039,"&lt;="&amp;AA958)</f>
        <v/>
      </c>
      <c r="AK958" s="84">
        <f>E93</f>
        <v/>
      </c>
      <c r="AL958" s="84">
        <f>E99</f>
        <v/>
      </c>
      <c r="AM958" s="84">
        <f>MAX(0,AJ958-AK958)</f>
        <v/>
      </c>
      <c r="AN958" s="84">
        <f>IF(AM958=0,AH958,IF(AM958&gt;=AH958,0,AH958-AM958))</f>
        <v/>
      </c>
      <c r="AO958" s="84">
        <f>IF(AM958&gt;=AH958,AI958,AI958*AM958/AH958)</f>
        <v/>
      </c>
      <c r="AP958">
        <f t="array" ref="AP958">INDEX($AU$8:$BB$25,6*(R958-1)+MATCH(AB958,$AS$8:$AS$13,0),MATCH(O958,$AU$7:$BB$7,0))</f>
        <v/>
      </c>
    </row>
    <row r="959" ht="14.25" customHeight="1">
      <c r="O959" s="43" t="inlineStr">
        <is>
          <t>Q4’27</t>
        </is>
      </c>
      <c r="P959" s="43" t="n">
        <v>2</v>
      </c>
      <c r="Q959" s="43" t="n">
        <v>6</v>
      </c>
      <c r="R959" s="43" t="n">
        <v>1</v>
      </c>
      <c r="S959" s="45" t="n">
        <v>6058.145882352943</v>
      </c>
      <c r="T959">
        <f>(S959+S960+S961)=U3</f>
        <v/>
      </c>
      <c r="X959" s="84">
        <f>MAX(S956-S959,0)</f>
        <v/>
      </c>
      <c r="Y959" s="83" t="n">
        <v>0</v>
      </c>
      <c r="AA959" s="84" t="n">
        <v>5</v>
      </c>
      <c r="AB959" s="84" t="inlineStr">
        <is>
          <t>F</t>
        </is>
      </c>
      <c r="AC959" s="84" t="inlineStr">
        <is>
          <t>F+</t>
        </is>
      </c>
      <c r="AD959" s="84" t="n">
        <v>16</v>
      </c>
      <c r="AE959" s="84" t="n">
        <v>14</v>
      </c>
      <c r="AF959" s="84" t="n">
        <v>0.8</v>
      </c>
      <c r="AG959" s="84" t="n">
        <v>0.9</v>
      </c>
      <c r="AH959" s="84" t="n">
        <v>0</v>
      </c>
      <c r="AI959" s="84" t="n">
        <v>0</v>
      </c>
      <c r="AJ959" s="84">
        <f>SUMIFS(AH$8:AH$1039,$O$8:$O$1039,O959,$AB$8:$AB$1039,AB959,$R$8:$R$1039,R959,$AA$8:$AA$1039,"&lt;="&amp;AA959)</f>
        <v/>
      </c>
      <c r="AK959" s="84">
        <f>C97</f>
        <v/>
      </c>
      <c r="AL959" s="84">
        <f>C103</f>
        <v/>
      </c>
      <c r="AM959" s="84">
        <f>MAX(0,AJ959-AK959)</f>
        <v/>
      </c>
      <c r="AN959" s="84">
        <f>IF(AM959=0,AH959,IF(AM959&gt;=AH959,0,AH959-AM959))</f>
        <v/>
      </c>
      <c r="AO959" s="84">
        <f>IF(AM959&gt;=AH959,AI959,AI959*AM959/AH959)</f>
        <v/>
      </c>
      <c r="AP959">
        <f t="array" ref="AP959">INDEX($AU$8:$BB$25,6*(R959-1)+MATCH(AB959,$AS$8:$AS$13,0),MATCH(O959,$AU$7:$BB$7,0))</f>
        <v/>
      </c>
    </row>
    <row r="960" ht="14.25" customHeight="1">
      <c r="O960" s="43" t="inlineStr">
        <is>
          <t>Q4’27</t>
        </is>
      </c>
      <c r="P960" s="43" t="n">
        <v>2</v>
      </c>
      <c r="Q960" s="43" t="n">
        <v>6</v>
      </c>
      <c r="R960" s="43" t="n">
        <v>2</v>
      </c>
      <c r="S960" s="45" t="n">
        <v>1441.854117647057</v>
      </c>
      <c r="T960">
        <f>(S959+S960+S961)=U3</f>
        <v/>
      </c>
      <c r="X960" s="84">
        <f>MAX(S957-S960,0)</f>
        <v/>
      </c>
      <c r="Y960" s="83" t="n">
        <v>0</v>
      </c>
      <c r="AA960" s="84" t="n">
        <v>5</v>
      </c>
      <c r="AB960" s="84" t="inlineStr">
        <is>
          <t>F</t>
        </is>
      </c>
      <c r="AC960" s="84" t="inlineStr">
        <is>
          <t>F+</t>
        </is>
      </c>
      <c r="AD960" s="84" t="n">
        <v>16</v>
      </c>
      <c r="AE960" s="84" t="n">
        <v>14</v>
      </c>
      <c r="AF960" s="84" t="n">
        <v>0.8</v>
      </c>
      <c r="AG960" s="84" t="n">
        <v>0.9</v>
      </c>
      <c r="AH960" s="84" t="n">
        <v>0</v>
      </c>
      <c r="AI960" s="84" t="n">
        <v>0</v>
      </c>
      <c r="AJ960" s="84">
        <f>SUMIFS(AH$8:AH$1039,$O$8:$O$1039,O960,$AB$8:$AB$1039,AB960,$R$8:$R$1039,R960,$AA$8:$AA$1039,"&lt;="&amp;AA960)</f>
        <v/>
      </c>
      <c r="AK960" s="84">
        <f>D97</f>
        <v/>
      </c>
      <c r="AL960" s="84">
        <f>D103</f>
        <v/>
      </c>
      <c r="AM960" s="84">
        <f>MAX(0,AJ960-AK960)</f>
        <v/>
      </c>
      <c r="AN960" s="84">
        <f>IF(AM960=0,AH960,IF(AM960&gt;=AH960,0,AH960-AM960))</f>
        <v/>
      </c>
      <c r="AO960" s="84">
        <f>IF(AM960&gt;=AH960,AI960,AI960*AM960/AH960)</f>
        <v/>
      </c>
      <c r="AP960">
        <f t="array" ref="AP960">INDEX($AU$8:$BB$25,6*(R960-1)+MATCH(AB960,$AS$8:$AS$13,0),MATCH(O960,$AU$7:$BB$7,0))</f>
        <v/>
      </c>
    </row>
    <row r="961" ht="14.25" customHeight="1">
      <c r="O961" s="43" t="inlineStr">
        <is>
          <t>Q4’27</t>
        </is>
      </c>
      <c r="P961" s="43" t="n">
        <v>2</v>
      </c>
      <c r="Q961" s="43" t="n">
        <v>6</v>
      </c>
      <c r="R961" s="43" t="n">
        <v>3</v>
      </c>
      <c r="S961" s="45" t="n">
        <v>0</v>
      </c>
      <c r="T961">
        <f>(S959+S960+S961)=U3</f>
        <v/>
      </c>
      <c r="X961" s="84">
        <f>MAX(S958-S961,0)</f>
        <v/>
      </c>
      <c r="Y961" s="83" t="n">
        <v>0</v>
      </c>
      <c r="AA961" s="84" t="n">
        <v>5</v>
      </c>
      <c r="AB961" s="84" t="inlineStr">
        <is>
          <t>F</t>
        </is>
      </c>
      <c r="AC961" s="84" t="inlineStr">
        <is>
          <t>F+</t>
        </is>
      </c>
      <c r="AD961" s="84" t="n">
        <v>16</v>
      </c>
      <c r="AE961" s="84" t="n">
        <v>14</v>
      </c>
      <c r="AF961" s="84" t="n">
        <v>0.8</v>
      </c>
      <c r="AG961" s="84" t="n">
        <v>0.9</v>
      </c>
      <c r="AH961" s="84" t="n">
        <v>0</v>
      </c>
      <c r="AI961" s="84" t="n">
        <v>0</v>
      </c>
      <c r="AJ961" s="84">
        <f>SUMIFS(AH$8:AH$1039,$O$8:$O$1039,O961,$AB$8:$AB$1039,AB961,$R$8:$R$1039,R961,$AA$8:$AA$1039,"&lt;="&amp;AA961)</f>
        <v/>
      </c>
      <c r="AK961" s="84">
        <f>E97</f>
        <v/>
      </c>
      <c r="AL961" s="84">
        <f>E103</f>
        <v/>
      </c>
      <c r="AM961" s="84">
        <f>MAX(0,AJ961-AK961)</f>
        <v/>
      </c>
      <c r="AN961" s="84">
        <f>IF(AM961=0,AH961,IF(AM961&gt;=AH961,0,AH961-AM961))</f>
        <v/>
      </c>
      <c r="AO961" s="84">
        <f>IF(AM961&gt;=AH961,AI961,AI961*AM961/AH961)</f>
        <v/>
      </c>
      <c r="AP961">
        <f t="array" ref="AP961">INDEX($AU$8:$BB$25,6*(R961-1)+MATCH(AB961,$AS$8:$AS$13,0),MATCH(O961,$AU$7:$BB$7,0))</f>
        <v/>
      </c>
    </row>
    <row r="962" ht="14.25" customHeight="1">
      <c r="O962" s="43" t="inlineStr">
        <is>
          <t>Q4’27</t>
        </is>
      </c>
      <c r="P962" s="43" t="n">
        <v>2</v>
      </c>
      <c r="Q962" s="43" t="n">
        <v>7</v>
      </c>
      <c r="R962" s="43" t="n">
        <v>1</v>
      </c>
      <c r="S962" s="45" t="n">
        <v>6058.145882352943</v>
      </c>
      <c r="T962">
        <f>(S962+S963+S964)=U3</f>
        <v/>
      </c>
      <c r="X962" s="84">
        <f>MAX(S959-S962,0)</f>
        <v/>
      </c>
      <c r="Y962" s="83" t="n">
        <v>0</v>
      </c>
      <c r="AA962" s="84" t="n">
        <v>4</v>
      </c>
      <c r="AB962" s="84" t="inlineStr">
        <is>
          <t>F</t>
        </is>
      </c>
      <c r="AC962" s="84" t="inlineStr">
        <is>
          <t>F+</t>
        </is>
      </c>
      <c r="AD962" s="84" t="n">
        <v>17</v>
      </c>
      <c r="AE962" s="84" t="n">
        <v>15</v>
      </c>
      <c r="AF962" s="84" t="n">
        <v>0.8</v>
      </c>
      <c r="AG962" s="84" t="n">
        <v>0.9</v>
      </c>
      <c r="AH962" s="84" t="n">
        <v>0</v>
      </c>
      <c r="AI962" s="84" t="n">
        <v>0</v>
      </c>
      <c r="AJ962" s="84">
        <f>SUMIFS(AH$8:AH$1039,$O$8:$O$1039,O962,$AB$8:$AB$1039,AB962,$R$8:$R$1039,R962,$AA$8:$AA$1039,"&lt;="&amp;AA962)</f>
        <v/>
      </c>
      <c r="AK962" s="84">
        <f>C97</f>
        <v/>
      </c>
      <c r="AL962" s="84">
        <f>C103</f>
        <v/>
      </c>
      <c r="AM962" s="84">
        <f>MAX(0,AJ962-AK962)</f>
        <v/>
      </c>
      <c r="AN962" s="84">
        <f>IF(AM962=0,AH962,IF(AM962&gt;=AH962,0,AH962-AM962))</f>
        <v/>
      </c>
      <c r="AO962" s="84">
        <f>IF(AM962&gt;=AH962,AI962,AI962*AM962/AH962)</f>
        <v/>
      </c>
      <c r="AP962">
        <f t="array" ref="AP962">INDEX($AU$8:$BB$25,6*(R962-1)+MATCH(AB962,$AS$8:$AS$13,0),MATCH(O962,$AU$7:$BB$7,0))</f>
        <v/>
      </c>
    </row>
    <row r="963" ht="14.25" customHeight="1">
      <c r="O963" s="43" t="inlineStr">
        <is>
          <t>Q4’27</t>
        </is>
      </c>
      <c r="P963" s="43" t="n">
        <v>2</v>
      </c>
      <c r="Q963" s="43" t="n">
        <v>7</v>
      </c>
      <c r="R963" s="43" t="n">
        <v>2</v>
      </c>
      <c r="S963" s="45" t="n">
        <v>1441.854117647057</v>
      </c>
      <c r="T963">
        <f>(S962+S963+S964)=U3</f>
        <v/>
      </c>
      <c r="X963" s="84">
        <f>MAX(S960-S963,0)</f>
        <v/>
      </c>
      <c r="Y963" s="83" t="n">
        <v>0</v>
      </c>
      <c r="AA963" s="84" t="n">
        <v>4</v>
      </c>
      <c r="AB963" s="84" t="inlineStr">
        <is>
          <t>F</t>
        </is>
      </c>
      <c r="AC963" s="84" t="inlineStr">
        <is>
          <t>F+</t>
        </is>
      </c>
      <c r="AD963" s="84" t="n">
        <v>17</v>
      </c>
      <c r="AE963" s="84" t="n">
        <v>15</v>
      </c>
      <c r="AF963" s="84" t="n">
        <v>0.8</v>
      </c>
      <c r="AG963" s="84" t="n">
        <v>0.9</v>
      </c>
      <c r="AH963" s="84" t="n">
        <v>0</v>
      </c>
      <c r="AI963" s="84" t="n">
        <v>0</v>
      </c>
      <c r="AJ963" s="84">
        <f>SUMIFS(AH$8:AH$1039,$O$8:$O$1039,O963,$AB$8:$AB$1039,AB963,$R$8:$R$1039,R963,$AA$8:$AA$1039,"&lt;="&amp;AA963)</f>
        <v/>
      </c>
      <c r="AK963" s="84">
        <f>D97</f>
        <v/>
      </c>
      <c r="AL963" s="84">
        <f>D103</f>
        <v/>
      </c>
      <c r="AM963" s="84">
        <f>MAX(0,AJ963-AK963)</f>
        <v/>
      </c>
      <c r="AN963" s="84">
        <f>IF(AM963=0,AH963,IF(AM963&gt;=AH963,0,AH963-AM963))</f>
        <v/>
      </c>
      <c r="AO963" s="84">
        <f>IF(AM963&gt;=AH963,AI963,AI963*AM963/AH963)</f>
        <v/>
      </c>
      <c r="AP963">
        <f t="array" ref="AP963">INDEX($AU$8:$BB$25,6*(R963-1)+MATCH(AB963,$AS$8:$AS$13,0),MATCH(O963,$AU$7:$BB$7,0))</f>
        <v/>
      </c>
    </row>
    <row r="964" ht="14.25" customHeight="1">
      <c r="O964" s="43" t="inlineStr">
        <is>
          <t>Q4’27</t>
        </is>
      </c>
      <c r="P964" s="43" t="n">
        <v>2</v>
      </c>
      <c r="Q964" s="43" t="n">
        <v>7</v>
      </c>
      <c r="R964" s="43" t="n">
        <v>3</v>
      </c>
      <c r="S964" s="45" t="n">
        <v>0</v>
      </c>
      <c r="T964">
        <f>(S962+S963+S964)=U3</f>
        <v/>
      </c>
      <c r="X964" s="84">
        <f>MAX(S961-S964,0)</f>
        <v/>
      </c>
      <c r="Y964" s="83" t="n">
        <v>0</v>
      </c>
      <c r="AA964" s="84" t="n">
        <v>4</v>
      </c>
      <c r="AB964" s="84" t="inlineStr">
        <is>
          <t>F</t>
        </is>
      </c>
      <c r="AC964" s="84" t="inlineStr">
        <is>
          <t>F+</t>
        </is>
      </c>
      <c r="AD964" s="84" t="n">
        <v>17</v>
      </c>
      <c r="AE964" s="84" t="n">
        <v>15</v>
      </c>
      <c r="AF964" s="84" t="n">
        <v>0.8</v>
      </c>
      <c r="AG964" s="84" t="n">
        <v>0.9</v>
      </c>
      <c r="AH964" s="84" t="n">
        <v>0</v>
      </c>
      <c r="AI964" s="84" t="n">
        <v>0</v>
      </c>
      <c r="AJ964" s="84">
        <f>SUMIFS(AH$8:AH$1039,$O$8:$O$1039,O964,$AB$8:$AB$1039,AB964,$R$8:$R$1039,R964,$AA$8:$AA$1039,"&lt;="&amp;AA964)</f>
        <v/>
      </c>
      <c r="AK964" s="84">
        <f>E97</f>
        <v/>
      </c>
      <c r="AL964" s="84">
        <f>E103</f>
        <v/>
      </c>
      <c r="AM964" s="84">
        <f>MAX(0,AJ964-AK964)</f>
        <v/>
      </c>
      <c r="AN964" s="84">
        <f>IF(AM964=0,AH964,IF(AM964&gt;=AH964,0,AH964-AM964))</f>
        <v/>
      </c>
      <c r="AO964" s="84">
        <f>IF(AM964&gt;=AH964,AI964,AI964*AM964/AH964)</f>
        <v/>
      </c>
      <c r="AP964">
        <f t="array" ref="AP964">INDEX($AU$8:$BB$25,6*(R964-1)+MATCH(AB964,$AS$8:$AS$13,0),MATCH(O964,$AU$7:$BB$7,0))</f>
        <v/>
      </c>
    </row>
    <row r="965" ht="14.25" customHeight="1">
      <c r="O965" s="43" t="inlineStr">
        <is>
          <t>Q4’27</t>
        </is>
      </c>
      <c r="P965" s="43" t="n">
        <v>2</v>
      </c>
      <c r="Q965" s="43" t="n">
        <v>8</v>
      </c>
      <c r="R965" s="43" t="n">
        <v>1</v>
      </c>
      <c r="S965" s="45" t="n">
        <v>6058.145882352943</v>
      </c>
      <c r="T965">
        <f>(S965+S966+S967)=U3</f>
        <v/>
      </c>
      <c r="X965" s="84">
        <f>MAX(S962-S965,0)</f>
        <v/>
      </c>
      <c r="Y965" s="83" t="n">
        <v>0</v>
      </c>
      <c r="AA965" s="84" t="n">
        <v>4</v>
      </c>
      <c r="AB965" s="84" t="inlineStr">
        <is>
          <t>B</t>
        </is>
      </c>
      <c r="AC965" s="84" t="inlineStr">
        <is>
          <t>B+</t>
        </is>
      </c>
      <c r="AD965" s="84" t="n">
        <v>22</v>
      </c>
      <c r="AE965" s="84" t="n">
        <v>16</v>
      </c>
      <c r="AF965" s="84" t="n">
        <v>0.76</v>
      </c>
      <c r="AG965" s="84" t="n">
        <v>0.8100000000000001</v>
      </c>
      <c r="AH965" s="84" t="n">
        <v>0</v>
      </c>
      <c r="AI965" s="84" t="n">
        <v>0</v>
      </c>
      <c r="AJ965" s="84">
        <f>SUMIFS(AH$8:AH$1039,$O$8:$O$1039,O965,$AB$8:$AB$1039,AB965,$R$8:$R$1039,R965,$AA$8:$AA$1039,"&lt;="&amp;AA965)</f>
        <v/>
      </c>
      <c r="AK965" s="84">
        <f>C93</f>
        <v/>
      </c>
      <c r="AL965" s="84">
        <f>C99</f>
        <v/>
      </c>
      <c r="AM965" s="84">
        <f>MAX(0,AJ965-AK965)</f>
        <v/>
      </c>
      <c r="AN965" s="84">
        <f>IF(AM965=0,AH965,IF(AM965&gt;=AH965,0,AH965-AM965))</f>
        <v/>
      </c>
      <c r="AO965" s="84">
        <f>IF(AM965&gt;=AH965,AI965,AI965*AM965/AH965)</f>
        <v/>
      </c>
      <c r="AP965">
        <f t="array" ref="AP965">INDEX($AU$8:$BB$25,6*(R965-1)+MATCH(AB965,$AS$8:$AS$13,0),MATCH(O965,$AU$7:$BB$7,0))</f>
        <v/>
      </c>
    </row>
    <row r="966" ht="14.25" customHeight="1">
      <c r="O966" s="43" t="inlineStr">
        <is>
          <t>Q4’27</t>
        </is>
      </c>
      <c r="P966" s="43" t="n">
        <v>2</v>
      </c>
      <c r="Q966" s="43" t="n">
        <v>8</v>
      </c>
      <c r="R966" s="43" t="n">
        <v>2</v>
      </c>
      <c r="S966" s="45" t="n">
        <v>1441.854117647057</v>
      </c>
      <c r="T966">
        <f>(S965+S966+S967)=U3</f>
        <v/>
      </c>
      <c r="X966" s="84">
        <f>MAX(S963-S966,0)</f>
        <v/>
      </c>
      <c r="Y966" s="83" t="n">
        <v>0</v>
      </c>
      <c r="AA966" s="84" t="n">
        <v>4</v>
      </c>
      <c r="AB966" s="84" t="inlineStr">
        <is>
          <t>B</t>
        </is>
      </c>
      <c r="AC966" s="84" t="inlineStr">
        <is>
          <t>B+</t>
        </is>
      </c>
      <c r="AD966" s="84" t="n">
        <v>22</v>
      </c>
      <c r="AE966" s="84" t="n">
        <v>16</v>
      </c>
      <c r="AF966" s="84" t="n">
        <v>0.76</v>
      </c>
      <c r="AG966" s="84" t="n">
        <v>0.8100000000000001</v>
      </c>
      <c r="AH966" s="84" t="n">
        <v>0</v>
      </c>
      <c r="AI966" s="84" t="n">
        <v>0</v>
      </c>
      <c r="AJ966" s="84">
        <f>SUMIFS(AH$8:AH$1039,$O$8:$O$1039,O966,$AB$8:$AB$1039,AB966,$R$8:$R$1039,R966,$AA$8:$AA$1039,"&lt;="&amp;AA966)</f>
        <v/>
      </c>
      <c r="AK966" s="84">
        <f>D93</f>
        <v/>
      </c>
      <c r="AL966" s="84">
        <f>D99</f>
        <v/>
      </c>
      <c r="AM966" s="84">
        <f>MAX(0,AJ966-AK966)</f>
        <v/>
      </c>
      <c r="AN966" s="84">
        <f>IF(AM966=0,AH966,IF(AM966&gt;=AH966,0,AH966-AM966))</f>
        <v/>
      </c>
      <c r="AO966" s="84">
        <f>IF(AM966&gt;=AH966,AI966,AI966*AM966/AH966)</f>
        <v/>
      </c>
      <c r="AP966">
        <f t="array" ref="AP966">INDEX($AU$8:$BB$25,6*(R966-1)+MATCH(AB966,$AS$8:$AS$13,0),MATCH(O966,$AU$7:$BB$7,0))</f>
        <v/>
      </c>
    </row>
    <row r="967" ht="14.25" customHeight="1">
      <c r="O967" s="43" t="inlineStr">
        <is>
          <t>Q4’27</t>
        </is>
      </c>
      <c r="P967" s="43" t="n">
        <v>2</v>
      </c>
      <c r="Q967" s="43" t="n">
        <v>8</v>
      </c>
      <c r="R967" s="43" t="n">
        <v>3</v>
      </c>
      <c r="S967" s="45" t="n">
        <v>0</v>
      </c>
      <c r="T967">
        <f>(S965+S966+S967)=U3</f>
        <v/>
      </c>
      <c r="X967" s="84">
        <f>MAX(S964-S967,0)</f>
        <v/>
      </c>
      <c r="Y967" s="83" t="n">
        <v>0</v>
      </c>
      <c r="AA967" s="84" t="n">
        <v>4</v>
      </c>
      <c r="AB967" s="84" t="inlineStr">
        <is>
          <t>B</t>
        </is>
      </c>
      <c r="AC967" s="84" t="inlineStr">
        <is>
          <t>B+</t>
        </is>
      </c>
      <c r="AD967" s="84" t="n">
        <v>22</v>
      </c>
      <c r="AE967" s="84" t="n">
        <v>16</v>
      </c>
      <c r="AF967" s="84" t="n">
        <v>0.76</v>
      </c>
      <c r="AG967" s="84" t="n">
        <v>0.8100000000000001</v>
      </c>
      <c r="AH967" s="84" t="n">
        <v>0</v>
      </c>
      <c r="AI967" s="84" t="n">
        <v>0</v>
      </c>
      <c r="AJ967" s="84">
        <f>SUMIFS(AH$8:AH$1039,$O$8:$O$1039,O967,$AB$8:$AB$1039,AB967,$R$8:$R$1039,R967,$AA$8:$AA$1039,"&lt;="&amp;AA967)</f>
        <v/>
      </c>
      <c r="AK967" s="84">
        <f>E93</f>
        <v/>
      </c>
      <c r="AL967" s="84">
        <f>E99</f>
        <v/>
      </c>
      <c r="AM967" s="84">
        <f>MAX(0,AJ967-AK967)</f>
        <v/>
      </c>
      <c r="AN967" s="84">
        <f>IF(AM967=0,AH967,IF(AM967&gt;=AH967,0,AH967-AM967))</f>
        <v/>
      </c>
      <c r="AO967" s="84">
        <f>IF(AM967&gt;=AH967,AI967,AI967*AM967/AH967)</f>
        <v/>
      </c>
      <c r="AP967">
        <f t="array" ref="AP967">INDEX($AU$8:$BB$25,6*(R967-1)+MATCH(AB967,$AS$8:$AS$13,0),MATCH(O967,$AU$7:$BB$7,0))</f>
        <v/>
      </c>
    </row>
    <row r="968" ht="14.25" customHeight="1">
      <c r="O968" s="43" t="inlineStr">
        <is>
          <t>Q4’27</t>
        </is>
      </c>
      <c r="P968" s="43" t="n">
        <v>2</v>
      </c>
      <c r="Q968" s="43" t="n">
        <v>9</v>
      </c>
      <c r="R968" s="43" t="n">
        <v>1</v>
      </c>
      <c r="S968" s="45" t="n">
        <v>6058.145882352943</v>
      </c>
      <c r="T968">
        <f>(S968+S969+S970)=U3</f>
        <v/>
      </c>
      <c r="X968" s="84">
        <f>MAX(S965-S968,0)</f>
        <v/>
      </c>
      <c r="Y968" s="83" t="n">
        <v>0</v>
      </c>
      <c r="AA968" s="84" t="n">
        <v>4</v>
      </c>
      <c r="AB968" s="84" t="inlineStr">
        <is>
          <t>E</t>
        </is>
      </c>
      <c r="AC968" s="84" t="inlineStr">
        <is>
          <t>E+</t>
        </is>
      </c>
      <c r="AD968" s="84" t="n">
        <v>7</v>
      </c>
      <c r="AE968" s="84" t="n">
        <v>6</v>
      </c>
      <c r="AF968" s="84" t="n">
        <v>0.76</v>
      </c>
      <c r="AG968" s="84" t="n">
        <v>0.84</v>
      </c>
      <c r="AH968" s="84" t="n">
        <v>0</v>
      </c>
      <c r="AI968" s="84" t="n">
        <v>0</v>
      </c>
      <c r="AJ968" s="84">
        <f>SUMIFS(AH$8:AH$1039,$O$8:$O$1039,O968,$AB$8:$AB$1039,AB968,$R$8:$R$1039,R968,$AA$8:$AA$1039,"&lt;="&amp;AA968)</f>
        <v/>
      </c>
      <c r="AK968" s="84">
        <f>C96</f>
        <v/>
      </c>
      <c r="AL968" s="84">
        <f>C102</f>
        <v/>
      </c>
      <c r="AM968" s="84">
        <f>MAX(0,AJ968-AK968)</f>
        <v/>
      </c>
      <c r="AN968" s="84">
        <f>IF(AM968=0,AH968,IF(AM968&gt;=AH968,0,AH968-AM968))</f>
        <v/>
      </c>
      <c r="AO968" s="84">
        <f>IF(AM968&gt;=AH968,AI968,AI968*AM968/AH968)</f>
        <v/>
      </c>
      <c r="AP968">
        <f t="array" ref="AP968">INDEX($AU$8:$BB$25,6*(R968-1)+MATCH(AB968,$AS$8:$AS$13,0),MATCH(O968,$AU$7:$BB$7,0))</f>
        <v/>
      </c>
    </row>
    <row r="969" ht="14.25" customHeight="1">
      <c r="O969" s="43" t="inlineStr">
        <is>
          <t>Q4’27</t>
        </is>
      </c>
      <c r="P969" s="43" t="n">
        <v>2</v>
      </c>
      <c r="Q969" s="43" t="n">
        <v>9</v>
      </c>
      <c r="R969" s="43" t="n">
        <v>2</v>
      </c>
      <c r="S969" s="45" t="n">
        <v>1441.854117647057</v>
      </c>
      <c r="T969">
        <f>(S968+S969+S970)=U3</f>
        <v/>
      </c>
      <c r="X969" s="84">
        <f>MAX(S966-S969,0)</f>
        <v/>
      </c>
      <c r="Y969" s="83" t="n">
        <v>0</v>
      </c>
      <c r="AA969" s="84" t="n">
        <v>4</v>
      </c>
      <c r="AB969" s="84" t="inlineStr">
        <is>
          <t>E</t>
        </is>
      </c>
      <c r="AC969" s="84" t="inlineStr">
        <is>
          <t>E+</t>
        </is>
      </c>
      <c r="AD969" s="84" t="n">
        <v>7</v>
      </c>
      <c r="AE969" s="84" t="n">
        <v>6</v>
      </c>
      <c r="AF969" s="84" t="n">
        <v>0.76</v>
      </c>
      <c r="AG969" s="84" t="n">
        <v>0.84</v>
      </c>
      <c r="AH969" s="84" t="n">
        <v>0</v>
      </c>
      <c r="AI969" s="84" t="n">
        <v>0</v>
      </c>
      <c r="AJ969" s="84">
        <f>SUMIFS(AH$8:AH$1039,$O$8:$O$1039,O969,$AB$8:$AB$1039,AB969,$R$8:$R$1039,R969,$AA$8:$AA$1039,"&lt;="&amp;AA969)</f>
        <v/>
      </c>
      <c r="AK969" s="84">
        <f>D96</f>
        <v/>
      </c>
      <c r="AL969" s="84">
        <f>D102</f>
        <v/>
      </c>
      <c r="AM969" s="84">
        <f>MAX(0,AJ969-AK969)</f>
        <v/>
      </c>
      <c r="AN969" s="84">
        <f>IF(AM969=0,AH969,IF(AM969&gt;=AH969,0,AH969-AM969))</f>
        <v/>
      </c>
      <c r="AO969" s="84">
        <f>IF(AM969&gt;=AH969,AI969,AI969*AM969/AH969)</f>
        <v/>
      </c>
      <c r="AP969">
        <f t="array" ref="AP969">INDEX($AU$8:$BB$25,6*(R969-1)+MATCH(AB969,$AS$8:$AS$13,0),MATCH(O969,$AU$7:$BB$7,0))</f>
        <v/>
      </c>
    </row>
    <row r="970" ht="14.25" customHeight="1">
      <c r="O970" s="43" t="inlineStr">
        <is>
          <t>Q4’27</t>
        </is>
      </c>
      <c r="P970" s="43" t="n">
        <v>2</v>
      </c>
      <c r="Q970" s="43" t="n">
        <v>9</v>
      </c>
      <c r="R970" s="43" t="n">
        <v>3</v>
      </c>
      <c r="S970" s="45" t="n">
        <v>0</v>
      </c>
      <c r="T970">
        <f>(S968+S969+S970)=U3</f>
        <v/>
      </c>
      <c r="X970" s="84">
        <f>MAX(S967-S970,0)</f>
        <v/>
      </c>
      <c r="Y970" s="83" t="n">
        <v>0</v>
      </c>
      <c r="AA970" s="84" t="n">
        <v>4</v>
      </c>
      <c r="AB970" s="84" t="inlineStr">
        <is>
          <t>E</t>
        </is>
      </c>
      <c r="AC970" s="84" t="inlineStr">
        <is>
          <t>E+</t>
        </is>
      </c>
      <c r="AD970" s="84" t="n">
        <v>7</v>
      </c>
      <c r="AE970" s="84" t="n">
        <v>6</v>
      </c>
      <c r="AF970" s="84" t="n">
        <v>0.76</v>
      </c>
      <c r="AG970" s="84" t="n">
        <v>0.84</v>
      </c>
      <c r="AH970" s="84" t="n">
        <v>0</v>
      </c>
      <c r="AI970" s="84" t="n">
        <v>0</v>
      </c>
      <c r="AJ970" s="84">
        <f>SUMIFS(AH$8:AH$1039,$O$8:$O$1039,O970,$AB$8:$AB$1039,AB970,$R$8:$R$1039,R970,$AA$8:$AA$1039,"&lt;="&amp;AA970)</f>
        <v/>
      </c>
      <c r="AK970" s="84">
        <f>E96</f>
        <v/>
      </c>
      <c r="AL970" s="84">
        <f>E102</f>
        <v/>
      </c>
      <c r="AM970" s="84">
        <f>MAX(0,AJ970-AK970)</f>
        <v/>
      </c>
      <c r="AN970" s="84">
        <f>IF(AM970=0,AH970,IF(AM970&gt;=AH970,0,AH970-AM970))</f>
        <v/>
      </c>
      <c r="AO970" s="84">
        <f>IF(AM970&gt;=AH970,AI970,AI970*AM970/AH970)</f>
        <v/>
      </c>
      <c r="AP970">
        <f t="array" ref="AP970">INDEX($AU$8:$BB$25,6*(R970-1)+MATCH(AB970,$AS$8:$AS$13,0),MATCH(O970,$AU$7:$BB$7,0))</f>
        <v/>
      </c>
    </row>
    <row r="971" ht="14.25" customHeight="1">
      <c r="O971" s="43" t="inlineStr">
        <is>
          <t>Q4’27</t>
        </is>
      </c>
      <c r="P971" s="43" t="n">
        <v>2</v>
      </c>
      <c r="Q971" s="43" t="n">
        <v>10</v>
      </c>
      <c r="R971" s="43" t="n">
        <v>1</v>
      </c>
      <c r="S971" s="45" t="n">
        <v>6058.145882352943</v>
      </c>
      <c r="T971">
        <f>(S971+S972+S973)=U3</f>
        <v/>
      </c>
      <c r="X971" s="84">
        <f>MAX(S968-S971,0)</f>
        <v/>
      </c>
      <c r="Y971" s="83" t="n">
        <v>0</v>
      </c>
      <c r="AA971" s="84" t="n">
        <v>6</v>
      </c>
      <c r="AB971" s="84" t="inlineStr">
        <is>
          <t>E</t>
        </is>
      </c>
      <c r="AC971" s="84" t="inlineStr">
        <is>
          <t>E+</t>
        </is>
      </c>
      <c r="AD971" s="84" t="n">
        <v>9</v>
      </c>
      <c r="AE971" s="84" t="n">
        <v>7</v>
      </c>
      <c r="AF971" s="84" t="n">
        <v>0.76</v>
      </c>
      <c r="AG971" s="84" t="n">
        <v>0.84</v>
      </c>
      <c r="AH971" s="84" t="n">
        <v>0</v>
      </c>
      <c r="AI971" s="84" t="n">
        <v>0</v>
      </c>
      <c r="AJ971" s="84">
        <f>SUMIFS(AH$8:AH$1039,$O$8:$O$1039,O971,$AB$8:$AB$1039,AB971,$R$8:$R$1039,R971,$AA$8:$AA$1039,"&lt;="&amp;AA971)</f>
        <v/>
      </c>
      <c r="AK971" s="84">
        <f>C96</f>
        <v/>
      </c>
      <c r="AL971" s="84">
        <f>C102</f>
        <v/>
      </c>
      <c r="AM971" s="84">
        <f>MAX(0,AJ971-AK971)</f>
        <v/>
      </c>
      <c r="AN971" s="84">
        <f>IF(AM971=0,AH971,IF(AM971&gt;=AH971,0,AH971-AM971))</f>
        <v/>
      </c>
      <c r="AO971" s="84">
        <f>IF(AM971&gt;=AH971,AI971,AI971*AM971/AH971)</f>
        <v/>
      </c>
      <c r="AP971">
        <f t="array" ref="AP971">INDEX($AU$8:$BB$25,6*(R971-1)+MATCH(AB971,$AS$8:$AS$13,0),MATCH(O971,$AU$7:$BB$7,0))</f>
        <v/>
      </c>
    </row>
    <row r="972" ht="14.25" customHeight="1">
      <c r="O972" s="43" t="inlineStr">
        <is>
          <t>Q4’27</t>
        </is>
      </c>
      <c r="P972" s="43" t="n">
        <v>2</v>
      </c>
      <c r="Q972" s="43" t="n">
        <v>10</v>
      </c>
      <c r="R972" s="43" t="n">
        <v>2</v>
      </c>
      <c r="S972" s="45" t="n">
        <v>1441.854117647057</v>
      </c>
      <c r="T972">
        <f>(S971+S972+S973)=U3</f>
        <v/>
      </c>
      <c r="X972" s="84">
        <f>MAX(S969-S972,0)</f>
        <v/>
      </c>
      <c r="Y972" s="83" t="n">
        <v>0</v>
      </c>
      <c r="AA972" s="84" t="n">
        <v>6</v>
      </c>
      <c r="AB972" s="84" t="inlineStr">
        <is>
          <t>E</t>
        </is>
      </c>
      <c r="AC972" s="84" t="inlineStr">
        <is>
          <t>E+</t>
        </is>
      </c>
      <c r="AD972" s="84" t="n">
        <v>9</v>
      </c>
      <c r="AE972" s="84" t="n">
        <v>7</v>
      </c>
      <c r="AF972" s="84" t="n">
        <v>0.76</v>
      </c>
      <c r="AG972" s="84" t="n">
        <v>0.84</v>
      </c>
      <c r="AH972" s="84" t="n">
        <v>0</v>
      </c>
      <c r="AI972" s="84" t="n">
        <v>0</v>
      </c>
      <c r="AJ972" s="84">
        <f>SUMIFS(AH$8:AH$1039,$O$8:$O$1039,O972,$AB$8:$AB$1039,AB972,$R$8:$R$1039,R972,$AA$8:$AA$1039,"&lt;="&amp;AA972)</f>
        <v/>
      </c>
      <c r="AK972" s="84">
        <f>D96</f>
        <v/>
      </c>
      <c r="AL972" s="84">
        <f>D102</f>
        <v/>
      </c>
      <c r="AM972" s="84">
        <f>MAX(0,AJ972-AK972)</f>
        <v/>
      </c>
      <c r="AN972" s="84">
        <f>IF(AM972=0,AH972,IF(AM972&gt;=AH972,0,AH972-AM972))</f>
        <v/>
      </c>
      <c r="AO972" s="84">
        <f>IF(AM972&gt;=AH972,AI972,AI972*AM972/AH972)</f>
        <v/>
      </c>
      <c r="AP972">
        <f t="array" ref="AP972">INDEX($AU$8:$BB$25,6*(R972-1)+MATCH(AB972,$AS$8:$AS$13,0),MATCH(O972,$AU$7:$BB$7,0))</f>
        <v/>
      </c>
    </row>
    <row r="973" ht="14.25" customHeight="1">
      <c r="O973" s="43" t="inlineStr">
        <is>
          <t>Q4’27</t>
        </is>
      </c>
      <c r="P973" s="43" t="n">
        <v>2</v>
      </c>
      <c r="Q973" s="43" t="n">
        <v>10</v>
      </c>
      <c r="R973" s="43" t="n">
        <v>3</v>
      </c>
      <c r="S973" s="45" t="n">
        <v>0</v>
      </c>
      <c r="T973">
        <f>(S971+S972+S973)=U3</f>
        <v/>
      </c>
      <c r="X973" s="84">
        <f>MAX(S970-S973,0)</f>
        <v/>
      </c>
      <c r="Y973" s="83" t="n">
        <v>0</v>
      </c>
      <c r="AA973" s="84" t="n">
        <v>6</v>
      </c>
      <c r="AB973" s="84" t="inlineStr">
        <is>
          <t>E</t>
        </is>
      </c>
      <c r="AC973" s="84" t="inlineStr">
        <is>
          <t>E+</t>
        </is>
      </c>
      <c r="AD973" s="84" t="n">
        <v>9</v>
      </c>
      <c r="AE973" s="84" t="n">
        <v>7</v>
      </c>
      <c r="AF973" s="84" t="n">
        <v>0.76</v>
      </c>
      <c r="AG973" s="84" t="n">
        <v>0.84</v>
      </c>
      <c r="AH973" s="84" t="n">
        <v>0</v>
      </c>
      <c r="AI973" s="84" t="n">
        <v>0</v>
      </c>
      <c r="AJ973" s="84">
        <f>SUMIFS(AH$8:AH$1039,$O$8:$O$1039,O973,$AB$8:$AB$1039,AB973,$R$8:$R$1039,R973,$AA$8:$AA$1039,"&lt;="&amp;AA973)</f>
        <v/>
      </c>
      <c r="AK973" s="84">
        <f>E96</f>
        <v/>
      </c>
      <c r="AL973" s="84">
        <f>E102</f>
        <v/>
      </c>
      <c r="AM973" s="84">
        <f>MAX(0,AJ973-AK973)</f>
        <v/>
      </c>
      <c r="AN973" s="84">
        <f>IF(AM973=0,AH973,IF(AM973&gt;=AH973,0,AH973-AM973))</f>
        <v/>
      </c>
      <c r="AO973" s="84">
        <f>IF(AM973&gt;=AH973,AI973,AI973*AM973/AH973)</f>
        <v/>
      </c>
      <c r="AP973">
        <f t="array" ref="AP973">INDEX($AU$8:$BB$25,6*(R973-1)+MATCH(AB973,$AS$8:$AS$13,0),MATCH(O973,$AU$7:$BB$7,0))</f>
        <v/>
      </c>
    </row>
    <row r="974" ht="14.25" customHeight="1">
      <c r="O974" s="43" t="inlineStr">
        <is>
          <t>Q4’27</t>
        </is>
      </c>
      <c r="P974" s="43" t="n">
        <v>2</v>
      </c>
      <c r="Q974" s="43" t="n">
        <v>11</v>
      </c>
      <c r="R974" s="43" t="n">
        <v>1</v>
      </c>
      <c r="S974" s="45" t="n">
        <v>6058.145882355657</v>
      </c>
      <c r="T974">
        <f>(S974+S975+S976)=U3</f>
        <v/>
      </c>
      <c r="X974" s="84">
        <f>MAX(S971-S974,0)</f>
        <v/>
      </c>
      <c r="Y974" s="83" t="n">
        <v>0</v>
      </c>
      <c r="AA974" s="84" t="n">
        <v>2</v>
      </c>
      <c r="AB974" s="84" t="inlineStr">
        <is>
          <t>E</t>
        </is>
      </c>
      <c r="AC974" s="84" t="inlineStr">
        <is>
          <t>E+</t>
        </is>
      </c>
      <c r="AD974" s="84" t="n">
        <v>20</v>
      </c>
      <c r="AE974" s="84" t="n">
        <v>19</v>
      </c>
      <c r="AF974" s="84" t="n">
        <v>0.76</v>
      </c>
      <c r="AG974" s="84" t="n">
        <v>0.84</v>
      </c>
      <c r="AH974" s="84" t="n">
        <v>0</v>
      </c>
      <c r="AI974" s="84" t="n">
        <v>0</v>
      </c>
      <c r="AJ974" s="84">
        <f>SUMIFS(AH$8:AH$1039,$O$8:$O$1039,O974,$AB$8:$AB$1039,AB974,$R$8:$R$1039,R974,$AA$8:$AA$1039,"&lt;="&amp;AA974)</f>
        <v/>
      </c>
      <c r="AK974" s="84">
        <f>C96</f>
        <v/>
      </c>
      <c r="AL974" s="84">
        <f>C102</f>
        <v/>
      </c>
      <c r="AM974" s="84">
        <f>MAX(0,AJ974-AK974)</f>
        <v/>
      </c>
      <c r="AN974" s="84">
        <f>IF(AM974=0,AH974,IF(AM974&gt;=AH974,0,AH974-AM974))</f>
        <v/>
      </c>
      <c r="AO974" s="84">
        <f>IF(AM974&gt;=AH974,AI974,AI974*AM974/AH974)</f>
        <v/>
      </c>
      <c r="AP974">
        <f t="array" ref="AP974">INDEX($AU$8:$BB$25,6*(R974-1)+MATCH(AB974,$AS$8:$AS$13,0),MATCH(O974,$AU$7:$BB$7,0))</f>
        <v/>
      </c>
    </row>
    <row r="975" ht="14.25" customHeight="1">
      <c r="O975" s="43" t="inlineStr">
        <is>
          <t>Q4’27</t>
        </is>
      </c>
      <c r="P975" s="43" t="n">
        <v>2</v>
      </c>
      <c r="Q975" s="43" t="n">
        <v>11</v>
      </c>
      <c r="R975" s="43" t="n">
        <v>2</v>
      </c>
      <c r="S975" s="45" t="n">
        <v>1441.854117644343</v>
      </c>
      <c r="T975">
        <f>(S974+S975+S976)=U3</f>
        <v/>
      </c>
      <c r="X975" s="84">
        <f>MAX(S972-S975,0)</f>
        <v/>
      </c>
      <c r="Y975" s="83" t="n">
        <v>0</v>
      </c>
      <c r="AA975" s="84" t="n">
        <v>2</v>
      </c>
      <c r="AB975" s="84" t="inlineStr">
        <is>
          <t>E</t>
        </is>
      </c>
      <c r="AC975" s="84" t="inlineStr">
        <is>
          <t>E+</t>
        </is>
      </c>
      <c r="AD975" s="84" t="n">
        <v>20</v>
      </c>
      <c r="AE975" s="84" t="n">
        <v>19</v>
      </c>
      <c r="AF975" s="84" t="n">
        <v>0.76</v>
      </c>
      <c r="AG975" s="84" t="n">
        <v>0.84</v>
      </c>
      <c r="AH975" s="84" t="n">
        <v>0</v>
      </c>
      <c r="AI975" s="84" t="n">
        <v>0</v>
      </c>
      <c r="AJ975" s="84">
        <f>SUMIFS(AH$8:AH$1039,$O$8:$O$1039,O975,$AB$8:$AB$1039,AB975,$R$8:$R$1039,R975,$AA$8:$AA$1039,"&lt;="&amp;AA975)</f>
        <v/>
      </c>
      <c r="AK975" s="84">
        <f>D96</f>
        <v/>
      </c>
      <c r="AL975" s="84">
        <f>D102</f>
        <v/>
      </c>
      <c r="AM975" s="84">
        <f>MAX(0,AJ975-AK975)</f>
        <v/>
      </c>
      <c r="AN975" s="84">
        <f>IF(AM975=0,AH975,IF(AM975&gt;=AH975,0,AH975-AM975))</f>
        <v/>
      </c>
      <c r="AO975" s="84">
        <f>IF(AM975&gt;=AH975,AI975,AI975*AM975/AH975)</f>
        <v/>
      </c>
      <c r="AP975">
        <f t="array" ref="AP975">INDEX($AU$8:$BB$25,6*(R975-1)+MATCH(AB975,$AS$8:$AS$13,0),MATCH(O975,$AU$7:$BB$7,0))</f>
        <v/>
      </c>
    </row>
    <row r="976" ht="14.25" customHeight="1">
      <c r="O976" s="43" t="inlineStr">
        <is>
          <t>Q4’27</t>
        </is>
      </c>
      <c r="P976" s="43" t="n">
        <v>2</v>
      </c>
      <c r="Q976" s="43" t="n">
        <v>11</v>
      </c>
      <c r="R976" s="43" t="n">
        <v>3</v>
      </c>
      <c r="S976" s="45" t="n">
        <v>0</v>
      </c>
      <c r="T976">
        <f>(S974+S975+S976)=U3</f>
        <v/>
      </c>
      <c r="X976" s="84">
        <f>MAX(S973-S976,0)</f>
        <v/>
      </c>
      <c r="Y976" s="83" t="n">
        <v>0</v>
      </c>
      <c r="AA976" s="84" t="n">
        <v>2</v>
      </c>
      <c r="AB976" s="84" t="inlineStr">
        <is>
          <t>E</t>
        </is>
      </c>
      <c r="AC976" s="84" t="inlineStr">
        <is>
          <t>E+</t>
        </is>
      </c>
      <c r="AD976" s="84" t="n">
        <v>20</v>
      </c>
      <c r="AE976" s="84" t="n">
        <v>19</v>
      </c>
      <c r="AF976" s="84" t="n">
        <v>0.76</v>
      </c>
      <c r="AG976" s="84" t="n">
        <v>0.84</v>
      </c>
      <c r="AH976" s="84" t="n">
        <v>0</v>
      </c>
      <c r="AI976" s="84" t="n">
        <v>0</v>
      </c>
      <c r="AJ976" s="84">
        <f>SUMIFS(AH$8:AH$1039,$O$8:$O$1039,O976,$AB$8:$AB$1039,AB976,$R$8:$R$1039,R976,$AA$8:$AA$1039,"&lt;="&amp;AA976)</f>
        <v/>
      </c>
      <c r="AK976" s="84">
        <f>E96</f>
        <v/>
      </c>
      <c r="AL976" s="84">
        <f>E102</f>
        <v/>
      </c>
      <c r="AM976" s="84">
        <f>MAX(0,AJ976-AK976)</f>
        <v/>
      </c>
      <c r="AN976" s="84">
        <f>IF(AM976=0,AH976,IF(AM976&gt;=AH976,0,AH976-AM976))</f>
        <v/>
      </c>
      <c r="AO976" s="84">
        <f>IF(AM976&gt;=AH976,AI976,AI976*AM976/AH976)</f>
        <v/>
      </c>
      <c r="AP976">
        <f t="array" ref="AP976">INDEX($AU$8:$BB$25,6*(R976-1)+MATCH(AB976,$AS$8:$AS$13,0),MATCH(O976,$AU$7:$BB$7,0))</f>
        <v/>
      </c>
    </row>
    <row r="977" ht="14.25" customHeight="1">
      <c r="O977" s="43" t="inlineStr">
        <is>
          <t>Q4’27</t>
        </is>
      </c>
      <c r="P977" s="43" t="n">
        <v>2</v>
      </c>
      <c r="Q977" s="43" t="n">
        <v>12</v>
      </c>
      <c r="R977" s="43" t="n">
        <v>1</v>
      </c>
      <c r="S977" s="45" t="n">
        <v>6058.145882355657</v>
      </c>
      <c r="T977">
        <f>(S977+S978+S979)=U3</f>
        <v/>
      </c>
      <c r="X977" s="84">
        <f>MAX(S974-S977,0)</f>
        <v/>
      </c>
      <c r="Y977" s="83" t="n">
        <v>0</v>
      </c>
      <c r="AA977" s="84" t="n">
        <v>7</v>
      </c>
      <c r="AB977" s="84" t="inlineStr">
        <is>
          <t>F</t>
        </is>
      </c>
      <c r="AC977" s="84" t="inlineStr">
        <is>
          <t>F+</t>
        </is>
      </c>
      <c r="AD977" s="84" t="n">
        <v>21</v>
      </c>
      <c r="AE977" s="84" t="n">
        <v>18</v>
      </c>
      <c r="AF977" s="84" t="n">
        <v>0.8</v>
      </c>
      <c r="AG977" s="84" t="n">
        <v>0.9</v>
      </c>
      <c r="AH977" s="84" t="n">
        <v>0</v>
      </c>
      <c r="AI977" s="84" t="n">
        <v>0</v>
      </c>
      <c r="AJ977" s="84">
        <f>SUMIFS(AH$8:AH$1039,$O$8:$O$1039,O977,$AB$8:$AB$1039,AB977,$R$8:$R$1039,R977,$AA$8:$AA$1039,"&lt;="&amp;AA977)</f>
        <v/>
      </c>
      <c r="AK977" s="84">
        <f>C97</f>
        <v/>
      </c>
      <c r="AL977" s="84">
        <f>C103</f>
        <v/>
      </c>
      <c r="AM977" s="84">
        <f>MAX(0,AJ977-AK977)</f>
        <v/>
      </c>
      <c r="AN977" s="84">
        <f>IF(AM977=0,AH977,IF(AM977&gt;=AH977,0,AH977-AM977))</f>
        <v/>
      </c>
      <c r="AO977" s="84">
        <f>IF(AM977&gt;=AH977,AI977,AI977*AM977/AH977)</f>
        <v/>
      </c>
      <c r="AP977">
        <f t="array" ref="AP977">INDEX($AU$8:$BB$25,6*(R977-1)+MATCH(AB977,$AS$8:$AS$13,0),MATCH(O977,$AU$7:$BB$7,0))</f>
        <v/>
      </c>
    </row>
    <row r="978" ht="14.25" customHeight="1">
      <c r="O978" s="43" t="inlineStr">
        <is>
          <t>Q4’27</t>
        </is>
      </c>
      <c r="P978" s="43" t="n">
        <v>2</v>
      </c>
      <c r="Q978" s="43" t="n">
        <v>12</v>
      </c>
      <c r="R978" s="43" t="n">
        <v>2</v>
      </c>
      <c r="S978" s="45" t="n">
        <v>1441.854117644343</v>
      </c>
      <c r="T978">
        <f>(S977+S978+S979)=U3</f>
        <v/>
      </c>
      <c r="X978" s="84">
        <f>MAX(S975-S978,0)</f>
        <v/>
      </c>
      <c r="Y978" s="83" t="n">
        <v>0</v>
      </c>
      <c r="AA978" s="84" t="n">
        <v>7</v>
      </c>
      <c r="AB978" s="84" t="inlineStr">
        <is>
          <t>F</t>
        </is>
      </c>
      <c r="AC978" s="84" t="inlineStr">
        <is>
          <t>F+</t>
        </is>
      </c>
      <c r="AD978" s="84" t="n">
        <v>21</v>
      </c>
      <c r="AE978" s="84" t="n">
        <v>18</v>
      </c>
      <c r="AF978" s="84" t="n">
        <v>0.8</v>
      </c>
      <c r="AG978" s="84" t="n">
        <v>0.9</v>
      </c>
      <c r="AH978" s="84" t="n">
        <v>0</v>
      </c>
      <c r="AI978" s="84" t="n">
        <v>0</v>
      </c>
      <c r="AJ978" s="84">
        <f>SUMIFS(AH$8:AH$1039,$O$8:$O$1039,O978,$AB$8:$AB$1039,AB978,$R$8:$R$1039,R978,$AA$8:$AA$1039,"&lt;="&amp;AA978)</f>
        <v/>
      </c>
      <c r="AK978" s="84">
        <f>D97</f>
        <v/>
      </c>
      <c r="AL978" s="84">
        <f>D103</f>
        <v/>
      </c>
      <c r="AM978" s="84">
        <f>MAX(0,AJ978-AK978)</f>
        <v/>
      </c>
      <c r="AN978" s="84">
        <f>IF(AM978=0,AH978,IF(AM978&gt;=AH978,0,AH978-AM978))</f>
        <v/>
      </c>
      <c r="AO978" s="84">
        <f>IF(AM978&gt;=AH978,AI978,AI978*AM978/AH978)</f>
        <v/>
      </c>
      <c r="AP978">
        <f t="array" ref="AP978">INDEX($AU$8:$BB$25,6*(R978-1)+MATCH(AB978,$AS$8:$AS$13,0),MATCH(O978,$AU$7:$BB$7,0))</f>
        <v/>
      </c>
    </row>
    <row r="979" ht="14.25" customHeight="1">
      <c r="O979" s="43" t="inlineStr">
        <is>
          <t>Q4’27</t>
        </is>
      </c>
      <c r="P979" s="43" t="n">
        <v>2</v>
      </c>
      <c r="Q979" s="43" t="n">
        <v>12</v>
      </c>
      <c r="R979" s="43" t="n">
        <v>3</v>
      </c>
      <c r="S979" s="45" t="n">
        <v>0</v>
      </c>
      <c r="T979">
        <f>(S977+S978+S979)=U3</f>
        <v/>
      </c>
      <c r="X979" s="84">
        <f>MAX(S976-S979,0)</f>
        <v/>
      </c>
      <c r="Y979" s="83" t="n">
        <v>0</v>
      </c>
      <c r="AA979" s="84" t="n">
        <v>7</v>
      </c>
      <c r="AB979" s="84" t="inlineStr">
        <is>
          <t>F</t>
        </is>
      </c>
      <c r="AC979" s="84" t="inlineStr">
        <is>
          <t>F+</t>
        </is>
      </c>
      <c r="AD979" s="84" t="n">
        <v>21</v>
      </c>
      <c r="AE979" s="84" t="n">
        <v>18</v>
      </c>
      <c r="AF979" s="84" t="n">
        <v>0.8</v>
      </c>
      <c r="AG979" s="84" t="n">
        <v>0.9</v>
      </c>
      <c r="AH979" s="84" t="n">
        <v>0</v>
      </c>
      <c r="AI979" s="84" t="n">
        <v>0</v>
      </c>
      <c r="AJ979" s="84">
        <f>SUMIFS(AH$8:AH$1039,$O$8:$O$1039,O979,$AB$8:$AB$1039,AB979,$R$8:$R$1039,R979,$AA$8:$AA$1039,"&lt;="&amp;AA979)</f>
        <v/>
      </c>
      <c r="AK979" s="84">
        <f>E97</f>
        <v/>
      </c>
      <c r="AL979" s="84">
        <f>E103</f>
        <v/>
      </c>
      <c r="AM979" s="84">
        <f>MAX(0,AJ979-AK979)</f>
        <v/>
      </c>
      <c r="AN979" s="84">
        <f>IF(AM979=0,AH979,IF(AM979&gt;=AH979,0,AH979-AM979))</f>
        <v/>
      </c>
      <c r="AO979" s="84">
        <f>IF(AM979&gt;=AH979,AI979,AI979*AM979/AH979)</f>
        <v/>
      </c>
      <c r="AP979">
        <f t="array" ref="AP979">INDEX($AU$8:$BB$25,6*(R979-1)+MATCH(AB979,$AS$8:$AS$13,0),MATCH(O979,$AU$7:$BB$7,0))</f>
        <v/>
      </c>
    </row>
    <row r="980" ht="14.25" customHeight="1">
      <c r="O980" s="43" t="inlineStr">
        <is>
          <t>Q4’27</t>
        </is>
      </c>
      <c r="P980" s="43" t="n">
        <v>2</v>
      </c>
      <c r="Q980" s="43" t="n">
        <v>13</v>
      </c>
      <c r="R980" s="43" t="n">
        <v>1</v>
      </c>
      <c r="S980" s="45" t="n">
        <v>5621.076739683541</v>
      </c>
      <c r="T980">
        <f>(S980+S981+S982)=U3</f>
        <v/>
      </c>
      <c r="X980" s="84">
        <f>MAX(S977-S980,0)</f>
        <v/>
      </c>
      <c r="Y980" s="83" t="n">
        <v>0</v>
      </c>
      <c r="AA980" s="84" t="n">
        <v>8</v>
      </c>
      <c r="AB980" s="84" t="inlineStr">
        <is>
          <t>E</t>
        </is>
      </c>
      <c r="AC980" s="84" t="inlineStr">
        <is>
          <t>E+</t>
        </is>
      </c>
      <c r="AD980" s="84" t="n">
        <v>12</v>
      </c>
      <c r="AE980" s="84" t="n">
        <v>9</v>
      </c>
      <c r="AF980" s="84" t="n">
        <v>0.76</v>
      </c>
      <c r="AG980" s="84" t="n">
        <v>0.84</v>
      </c>
      <c r="AH980" s="84" t="n">
        <v>0</v>
      </c>
      <c r="AI980" s="84" t="n">
        <v>0</v>
      </c>
      <c r="AJ980" s="84">
        <f>SUMIFS(AH$8:AH$1039,$O$8:$O$1039,O980,$AB$8:$AB$1039,AB980,$R$8:$R$1039,R980,$AA$8:$AA$1039,"&lt;="&amp;AA980)</f>
        <v/>
      </c>
      <c r="AK980" s="84">
        <f>C96</f>
        <v/>
      </c>
      <c r="AL980" s="84">
        <f>C102</f>
        <v/>
      </c>
      <c r="AM980" s="84">
        <f>MAX(0,AJ980-AK980)</f>
        <v/>
      </c>
      <c r="AN980" s="84">
        <f>IF(AM980=0,AH980,IF(AM980&gt;=AH980,0,AH980-AM980))</f>
        <v/>
      </c>
      <c r="AO980" s="84">
        <f>IF(AM980&gt;=AH980,AI980,AI980*AM980/AH980)</f>
        <v/>
      </c>
      <c r="AP980">
        <f t="array" ref="AP980">INDEX($AU$8:$BB$25,6*(R980-1)+MATCH(AB980,$AS$8:$AS$13,0),MATCH(O980,$AU$7:$BB$7,0))</f>
        <v/>
      </c>
    </row>
    <row r="981" ht="14.25" customHeight="1">
      <c r="O981" s="43" t="inlineStr">
        <is>
          <t>Q4’27</t>
        </is>
      </c>
      <c r="P981" s="43" t="n">
        <v>2</v>
      </c>
      <c r="Q981" s="43" t="n">
        <v>13</v>
      </c>
      <c r="R981" s="43" t="n">
        <v>2</v>
      </c>
      <c r="S981" s="45" t="n">
        <v>1878.923260316459</v>
      </c>
      <c r="T981">
        <f>(S980+S981+S982)=U3</f>
        <v/>
      </c>
      <c r="X981" s="84">
        <f>MAX(S978-S981,0)</f>
        <v/>
      </c>
      <c r="Y981" s="83" t="n">
        <v>0</v>
      </c>
      <c r="AA981" s="84" t="n">
        <v>8</v>
      </c>
      <c r="AB981" s="84" t="inlineStr">
        <is>
          <t>E</t>
        </is>
      </c>
      <c r="AC981" s="84" t="inlineStr">
        <is>
          <t>E+</t>
        </is>
      </c>
      <c r="AD981" s="84" t="n">
        <v>12</v>
      </c>
      <c r="AE981" s="84" t="n">
        <v>9</v>
      </c>
      <c r="AF981" s="84" t="n">
        <v>0.76</v>
      </c>
      <c r="AG981" s="84" t="n">
        <v>0.84</v>
      </c>
      <c r="AH981" s="84" t="n">
        <v>0</v>
      </c>
      <c r="AI981" s="84" t="n">
        <v>0</v>
      </c>
      <c r="AJ981" s="84">
        <f>SUMIFS(AH$8:AH$1039,$O$8:$O$1039,O981,$AB$8:$AB$1039,AB981,$R$8:$R$1039,R981,$AA$8:$AA$1039,"&lt;="&amp;AA981)</f>
        <v/>
      </c>
      <c r="AK981" s="84">
        <f>D96</f>
        <v/>
      </c>
      <c r="AL981" s="84">
        <f>D102</f>
        <v/>
      </c>
      <c r="AM981" s="84">
        <f>MAX(0,AJ981-AK981)</f>
        <v/>
      </c>
      <c r="AN981" s="84">
        <f>IF(AM981=0,AH981,IF(AM981&gt;=AH981,0,AH981-AM981))</f>
        <v/>
      </c>
      <c r="AO981" s="84">
        <f>IF(AM981&gt;=AH981,AI981,AI981*AM981/AH981)</f>
        <v/>
      </c>
      <c r="AP981">
        <f t="array" ref="AP981">INDEX($AU$8:$BB$25,6*(R981-1)+MATCH(AB981,$AS$8:$AS$13,0),MATCH(O981,$AU$7:$BB$7,0))</f>
        <v/>
      </c>
    </row>
    <row r="982" ht="14.25" customHeight="1">
      <c r="O982" s="43" t="inlineStr">
        <is>
          <t>Q4’27</t>
        </is>
      </c>
      <c r="P982" s="43" t="n">
        <v>2</v>
      </c>
      <c r="Q982" s="43" t="n">
        <v>13</v>
      </c>
      <c r="R982" s="43" t="n">
        <v>3</v>
      </c>
      <c r="S982" s="45" t="n">
        <v>0</v>
      </c>
      <c r="T982">
        <f>(S980+S981+S982)=U3</f>
        <v/>
      </c>
      <c r="X982" s="84">
        <f>MAX(S979-S982,0)</f>
        <v/>
      </c>
      <c r="Y982" s="83" t="n">
        <v>0</v>
      </c>
      <c r="AA982" s="84" t="n">
        <v>8</v>
      </c>
      <c r="AB982" s="84" t="inlineStr">
        <is>
          <t>E</t>
        </is>
      </c>
      <c r="AC982" s="84" t="inlineStr">
        <is>
          <t>E+</t>
        </is>
      </c>
      <c r="AD982" s="84" t="n">
        <v>12</v>
      </c>
      <c r="AE982" s="84" t="n">
        <v>9</v>
      </c>
      <c r="AF982" s="84" t="n">
        <v>0.76</v>
      </c>
      <c r="AG982" s="84" t="n">
        <v>0.84</v>
      </c>
      <c r="AH982" s="84" t="n">
        <v>0</v>
      </c>
      <c r="AI982" s="84" t="n">
        <v>0</v>
      </c>
      <c r="AJ982" s="84">
        <f>SUMIFS(AH$8:AH$1039,$O$8:$O$1039,O982,$AB$8:$AB$1039,AB982,$R$8:$R$1039,R982,$AA$8:$AA$1039,"&lt;="&amp;AA982)</f>
        <v/>
      </c>
      <c r="AK982" s="84">
        <f>E96</f>
        <v/>
      </c>
      <c r="AL982" s="84">
        <f>E102</f>
        <v/>
      </c>
      <c r="AM982" s="84">
        <f>MAX(0,AJ982-AK982)</f>
        <v/>
      </c>
      <c r="AN982" s="84">
        <f>IF(AM982=0,AH982,IF(AM982&gt;=AH982,0,AH982-AM982))</f>
        <v/>
      </c>
      <c r="AO982" s="84">
        <f>IF(AM982&gt;=AH982,AI982,AI982*AM982/AH982)</f>
        <v/>
      </c>
      <c r="AP982">
        <f t="array" ref="AP982">INDEX($AU$8:$BB$25,6*(R982-1)+MATCH(AB982,$AS$8:$AS$13,0),MATCH(O982,$AU$7:$BB$7,0))</f>
        <v/>
      </c>
    </row>
    <row r="983" ht="14.25" customHeight="1">
      <c r="O983" s="43" t="inlineStr">
        <is>
          <t>Q4’27</t>
        </is>
      </c>
      <c r="P983" s="43" t="n">
        <v>2</v>
      </c>
      <c r="Q983" s="43" t="n">
        <v>14</v>
      </c>
      <c r="R983" s="43" t="n">
        <v>1</v>
      </c>
      <c r="S983" s="45" t="n">
        <v>5621.076739683541</v>
      </c>
      <c r="T983">
        <f>(S983+S984+S985)=U3</f>
        <v/>
      </c>
      <c r="X983" s="84">
        <f>MAX(S980-S983,0)</f>
        <v/>
      </c>
      <c r="Y983" s="83" t="n">
        <v>0</v>
      </c>
      <c r="AA983" s="84" t="n">
        <v>5</v>
      </c>
      <c r="AB983" s="84" t="inlineStr">
        <is>
          <t>E</t>
        </is>
      </c>
      <c r="AC983" s="84" t="inlineStr">
        <is>
          <t>E+</t>
        </is>
      </c>
      <c r="AD983" s="84" t="n">
        <v>15</v>
      </c>
      <c r="AE983" s="84" t="n">
        <v>12</v>
      </c>
      <c r="AF983" s="84" t="n">
        <v>0.76</v>
      </c>
      <c r="AG983" s="84" t="n">
        <v>0.84</v>
      </c>
      <c r="AH983" s="84" t="n">
        <v>0</v>
      </c>
      <c r="AI983" s="84" t="n">
        <v>0</v>
      </c>
      <c r="AJ983" s="84">
        <f>SUMIFS(AH$8:AH$1039,$O$8:$O$1039,O983,$AB$8:$AB$1039,AB983,$R$8:$R$1039,R983,$AA$8:$AA$1039,"&lt;="&amp;AA983)</f>
        <v/>
      </c>
      <c r="AK983" s="84">
        <f>C96</f>
        <v/>
      </c>
      <c r="AL983" s="84">
        <f>C102</f>
        <v/>
      </c>
      <c r="AM983" s="84">
        <f>MAX(0,AJ983-AK983)</f>
        <v/>
      </c>
      <c r="AN983" s="84">
        <f>IF(AM983=0,AH983,IF(AM983&gt;=AH983,0,AH983-AM983))</f>
        <v/>
      </c>
      <c r="AO983" s="84">
        <f>IF(AM983&gt;=AH983,AI983,AI983*AM983/AH983)</f>
        <v/>
      </c>
      <c r="AP983">
        <f t="array" ref="AP983">INDEX($AU$8:$BB$25,6*(R983-1)+MATCH(AB983,$AS$8:$AS$13,0),MATCH(O983,$AU$7:$BB$7,0))</f>
        <v/>
      </c>
    </row>
    <row r="984" ht="14.25" customHeight="1">
      <c r="O984" s="43" t="inlineStr">
        <is>
          <t>Q4’27</t>
        </is>
      </c>
      <c r="P984" s="43" t="n">
        <v>2</v>
      </c>
      <c r="Q984" s="43" t="n">
        <v>14</v>
      </c>
      <c r="R984" s="43" t="n">
        <v>2</v>
      </c>
      <c r="S984" s="45" t="n">
        <v>1878.923260316459</v>
      </c>
      <c r="T984">
        <f>(S983+S984+S985)=U3</f>
        <v/>
      </c>
      <c r="X984" s="84">
        <f>MAX(S981-S984,0)</f>
        <v/>
      </c>
      <c r="Y984" s="83" t="n">
        <v>0</v>
      </c>
      <c r="AA984" s="84" t="n">
        <v>5</v>
      </c>
      <c r="AB984" s="84" t="inlineStr">
        <is>
          <t>E</t>
        </is>
      </c>
      <c r="AC984" s="84" t="inlineStr">
        <is>
          <t>E+</t>
        </is>
      </c>
      <c r="AD984" s="84" t="n">
        <v>15</v>
      </c>
      <c r="AE984" s="84" t="n">
        <v>12</v>
      </c>
      <c r="AF984" s="84" t="n">
        <v>0.76</v>
      </c>
      <c r="AG984" s="84" t="n">
        <v>0.84</v>
      </c>
      <c r="AH984" s="84" t="n">
        <v>0</v>
      </c>
      <c r="AI984" s="84" t="n">
        <v>0</v>
      </c>
      <c r="AJ984" s="84">
        <f>SUMIFS(AH$8:AH$1039,$O$8:$O$1039,O984,$AB$8:$AB$1039,AB984,$R$8:$R$1039,R984,$AA$8:$AA$1039,"&lt;="&amp;AA984)</f>
        <v/>
      </c>
      <c r="AK984" s="84">
        <f>D96</f>
        <v/>
      </c>
      <c r="AL984" s="84">
        <f>D102</f>
        <v/>
      </c>
      <c r="AM984" s="84">
        <f>MAX(0,AJ984-AK984)</f>
        <v/>
      </c>
      <c r="AN984" s="84">
        <f>IF(AM984=0,AH984,IF(AM984&gt;=AH984,0,AH984-AM984))</f>
        <v/>
      </c>
      <c r="AO984" s="84">
        <f>IF(AM984&gt;=AH984,AI984,AI984*AM984/AH984)</f>
        <v/>
      </c>
      <c r="AP984">
        <f t="array" ref="AP984">INDEX($AU$8:$BB$25,6*(R984-1)+MATCH(AB984,$AS$8:$AS$13,0),MATCH(O984,$AU$7:$BB$7,0))</f>
        <v/>
      </c>
    </row>
    <row r="985" ht="14.25" customHeight="1">
      <c r="O985" s="43" t="inlineStr">
        <is>
          <t>Q4’27</t>
        </is>
      </c>
      <c r="P985" s="43" t="n">
        <v>2</v>
      </c>
      <c r="Q985" s="43" t="n">
        <v>14</v>
      </c>
      <c r="R985" s="43" t="n">
        <v>3</v>
      </c>
      <c r="S985" s="45" t="n">
        <v>0</v>
      </c>
      <c r="T985">
        <f>(S983+S984+S985)=U3</f>
        <v/>
      </c>
      <c r="X985" s="84">
        <f>MAX(S982-S985,0)</f>
        <v/>
      </c>
      <c r="Y985" s="83" t="n">
        <v>0</v>
      </c>
      <c r="AA985" s="84" t="n">
        <v>5</v>
      </c>
      <c r="AB985" s="84" t="inlineStr">
        <is>
          <t>E</t>
        </is>
      </c>
      <c r="AC985" s="84" t="inlineStr">
        <is>
          <t>E+</t>
        </is>
      </c>
      <c r="AD985" s="84" t="n">
        <v>15</v>
      </c>
      <c r="AE985" s="84" t="n">
        <v>12</v>
      </c>
      <c r="AF985" s="84" t="n">
        <v>0.76</v>
      </c>
      <c r="AG985" s="84" t="n">
        <v>0.84</v>
      </c>
      <c r="AH985" s="84" t="n">
        <v>0</v>
      </c>
      <c r="AI985" s="84" t="n">
        <v>0</v>
      </c>
      <c r="AJ985" s="84">
        <f>SUMIFS(AH$8:AH$1039,$O$8:$O$1039,O985,$AB$8:$AB$1039,AB985,$R$8:$R$1039,R985,$AA$8:$AA$1039,"&lt;="&amp;AA985)</f>
        <v/>
      </c>
      <c r="AK985" s="84">
        <f>E96</f>
        <v/>
      </c>
      <c r="AL985" s="84">
        <f>E102</f>
        <v/>
      </c>
      <c r="AM985" s="84">
        <f>MAX(0,AJ985-AK985)</f>
        <v/>
      </c>
      <c r="AN985" s="84">
        <f>IF(AM985=0,AH985,IF(AM985&gt;=AH985,0,AH985-AM985))</f>
        <v/>
      </c>
      <c r="AO985" s="84">
        <f>IF(AM985&gt;=AH985,AI985,AI985*AM985/AH985)</f>
        <v/>
      </c>
      <c r="AP985">
        <f t="array" ref="AP985">INDEX($AU$8:$BB$25,6*(R985-1)+MATCH(AB985,$AS$8:$AS$13,0),MATCH(O985,$AU$7:$BB$7,0))</f>
        <v/>
      </c>
    </row>
    <row r="986" ht="14.25" customHeight="1">
      <c r="O986" s="43" t="inlineStr">
        <is>
          <t>Q4’27</t>
        </is>
      </c>
      <c r="P986" s="43" t="n">
        <v>2</v>
      </c>
      <c r="Q986" s="43" t="n">
        <v>15</v>
      </c>
      <c r="R986" s="43" t="n">
        <v>1</v>
      </c>
      <c r="S986" s="45" t="n">
        <v>5621.076739683541</v>
      </c>
      <c r="T986">
        <f>(S986+S987+S988)=U3</f>
        <v/>
      </c>
      <c r="X986" s="84">
        <f>MAX(S983-S986,0)</f>
        <v/>
      </c>
      <c r="Y986" s="83" t="n">
        <v>0</v>
      </c>
      <c r="AA986" s="84" t="n">
        <v>7</v>
      </c>
      <c r="AB986" s="84" t="inlineStr">
        <is>
          <t>E</t>
        </is>
      </c>
      <c r="AC986" s="84" t="inlineStr">
        <is>
          <t>E+</t>
        </is>
      </c>
      <c r="AD986" s="84" t="n">
        <v>13</v>
      </c>
      <c r="AE986" s="84" t="n">
        <v>10</v>
      </c>
      <c r="AF986" s="84" t="n">
        <v>0.76</v>
      </c>
      <c r="AG986" s="84" t="n">
        <v>0.84</v>
      </c>
      <c r="AH986" s="84" t="n">
        <v>0</v>
      </c>
      <c r="AI986" s="84" t="n">
        <v>0</v>
      </c>
      <c r="AJ986" s="84">
        <f>SUMIFS(AH$8:AH$1039,$O$8:$O$1039,O986,$AB$8:$AB$1039,AB986,$R$8:$R$1039,R986,$AA$8:$AA$1039,"&lt;="&amp;AA986)</f>
        <v/>
      </c>
      <c r="AK986" s="84">
        <f>C96</f>
        <v/>
      </c>
      <c r="AL986" s="84">
        <f>C102</f>
        <v/>
      </c>
      <c r="AM986" s="84">
        <f>MAX(0,AJ986-AK986)</f>
        <v/>
      </c>
      <c r="AN986" s="84">
        <f>IF(AM986=0,AH986,IF(AM986&gt;=AH986,0,AH986-AM986))</f>
        <v/>
      </c>
      <c r="AO986" s="84">
        <f>IF(AM986&gt;=AH986,AI986,AI986*AM986/AH986)</f>
        <v/>
      </c>
      <c r="AP986">
        <f t="array" ref="AP986">INDEX($AU$8:$BB$25,6*(R986-1)+MATCH(AB986,$AS$8:$AS$13,0),MATCH(O986,$AU$7:$BB$7,0))</f>
        <v/>
      </c>
    </row>
    <row r="987" ht="14.25" customHeight="1">
      <c r="O987" s="43" t="inlineStr">
        <is>
          <t>Q4’27</t>
        </is>
      </c>
      <c r="P987" s="43" t="n">
        <v>2</v>
      </c>
      <c r="Q987" s="43" t="n">
        <v>15</v>
      </c>
      <c r="R987" s="43" t="n">
        <v>2</v>
      </c>
      <c r="S987" s="45" t="n">
        <v>1878.923260316459</v>
      </c>
      <c r="T987">
        <f>(S986+S987+S988)=U3</f>
        <v/>
      </c>
      <c r="X987" s="84">
        <f>MAX(S984-S987,0)</f>
        <v/>
      </c>
      <c r="Y987" s="83" t="n">
        <v>0</v>
      </c>
      <c r="AA987" s="84" t="n">
        <v>7</v>
      </c>
      <c r="AB987" s="84" t="inlineStr">
        <is>
          <t>E</t>
        </is>
      </c>
      <c r="AC987" s="84" t="inlineStr">
        <is>
          <t>E+</t>
        </is>
      </c>
      <c r="AD987" s="84" t="n">
        <v>13</v>
      </c>
      <c r="AE987" s="84" t="n">
        <v>10</v>
      </c>
      <c r="AF987" s="84" t="n">
        <v>0.76</v>
      </c>
      <c r="AG987" s="84" t="n">
        <v>0.84</v>
      </c>
      <c r="AH987" s="84" t="n">
        <v>0</v>
      </c>
      <c r="AI987" s="84" t="n">
        <v>0</v>
      </c>
      <c r="AJ987" s="84">
        <f>SUMIFS(AH$8:AH$1039,$O$8:$O$1039,O987,$AB$8:$AB$1039,AB987,$R$8:$R$1039,R987,$AA$8:$AA$1039,"&lt;="&amp;AA987)</f>
        <v/>
      </c>
      <c r="AK987" s="84">
        <f>D96</f>
        <v/>
      </c>
      <c r="AL987" s="84">
        <f>D102</f>
        <v/>
      </c>
      <c r="AM987" s="84">
        <f>MAX(0,AJ987-AK987)</f>
        <v/>
      </c>
      <c r="AN987" s="84">
        <f>IF(AM987=0,AH987,IF(AM987&gt;=AH987,0,AH987-AM987))</f>
        <v/>
      </c>
      <c r="AO987" s="84">
        <f>IF(AM987&gt;=AH987,AI987,AI987*AM987/AH987)</f>
        <v/>
      </c>
      <c r="AP987">
        <f t="array" ref="AP987">INDEX($AU$8:$BB$25,6*(R987-1)+MATCH(AB987,$AS$8:$AS$13,0),MATCH(O987,$AU$7:$BB$7,0))</f>
        <v/>
      </c>
    </row>
    <row r="988" ht="14.25" customHeight="1">
      <c r="O988" s="43" t="inlineStr">
        <is>
          <t>Q4’27</t>
        </is>
      </c>
      <c r="P988" s="43" t="n">
        <v>2</v>
      </c>
      <c r="Q988" s="43" t="n">
        <v>15</v>
      </c>
      <c r="R988" s="43" t="n">
        <v>3</v>
      </c>
      <c r="S988" s="45" t="n">
        <v>0</v>
      </c>
      <c r="T988">
        <f>(S986+S987+S988)=U3</f>
        <v/>
      </c>
      <c r="X988" s="84">
        <f>MAX(S985-S988,0)</f>
        <v/>
      </c>
      <c r="Y988" s="83" t="n">
        <v>0</v>
      </c>
      <c r="AA988" s="84" t="n">
        <v>7</v>
      </c>
      <c r="AB988" s="84" t="inlineStr">
        <is>
          <t>E</t>
        </is>
      </c>
      <c r="AC988" s="84" t="inlineStr">
        <is>
          <t>E+</t>
        </is>
      </c>
      <c r="AD988" s="84" t="n">
        <v>13</v>
      </c>
      <c r="AE988" s="84" t="n">
        <v>10</v>
      </c>
      <c r="AF988" s="84" t="n">
        <v>0.76</v>
      </c>
      <c r="AG988" s="84" t="n">
        <v>0.84</v>
      </c>
      <c r="AH988" s="84" t="n">
        <v>0</v>
      </c>
      <c r="AI988" s="84" t="n">
        <v>0</v>
      </c>
      <c r="AJ988" s="84">
        <f>SUMIFS(AH$8:AH$1039,$O$8:$O$1039,O988,$AB$8:$AB$1039,AB988,$R$8:$R$1039,R988,$AA$8:$AA$1039,"&lt;="&amp;AA988)</f>
        <v/>
      </c>
      <c r="AK988" s="84">
        <f>E96</f>
        <v/>
      </c>
      <c r="AL988" s="84">
        <f>E102</f>
        <v/>
      </c>
      <c r="AM988" s="84">
        <f>MAX(0,AJ988-AK988)</f>
        <v/>
      </c>
      <c r="AN988" s="84">
        <f>IF(AM988=0,AH988,IF(AM988&gt;=AH988,0,AH988-AM988))</f>
        <v/>
      </c>
      <c r="AO988" s="84">
        <f>IF(AM988&gt;=AH988,AI988,AI988*AM988/AH988)</f>
        <v/>
      </c>
      <c r="AP988">
        <f t="array" ref="AP988">INDEX($AU$8:$BB$25,6*(R988-1)+MATCH(AB988,$AS$8:$AS$13,0),MATCH(O988,$AU$7:$BB$7,0))</f>
        <v/>
      </c>
    </row>
    <row r="989" ht="14.25" customHeight="1">
      <c r="O989" s="43" t="inlineStr">
        <is>
          <t>Q4’27</t>
        </is>
      </c>
      <c r="P989" s="43" t="n">
        <v>3</v>
      </c>
      <c r="Q989" s="43" t="n">
        <v>1</v>
      </c>
      <c r="R989" s="43" t="n">
        <v>1</v>
      </c>
      <c r="S989" s="45" t="n">
        <v>6456.519011080601</v>
      </c>
      <c r="T989">
        <f>(S989+S990+S991)=U4</f>
        <v/>
      </c>
      <c r="X989" s="84" t="n">
        <v>0</v>
      </c>
      <c r="Y989" s="83" t="n">
        <v>0</v>
      </c>
      <c r="AA989" s="84" t="n">
        <v>1</v>
      </c>
      <c r="AB989" s="84" t="inlineStr">
        <is>
          <t>C</t>
        </is>
      </c>
      <c r="AC989" s="84" t="inlineStr">
        <is>
          <t>C+</t>
        </is>
      </c>
      <c r="AD989" s="84" t="n">
        <v>21</v>
      </c>
      <c r="AE989" s="84" t="n">
        <v>20</v>
      </c>
      <c r="AF989" s="84" t="n">
        <v>0.8</v>
      </c>
      <c r="AG989" s="84" t="n">
        <v>0.86</v>
      </c>
      <c r="AH989" s="84" t="n">
        <v>0</v>
      </c>
      <c r="AI989" s="84" t="n">
        <v>0</v>
      </c>
      <c r="AJ989" s="84">
        <f>SUMIFS(AH$8:AH$1039,$O$8:$O$1039,O989,$AB$8:$AB$1039,AB989,$R$8:$R$1039,R989,$AA$8:$AA$1039,"&lt;="&amp;AA989)</f>
        <v/>
      </c>
      <c r="AK989" s="84">
        <f>C94</f>
        <v/>
      </c>
      <c r="AL989" s="84">
        <f>C100</f>
        <v/>
      </c>
      <c r="AM989" s="84">
        <f>MAX(0,AJ989-AK989)</f>
        <v/>
      </c>
      <c r="AN989" s="84">
        <f>IF(AM989=0,AH989,IF(AM989&gt;=AH989,0,AH989-AM989))</f>
        <v/>
      </c>
      <c r="AO989" s="84">
        <f>IF(AM989&gt;=AH989,AI989,AI989*AM989/AH989)</f>
        <v/>
      </c>
      <c r="AP989">
        <f t="array" ref="AP989">INDEX($AU$8:$BB$25,6*(R989-1)+MATCH(AB989,$AS$8:$AS$13,0),MATCH(O989,$AU$7:$BB$7,0))</f>
        <v/>
      </c>
    </row>
    <row r="990" ht="14.25" customHeight="1">
      <c r="O990" s="43" t="inlineStr">
        <is>
          <t>Q4’27</t>
        </is>
      </c>
      <c r="P990" s="43" t="n">
        <v>3</v>
      </c>
      <c r="Q990" s="43" t="n">
        <v>1</v>
      </c>
      <c r="R990" s="43" t="n">
        <v>2</v>
      </c>
      <c r="S990" s="45" t="n">
        <v>5713.0809889194</v>
      </c>
      <c r="T990">
        <f>(S989+S990+S991)=U4</f>
        <v/>
      </c>
      <c r="X990" s="84" t="n">
        <v>0</v>
      </c>
      <c r="Y990" s="83" t="n">
        <v>0</v>
      </c>
      <c r="AA990" s="84" t="n">
        <v>1</v>
      </c>
      <c r="AB990" s="84" t="inlineStr">
        <is>
          <t>C</t>
        </is>
      </c>
      <c r="AC990" s="84" t="inlineStr">
        <is>
          <t>C+</t>
        </is>
      </c>
      <c r="AD990" s="84" t="n">
        <v>21</v>
      </c>
      <c r="AE990" s="84" t="n">
        <v>20</v>
      </c>
      <c r="AF990" s="84" t="n">
        <v>0.8</v>
      </c>
      <c r="AG990" s="84" t="n">
        <v>0.86</v>
      </c>
      <c r="AH990" s="84" t="n">
        <v>0</v>
      </c>
      <c r="AI990" s="84" t="n">
        <v>0</v>
      </c>
      <c r="AJ990" s="84">
        <f>SUMIFS(AH$8:AH$1039,$O$8:$O$1039,O990,$AB$8:$AB$1039,AB990,$R$8:$R$1039,R990,$AA$8:$AA$1039,"&lt;="&amp;AA990)</f>
        <v/>
      </c>
      <c r="AK990" s="84">
        <f>D94</f>
        <v/>
      </c>
      <c r="AL990" s="84">
        <f>D100</f>
        <v/>
      </c>
      <c r="AM990" s="84">
        <f>MAX(0,AJ990-AK990)</f>
        <v/>
      </c>
      <c r="AN990" s="84">
        <f>IF(AM990=0,AH990,IF(AM990&gt;=AH990,0,AH990-AM990))</f>
        <v/>
      </c>
      <c r="AO990" s="84">
        <f>IF(AM990&gt;=AH990,AI990,AI990*AM990/AH990)</f>
        <v/>
      </c>
      <c r="AP990">
        <f t="array" ref="AP990">INDEX($AU$8:$BB$25,6*(R990-1)+MATCH(AB990,$AS$8:$AS$13,0),MATCH(O990,$AU$7:$BB$7,0))</f>
        <v/>
      </c>
    </row>
    <row r="991" ht="14.25" customHeight="1">
      <c r="O991" s="43" t="inlineStr">
        <is>
          <t>Q4’27</t>
        </is>
      </c>
      <c r="P991" s="43" t="n">
        <v>3</v>
      </c>
      <c r="Q991" s="43" t="n">
        <v>1</v>
      </c>
      <c r="R991" s="43" t="n">
        <v>3</v>
      </c>
      <c r="S991" s="45" t="n">
        <v>3830.4</v>
      </c>
      <c r="T991">
        <f>(S989+S990+S991)=U4</f>
        <v/>
      </c>
      <c r="X991" s="84" t="n">
        <v>0</v>
      </c>
      <c r="Y991" s="83" t="n">
        <v>0</v>
      </c>
      <c r="AA991" s="84" t="n">
        <v>1</v>
      </c>
      <c r="AB991" s="84" t="inlineStr">
        <is>
          <t>C</t>
        </is>
      </c>
      <c r="AC991" s="84" t="inlineStr">
        <is>
          <t>C+</t>
        </is>
      </c>
      <c r="AD991" s="84" t="n">
        <v>21</v>
      </c>
      <c r="AE991" s="84" t="n">
        <v>20</v>
      </c>
      <c r="AF991" s="84" t="n">
        <v>0.8</v>
      </c>
      <c r="AG991" s="84" t="n">
        <v>0.86</v>
      </c>
      <c r="AH991" s="84" t="n">
        <v>0</v>
      </c>
      <c r="AI991" s="84" t="n">
        <v>0</v>
      </c>
      <c r="AJ991" s="84">
        <f>SUMIFS(AH$8:AH$1039,$O$8:$O$1039,O991,$AB$8:$AB$1039,AB991,$R$8:$R$1039,R991,$AA$8:$AA$1039,"&lt;="&amp;AA991)</f>
        <v/>
      </c>
      <c r="AK991" s="84">
        <f>E94</f>
        <v/>
      </c>
      <c r="AL991" s="84">
        <f>E100</f>
        <v/>
      </c>
      <c r="AM991" s="84">
        <f>MAX(0,AJ991-AK991)</f>
        <v/>
      </c>
      <c r="AN991" s="84">
        <f>IF(AM991=0,AH991,IF(AM991&gt;=AH991,0,AH991-AM991))</f>
        <v/>
      </c>
      <c r="AO991" s="84">
        <f>IF(AM991&gt;=AH991,AI991,AI991*AM991/AH991)</f>
        <v/>
      </c>
      <c r="AP991">
        <f t="array" ref="AP991">INDEX($AU$8:$BB$25,6*(R991-1)+MATCH(AB991,$AS$8:$AS$13,0),MATCH(O991,$AU$7:$BB$7,0))</f>
        <v/>
      </c>
    </row>
    <row r="992" ht="14.25" customHeight="1">
      <c r="O992" s="43" t="inlineStr">
        <is>
          <t>Q4’27</t>
        </is>
      </c>
      <c r="P992" s="43" t="n">
        <v>3</v>
      </c>
      <c r="Q992" s="43" t="n">
        <v>2</v>
      </c>
      <c r="R992" s="43" t="n">
        <v>1</v>
      </c>
      <c r="S992" s="45" t="n">
        <v>6456.519011080601</v>
      </c>
      <c r="T992">
        <f>(S992+S993+S994)=U4</f>
        <v/>
      </c>
      <c r="X992" s="84">
        <f>MAX(S989-S992,0)</f>
        <v/>
      </c>
      <c r="Y992" s="83" t="n">
        <v>0</v>
      </c>
      <c r="AA992" s="84" t="n">
        <v>8</v>
      </c>
      <c r="AB992" s="84" t="inlineStr">
        <is>
          <t>D</t>
        </is>
      </c>
      <c r="AC992" s="84" t="inlineStr">
        <is>
          <t>D+</t>
        </is>
      </c>
      <c r="AD992" s="84" t="n">
        <v>9</v>
      </c>
      <c r="AE992" s="84" t="n">
        <v>7</v>
      </c>
      <c r="AF992" s="84" t="n">
        <v>0.8</v>
      </c>
      <c r="AG992" s="84" t="n">
        <v>0.88</v>
      </c>
      <c r="AH992" s="84" t="n">
        <v>0</v>
      </c>
      <c r="AI992" s="84" t="n">
        <v>0</v>
      </c>
      <c r="AJ992" s="84">
        <f>SUMIFS(AH$8:AH$1039,$O$8:$O$1039,O992,$AB$8:$AB$1039,AB992,$R$8:$R$1039,R992,$AA$8:$AA$1039,"&lt;="&amp;AA992)</f>
        <v/>
      </c>
      <c r="AK992" s="84">
        <f>C95</f>
        <v/>
      </c>
      <c r="AL992" s="84">
        <f>C101</f>
        <v/>
      </c>
      <c r="AM992" s="84">
        <f>MAX(0,AJ992-AK992)</f>
        <v/>
      </c>
      <c r="AN992" s="84">
        <f>IF(AM992=0,AH992,IF(AM992&gt;=AH992,0,AH992-AM992))</f>
        <v/>
      </c>
      <c r="AO992" s="84">
        <f>IF(AM992&gt;=AH992,AI992,AI992*AM992/AH992)</f>
        <v/>
      </c>
      <c r="AP992">
        <f t="array" ref="AP992">INDEX($AU$8:$BB$25,6*(R992-1)+MATCH(AB992,$AS$8:$AS$13,0),MATCH(O992,$AU$7:$BB$7,0))</f>
        <v/>
      </c>
    </row>
    <row r="993" ht="14.25" customHeight="1">
      <c r="O993" s="43" t="inlineStr">
        <is>
          <t>Q4’27</t>
        </is>
      </c>
      <c r="P993" s="43" t="n">
        <v>3</v>
      </c>
      <c r="Q993" s="43" t="n">
        <v>2</v>
      </c>
      <c r="R993" s="43" t="n">
        <v>2</v>
      </c>
      <c r="S993" s="45" t="n">
        <v>5713.0809889194</v>
      </c>
      <c r="T993">
        <f>(S992+S993+S994)=U4</f>
        <v/>
      </c>
      <c r="X993" s="84">
        <f>MAX(S990-S993,0)</f>
        <v/>
      </c>
      <c r="Y993" s="83" t="n">
        <v>0</v>
      </c>
      <c r="AA993" s="84" t="n">
        <v>8</v>
      </c>
      <c r="AB993" s="84" t="inlineStr">
        <is>
          <t>D</t>
        </is>
      </c>
      <c r="AC993" s="84" t="inlineStr">
        <is>
          <t>D+</t>
        </is>
      </c>
      <c r="AD993" s="84" t="n">
        <v>9</v>
      </c>
      <c r="AE993" s="84" t="n">
        <v>7</v>
      </c>
      <c r="AF993" s="84" t="n">
        <v>0.8</v>
      </c>
      <c r="AG993" s="84" t="n">
        <v>0.88</v>
      </c>
      <c r="AH993" s="84" t="n">
        <v>0</v>
      </c>
      <c r="AI993" s="84" t="n">
        <v>0</v>
      </c>
      <c r="AJ993" s="84">
        <f>SUMIFS(AH$8:AH$1039,$O$8:$O$1039,O993,$AB$8:$AB$1039,AB993,$R$8:$R$1039,R993,$AA$8:$AA$1039,"&lt;="&amp;AA993)</f>
        <v/>
      </c>
      <c r="AK993" s="84">
        <f>D95</f>
        <v/>
      </c>
      <c r="AL993" s="84">
        <f>D101</f>
        <v/>
      </c>
      <c r="AM993" s="84">
        <f>MAX(0,AJ993-AK993)</f>
        <v/>
      </c>
      <c r="AN993" s="84">
        <f>IF(AM993=0,AH993,IF(AM993&gt;=AH993,0,AH993-AM993))</f>
        <v/>
      </c>
      <c r="AO993" s="84">
        <f>IF(AM993&gt;=AH993,AI993,AI993*AM993/AH993)</f>
        <v/>
      </c>
      <c r="AP993">
        <f t="array" ref="AP993">INDEX($AU$8:$BB$25,6*(R993-1)+MATCH(AB993,$AS$8:$AS$13,0),MATCH(O993,$AU$7:$BB$7,0))</f>
        <v/>
      </c>
    </row>
    <row r="994" ht="14.25" customHeight="1">
      <c r="O994" s="43" t="inlineStr">
        <is>
          <t>Q4’27</t>
        </is>
      </c>
      <c r="P994" s="43" t="n">
        <v>3</v>
      </c>
      <c r="Q994" s="43" t="n">
        <v>2</v>
      </c>
      <c r="R994" s="43" t="n">
        <v>3</v>
      </c>
      <c r="S994" s="45" t="n">
        <v>3830.4</v>
      </c>
      <c r="T994">
        <f>(S992+S993+S994)=U4</f>
        <v/>
      </c>
      <c r="X994" s="84">
        <f>MAX(S991-S994,0)</f>
        <v/>
      </c>
      <c r="Y994" s="83" t="n">
        <v>0</v>
      </c>
      <c r="AA994" s="84" t="n">
        <v>8</v>
      </c>
      <c r="AB994" s="84" t="inlineStr">
        <is>
          <t>D</t>
        </is>
      </c>
      <c r="AC994" s="84" t="inlineStr">
        <is>
          <t>D+</t>
        </is>
      </c>
      <c r="AD994" s="84" t="n">
        <v>9</v>
      </c>
      <c r="AE994" s="84" t="n">
        <v>7</v>
      </c>
      <c r="AF994" s="84" t="n">
        <v>0.8</v>
      </c>
      <c r="AG994" s="84" t="n">
        <v>0.88</v>
      </c>
      <c r="AH994" s="84" t="n">
        <v>0</v>
      </c>
      <c r="AI994" s="84" t="n">
        <v>0</v>
      </c>
      <c r="AJ994" s="84">
        <f>SUMIFS(AH$8:AH$1039,$O$8:$O$1039,O994,$AB$8:$AB$1039,AB994,$R$8:$R$1039,R994,$AA$8:$AA$1039,"&lt;="&amp;AA994)</f>
        <v/>
      </c>
      <c r="AK994" s="84">
        <f>E95</f>
        <v/>
      </c>
      <c r="AL994" s="84">
        <f>E101</f>
        <v/>
      </c>
      <c r="AM994" s="84">
        <f>MAX(0,AJ994-AK994)</f>
        <v/>
      </c>
      <c r="AN994" s="84">
        <f>IF(AM994=0,AH994,IF(AM994&gt;=AH994,0,AH994-AM994))</f>
        <v/>
      </c>
      <c r="AO994" s="84">
        <f>IF(AM994&gt;=AH994,AI994,AI994*AM994/AH994)</f>
        <v/>
      </c>
      <c r="AP994">
        <f t="array" ref="AP994">INDEX($AU$8:$BB$25,6*(R994-1)+MATCH(AB994,$AS$8:$AS$13,0),MATCH(O994,$AU$7:$BB$7,0))</f>
        <v/>
      </c>
    </row>
    <row r="995" ht="14.25" customHeight="1">
      <c r="O995" s="43" t="inlineStr">
        <is>
          <t>Q4’27</t>
        </is>
      </c>
      <c r="P995" s="43" t="n">
        <v>3</v>
      </c>
      <c r="Q995" s="43" t="n">
        <v>3</v>
      </c>
      <c r="R995" s="43" t="n">
        <v>1</v>
      </c>
      <c r="S995" s="45" t="n">
        <v>6456.5190110806</v>
      </c>
      <c r="T995">
        <f>(S995+S996+S997)=U4</f>
        <v/>
      </c>
      <c r="X995" s="84">
        <f>MAX(S992-S995,0)</f>
        <v/>
      </c>
      <c r="Y995" s="83" t="n">
        <v>0</v>
      </c>
      <c r="AA995" s="84" t="n">
        <v>1</v>
      </c>
      <c r="AB995" s="84" t="inlineStr">
        <is>
          <t>E</t>
        </is>
      </c>
      <c r="AC995" s="84" t="inlineStr">
        <is>
          <t>E+</t>
        </is>
      </c>
      <c r="AD995" s="84" t="n">
        <v>24</v>
      </c>
      <c r="AE995" s="84" t="n">
        <v>23</v>
      </c>
      <c r="AF995" s="84" t="n">
        <v>0.76</v>
      </c>
      <c r="AG995" s="84" t="n">
        <v>0.84</v>
      </c>
      <c r="AH995" s="84" t="n">
        <v>0</v>
      </c>
      <c r="AI995" s="84" t="n">
        <v>0</v>
      </c>
      <c r="AJ995" s="84">
        <f>SUMIFS(AH$8:AH$1039,$O$8:$O$1039,O995,$AB$8:$AB$1039,AB995,$R$8:$R$1039,R995,$AA$8:$AA$1039,"&lt;="&amp;AA995)</f>
        <v/>
      </c>
      <c r="AK995" s="84">
        <f>C96</f>
        <v/>
      </c>
      <c r="AL995" s="84">
        <f>C102</f>
        <v/>
      </c>
      <c r="AM995" s="84">
        <f>MAX(0,AJ995-AK995)</f>
        <v/>
      </c>
      <c r="AN995" s="84">
        <f>IF(AM995=0,AH995,IF(AM995&gt;=AH995,0,AH995-AM995))</f>
        <v/>
      </c>
      <c r="AO995" s="84">
        <f>IF(AM995&gt;=AH995,AI995,AI995*AM995/AH995)</f>
        <v/>
      </c>
      <c r="AP995">
        <f t="array" ref="AP995">INDEX($AU$8:$BB$25,6*(R995-1)+MATCH(AB995,$AS$8:$AS$13,0),MATCH(O995,$AU$7:$BB$7,0))</f>
        <v/>
      </c>
    </row>
    <row r="996" ht="14.25" customHeight="1">
      <c r="O996" s="43" t="inlineStr">
        <is>
          <t>Q4’27</t>
        </is>
      </c>
      <c r="P996" s="43" t="n">
        <v>3</v>
      </c>
      <c r="Q996" s="43" t="n">
        <v>3</v>
      </c>
      <c r="R996" s="43" t="n">
        <v>2</v>
      </c>
      <c r="S996" s="45" t="n">
        <v>5713.0809889194</v>
      </c>
      <c r="T996">
        <f>(S995+S996+S997)=U4</f>
        <v/>
      </c>
      <c r="X996" s="84">
        <f>MAX(S993-S996,0)</f>
        <v/>
      </c>
      <c r="Y996" s="83" t="n">
        <v>0</v>
      </c>
      <c r="AA996" s="84" t="n">
        <v>1</v>
      </c>
      <c r="AB996" s="84" t="inlineStr">
        <is>
          <t>E</t>
        </is>
      </c>
      <c r="AC996" s="84" t="inlineStr">
        <is>
          <t>E+</t>
        </is>
      </c>
      <c r="AD996" s="84" t="n">
        <v>24</v>
      </c>
      <c r="AE996" s="84" t="n">
        <v>23</v>
      </c>
      <c r="AF996" s="84" t="n">
        <v>0.76</v>
      </c>
      <c r="AG996" s="84" t="n">
        <v>0.84</v>
      </c>
      <c r="AH996" s="84" t="n">
        <v>0</v>
      </c>
      <c r="AI996" s="84" t="n">
        <v>0</v>
      </c>
      <c r="AJ996" s="84">
        <f>SUMIFS(AH$8:AH$1039,$O$8:$O$1039,O996,$AB$8:$AB$1039,AB996,$R$8:$R$1039,R996,$AA$8:$AA$1039,"&lt;="&amp;AA996)</f>
        <v/>
      </c>
      <c r="AK996" s="84">
        <f>D96</f>
        <v/>
      </c>
      <c r="AL996" s="84">
        <f>D102</f>
        <v/>
      </c>
      <c r="AM996" s="84">
        <f>MAX(0,AJ996-AK996)</f>
        <v/>
      </c>
      <c r="AN996" s="84">
        <f>IF(AM996=0,AH996,IF(AM996&gt;=AH996,0,AH996-AM996))</f>
        <v/>
      </c>
      <c r="AO996" s="84">
        <f>IF(AM996&gt;=AH996,AI996,AI996*AM996/AH996)</f>
        <v/>
      </c>
      <c r="AP996">
        <f t="array" ref="AP996">INDEX($AU$8:$BB$25,6*(R996-1)+MATCH(AB996,$AS$8:$AS$13,0),MATCH(O996,$AU$7:$BB$7,0))</f>
        <v/>
      </c>
    </row>
    <row r="997" ht="14.25" customHeight="1">
      <c r="O997" s="43" t="inlineStr">
        <is>
          <t>Q4’27</t>
        </is>
      </c>
      <c r="P997" s="43" t="n">
        <v>3</v>
      </c>
      <c r="Q997" s="43" t="n">
        <v>3</v>
      </c>
      <c r="R997" s="43" t="n">
        <v>3</v>
      </c>
      <c r="S997" s="45" t="n">
        <v>3830.400000000001</v>
      </c>
      <c r="T997">
        <f>(S995+S996+S997)=U4</f>
        <v/>
      </c>
      <c r="X997" s="84">
        <f>MAX(S994-S997,0)</f>
        <v/>
      </c>
      <c r="Y997" s="83" t="n">
        <v>0</v>
      </c>
      <c r="AA997" s="84" t="n">
        <v>1</v>
      </c>
      <c r="AB997" s="84" t="inlineStr">
        <is>
          <t>E</t>
        </is>
      </c>
      <c r="AC997" s="84" t="inlineStr">
        <is>
          <t>E+</t>
        </is>
      </c>
      <c r="AD997" s="84" t="n">
        <v>24</v>
      </c>
      <c r="AE997" s="84" t="n">
        <v>23</v>
      </c>
      <c r="AF997" s="84" t="n">
        <v>0.76</v>
      </c>
      <c r="AG997" s="84" t="n">
        <v>0.84</v>
      </c>
      <c r="AH997" s="84" t="n">
        <v>0</v>
      </c>
      <c r="AI997" s="84" t="n">
        <v>0</v>
      </c>
      <c r="AJ997" s="84">
        <f>SUMIFS(AH$8:AH$1039,$O$8:$O$1039,O997,$AB$8:$AB$1039,AB997,$R$8:$R$1039,R997,$AA$8:$AA$1039,"&lt;="&amp;AA997)</f>
        <v/>
      </c>
      <c r="AK997" s="84">
        <f>E96</f>
        <v/>
      </c>
      <c r="AL997" s="84">
        <f>E102</f>
        <v/>
      </c>
      <c r="AM997" s="84">
        <f>MAX(0,AJ997-AK997)</f>
        <v/>
      </c>
      <c r="AN997" s="84">
        <f>IF(AM997=0,AH997,IF(AM997&gt;=AH997,0,AH997-AM997))</f>
        <v/>
      </c>
      <c r="AO997" s="84">
        <f>IF(AM997&gt;=AH997,AI997,AI997*AM997/AH997)</f>
        <v/>
      </c>
      <c r="AP997">
        <f t="array" ref="AP997">INDEX($AU$8:$BB$25,6*(R997-1)+MATCH(AB997,$AS$8:$AS$13,0),MATCH(O997,$AU$7:$BB$7,0))</f>
        <v/>
      </c>
    </row>
    <row r="998" ht="14.25" customHeight="1">
      <c r="O998" s="43" t="inlineStr">
        <is>
          <t>Q4’27</t>
        </is>
      </c>
      <c r="P998" s="43" t="n">
        <v>3</v>
      </c>
      <c r="Q998" s="43" t="n">
        <v>4</v>
      </c>
      <c r="R998" s="43" t="n">
        <v>1</v>
      </c>
      <c r="S998" s="45" t="n">
        <v>5673.372036373022</v>
      </c>
      <c r="T998">
        <f>(S998+S999+S1000)=U4</f>
        <v/>
      </c>
      <c r="X998" s="84">
        <f>MAX(S995-S998,0)</f>
        <v/>
      </c>
      <c r="Y998" s="83" t="n">
        <v>0</v>
      </c>
      <c r="AA998" s="84" t="n">
        <v>9</v>
      </c>
      <c r="AB998" s="84" t="inlineStr">
        <is>
          <t>E</t>
        </is>
      </c>
      <c r="AC998" s="84" t="inlineStr">
        <is>
          <t>E+</t>
        </is>
      </c>
      <c r="AD998" s="84" t="n">
        <v>15</v>
      </c>
      <c r="AE998" s="84" t="n">
        <v>11</v>
      </c>
      <c r="AF998" s="84" t="n">
        <v>0.76</v>
      </c>
      <c r="AG998" s="84" t="n">
        <v>0.84</v>
      </c>
      <c r="AH998" s="84" t="n">
        <v>0</v>
      </c>
      <c r="AI998" s="84" t="n">
        <v>0</v>
      </c>
      <c r="AJ998" s="84">
        <f>SUMIFS(AH$8:AH$1039,$O$8:$O$1039,O998,$AB$8:$AB$1039,AB998,$R$8:$R$1039,R998,$AA$8:$AA$1039,"&lt;="&amp;AA998)</f>
        <v/>
      </c>
      <c r="AK998" s="84">
        <f>C96</f>
        <v/>
      </c>
      <c r="AL998" s="84">
        <f>C102</f>
        <v/>
      </c>
      <c r="AM998" s="84">
        <f>MAX(0,AJ998-AK998)</f>
        <v/>
      </c>
      <c r="AN998" s="84">
        <f>IF(AM998=0,AH998,IF(AM998&gt;=AH998,0,AH998-AM998))</f>
        <v/>
      </c>
      <c r="AO998" s="84">
        <f>IF(AM998&gt;=AH998,AI998,AI998*AM998/AH998)</f>
        <v/>
      </c>
      <c r="AP998">
        <f t="array" ref="AP998">INDEX($AU$8:$BB$25,6*(R998-1)+MATCH(AB998,$AS$8:$AS$13,0),MATCH(O998,$AU$7:$BB$7,0))</f>
        <v/>
      </c>
    </row>
    <row r="999" ht="14.25" customHeight="1">
      <c r="O999" s="43" t="inlineStr">
        <is>
          <t>Q4’27</t>
        </is>
      </c>
      <c r="P999" s="43" t="n">
        <v>3</v>
      </c>
      <c r="Q999" s="43" t="n">
        <v>4</v>
      </c>
      <c r="R999" s="43" t="n">
        <v>2</v>
      </c>
      <c r="S999" s="45" t="n">
        <v>6496.227963626979</v>
      </c>
      <c r="T999">
        <f>(S998+S999+S1000)=U4</f>
        <v/>
      </c>
      <c r="X999" s="84">
        <f>MAX(S996-S999,0)</f>
        <v/>
      </c>
      <c r="Y999" s="83" t="n">
        <v>0</v>
      </c>
      <c r="AA999" s="84" t="n">
        <v>9</v>
      </c>
      <c r="AB999" s="84" t="inlineStr">
        <is>
          <t>E</t>
        </is>
      </c>
      <c r="AC999" s="84" t="inlineStr">
        <is>
          <t>E+</t>
        </is>
      </c>
      <c r="AD999" s="84" t="n">
        <v>15</v>
      </c>
      <c r="AE999" s="84" t="n">
        <v>11</v>
      </c>
      <c r="AF999" s="84" t="n">
        <v>0.76</v>
      </c>
      <c r="AG999" s="84" t="n">
        <v>0.84</v>
      </c>
      <c r="AH999" s="84" t="n">
        <v>0</v>
      </c>
      <c r="AI999" s="84" t="n">
        <v>0</v>
      </c>
      <c r="AJ999" s="84">
        <f>SUMIFS(AH$8:AH$1039,$O$8:$O$1039,O999,$AB$8:$AB$1039,AB999,$R$8:$R$1039,R999,$AA$8:$AA$1039,"&lt;="&amp;AA999)</f>
        <v/>
      </c>
      <c r="AK999" s="84">
        <f>D96</f>
        <v/>
      </c>
      <c r="AL999" s="84">
        <f>D102</f>
        <v/>
      </c>
      <c r="AM999" s="84">
        <f>MAX(0,AJ999-AK999)</f>
        <v/>
      </c>
      <c r="AN999" s="84">
        <f>IF(AM999=0,AH999,IF(AM999&gt;=AH999,0,AH999-AM999))</f>
        <v/>
      </c>
      <c r="AO999" s="84">
        <f>IF(AM999&gt;=AH999,AI999,AI999*AM999/AH999)</f>
        <v/>
      </c>
      <c r="AP999">
        <f t="array" ref="AP999">INDEX($AU$8:$BB$25,6*(R999-1)+MATCH(AB999,$AS$8:$AS$13,0),MATCH(O999,$AU$7:$BB$7,0))</f>
        <v/>
      </c>
    </row>
    <row r="1000" ht="14.25" customHeight="1">
      <c r="O1000" s="43" t="inlineStr">
        <is>
          <t>Q4’27</t>
        </is>
      </c>
      <c r="P1000" s="43" t="n">
        <v>3</v>
      </c>
      <c r="Q1000" s="43" t="n">
        <v>4</v>
      </c>
      <c r="R1000" s="43" t="n">
        <v>3</v>
      </c>
      <c r="S1000" s="45" t="n">
        <v>3830.4</v>
      </c>
      <c r="T1000">
        <f>(S998+S999+S1000)=U4</f>
        <v/>
      </c>
      <c r="X1000" s="84">
        <f>MAX(S997-S1000,0)</f>
        <v/>
      </c>
      <c r="Y1000" s="83" t="n">
        <v>0</v>
      </c>
      <c r="AA1000" s="84" t="n">
        <v>9</v>
      </c>
      <c r="AB1000" s="84" t="inlineStr">
        <is>
          <t>E</t>
        </is>
      </c>
      <c r="AC1000" s="84" t="inlineStr">
        <is>
          <t>E+</t>
        </is>
      </c>
      <c r="AD1000" s="84" t="n">
        <v>15</v>
      </c>
      <c r="AE1000" s="84" t="n">
        <v>11</v>
      </c>
      <c r="AF1000" s="84" t="n">
        <v>0.76</v>
      </c>
      <c r="AG1000" s="84" t="n">
        <v>0.84</v>
      </c>
      <c r="AH1000" s="84" t="n">
        <v>0</v>
      </c>
      <c r="AI1000" s="84" t="n">
        <v>0</v>
      </c>
      <c r="AJ1000" s="84">
        <f>SUMIFS(AH$8:AH$1039,$O$8:$O$1039,O1000,$AB$8:$AB$1039,AB1000,$R$8:$R$1039,R1000,$AA$8:$AA$1039,"&lt;="&amp;AA1000)</f>
        <v/>
      </c>
      <c r="AK1000" s="84">
        <f>E96</f>
        <v/>
      </c>
      <c r="AL1000" s="84">
        <f>E102</f>
        <v/>
      </c>
      <c r="AM1000" s="84">
        <f>MAX(0,AJ1000-AK1000)</f>
        <v/>
      </c>
      <c r="AN1000" s="84">
        <f>IF(AM1000=0,AH1000,IF(AM1000&gt;=AH1000,0,AH1000-AM1000))</f>
        <v/>
      </c>
      <c r="AO1000" s="84">
        <f>IF(AM1000&gt;=AH1000,AI1000,AI1000*AM1000/AH1000)</f>
        <v/>
      </c>
      <c r="AP1000">
        <f t="array" ref="AP1000">INDEX($AU$8:$BB$25,6*(R1000-1)+MATCH(AB1000,$AS$8:$AS$13,0),MATCH(O1000,$AU$7:$BB$7,0))</f>
        <v/>
      </c>
    </row>
    <row r="1001" ht="14.25" customHeight="1">
      <c r="O1001" s="43" t="inlineStr">
        <is>
          <t>Q4’27</t>
        </is>
      </c>
      <c r="P1001" s="43" t="n">
        <v>3</v>
      </c>
      <c r="Q1001" s="43" t="n">
        <v>5</v>
      </c>
      <c r="R1001" s="43" t="n">
        <v>1</v>
      </c>
      <c r="S1001" s="45" t="n">
        <v>5673.372036373022</v>
      </c>
      <c r="T1001">
        <f>(S1001+S1002+S1003)=U4</f>
        <v/>
      </c>
      <c r="X1001" s="84">
        <f>MAX(S998-S1001,0)</f>
        <v/>
      </c>
      <c r="Y1001" s="83" t="n">
        <v>0</v>
      </c>
      <c r="AA1001" s="84" t="n">
        <v>6</v>
      </c>
      <c r="AB1001" s="84" t="inlineStr">
        <is>
          <t>F</t>
        </is>
      </c>
      <c r="AC1001" s="84" t="inlineStr">
        <is>
          <t>F+</t>
        </is>
      </c>
      <c r="AD1001" s="84" t="n">
        <v>16</v>
      </c>
      <c r="AE1001" s="84" t="n">
        <v>14</v>
      </c>
      <c r="AF1001" s="84" t="n">
        <v>0.8</v>
      </c>
      <c r="AG1001" s="84" t="n">
        <v>0.9</v>
      </c>
      <c r="AH1001" s="84" t="n">
        <v>0</v>
      </c>
      <c r="AI1001" s="84" t="n">
        <v>0</v>
      </c>
      <c r="AJ1001" s="84">
        <f>SUMIFS(AH$8:AH$1039,$O$8:$O$1039,O1001,$AB$8:$AB$1039,AB1001,$R$8:$R$1039,R1001,$AA$8:$AA$1039,"&lt;="&amp;AA1001)</f>
        <v/>
      </c>
      <c r="AK1001" s="84">
        <f>C97</f>
        <v/>
      </c>
      <c r="AL1001" s="84">
        <f>C103</f>
        <v/>
      </c>
      <c r="AM1001" s="84">
        <f>MAX(0,AJ1001-AK1001)</f>
        <v/>
      </c>
      <c r="AN1001" s="84">
        <f>IF(AM1001=0,AH1001,IF(AM1001&gt;=AH1001,0,AH1001-AM1001))</f>
        <v/>
      </c>
      <c r="AO1001" s="84">
        <f>IF(AM1001&gt;=AH1001,AI1001,AI1001*AM1001/AH1001)</f>
        <v/>
      </c>
      <c r="AP1001">
        <f t="array" ref="AP1001">INDEX($AU$8:$BB$25,6*(R1001-1)+MATCH(AB1001,$AS$8:$AS$13,0),MATCH(O1001,$AU$7:$BB$7,0))</f>
        <v/>
      </c>
    </row>
    <row r="1002" ht="14.25" customHeight="1">
      <c r="O1002" s="43" t="inlineStr">
        <is>
          <t>Q4’27</t>
        </is>
      </c>
      <c r="P1002" s="43" t="n">
        <v>3</v>
      </c>
      <c r="Q1002" s="43" t="n">
        <v>5</v>
      </c>
      <c r="R1002" s="43" t="n">
        <v>2</v>
      </c>
      <c r="S1002" s="45" t="n">
        <v>6496.227963626979</v>
      </c>
      <c r="T1002">
        <f>(S1001+S1002+S1003)=U4</f>
        <v/>
      </c>
      <c r="X1002" s="84">
        <f>MAX(S999-S1002,0)</f>
        <v/>
      </c>
      <c r="Y1002" s="83" t="n">
        <v>0</v>
      </c>
      <c r="AA1002" s="84" t="n">
        <v>6</v>
      </c>
      <c r="AB1002" s="84" t="inlineStr">
        <is>
          <t>F</t>
        </is>
      </c>
      <c r="AC1002" s="84" t="inlineStr">
        <is>
          <t>F+</t>
        </is>
      </c>
      <c r="AD1002" s="84" t="n">
        <v>16</v>
      </c>
      <c r="AE1002" s="84" t="n">
        <v>14</v>
      </c>
      <c r="AF1002" s="84" t="n">
        <v>0.8</v>
      </c>
      <c r="AG1002" s="84" t="n">
        <v>0.9</v>
      </c>
      <c r="AH1002" s="84" t="n">
        <v>0</v>
      </c>
      <c r="AI1002" s="84" t="n">
        <v>0</v>
      </c>
      <c r="AJ1002" s="84">
        <f>SUMIFS(AH$8:AH$1039,$O$8:$O$1039,O1002,$AB$8:$AB$1039,AB1002,$R$8:$R$1039,R1002,$AA$8:$AA$1039,"&lt;="&amp;AA1002)</f>
        <v/>
      </c>
      <c r="AK1002" s="84">
        <f>D97</f>
        <v/>
      </c>
      <c r="AL1002" s="84">
        <f>D103</f>
        <v/>
      </c>
      <c r="AM1002" s="84">
        <f>MAX(0,AJ1002-AK1002)</f>
        <v/>
      </c>
      <c r="AN1002" s="84">
        <f>IF(AM1002=0,AH1002,IF(AM1002&gt;=AH1002,0,AH1002-AM1002))</f>
        <v/>
      </c>
      <c r="AO1002" s="84">
        <f>IF(AM1002&gt;=AH1002,AI1002,AI1002*AM1002/AH1002)</f>
        <v/>
      </c>
      <c r="AP1002">
        <f t="array" ref="AP1002">INDEX($AU$8:$BB$25,6*(R1002-1)+MATCH(AB1002,$AS$8:$AS$13,0),MATCH(O1002,$AU$7:$BB$7,0))</f>
        <v/>
      </c>
    </row>
    <row r="1003" ht="14.25" customHeight="1">
      <c r="O1003" s="43" t="inlineStr">
        <is>
          <t>Q4’27</t>
        </is>
      </c>
      <c r="P1003" s="43" t="n">
        <v>3</v>
      </c>
      <c r="Q1003" s="43" t="n">
        <v>5</v>
      </c>
      <c r="R1003" s="43" t="n">
        <v>3</v>
      </c>
      <c r="S1003" s="45" t="n">
        <v>3830.4</v>
      </c>
      <c r="T1003">
        <f>(S1001+S1002+S1003)=U4</f>
        <v/>
      </c>
      <c r="X1003" s="84">
        <f>MAX(S1000-S1003,0)</f>
        <v/>
      </c>
      <c r="Y1003" s="83" t="n">
        <v>0</v>
      </c>
      <c r="AA1003" s="84" t="n">
        <v>6</v>
      </c>
      <c r="AB1003" s="84" t="inlineStr">
        <is>
          <t>F</t>
        </is>
      </c>
      <c r="AC1003" s="84" t="inlineStr">
        <is>
          <t>F+</t>
        </is>
      </c>
      <c r="AD1003" s="84" t="n">
        <v>16</v>
      </c>
      <c r="AE1003" s="84" t="n">
        <v>14</v>
      </c>
      <c r="AF1003" s="84" t="n">
        <v>0.8</v>
      </c>
      <c r="AG1003" s="84" t="n">
        <v>0.9</v>
      </c>
      <c r="AH1003" s="84" t="n">
        <v>0</v>
      </c>
      <c r="AI1003" s="84" t="n">
        <v>0</v>
      </c>
      <c r="AJ1003" s="84">
        <f>SUMIFS(AH$8:AH$1039,$O$8:$O$1039,O1003,$AB$8:$AB$1039,AB1003,$R$8:$R$1039,R1003,$AA$8:$AA$1039,"&lt;="&amp;AA1003)</f>
        <v/>
      </c>
      <c r="AK1003" s="84">
        <f>E97</f>
        <v/>
      </c>
      <c r="AL1003" s="84">
        <f>E103</f>
        <v/>
      </c>
      <c r="AM1003" s="84">
        <f>MAX(0,AJ1003-AK1003)</f>
        <v/>
      </c>
      <c r="AN1003" s="84">
        <f>IF(AM1003=0,AH1003,IF(AM1003&gt;=AH1003,0,AH1003-AM1003))</f>
        <v/>
      </c>
      <c r="AO1003" s="84">
        <f>IF(AM1003&gt;=AH1003,AI1003,AI1003*AM1003/AH1003)</f>
        <v/>
      </c>
      <c r="AP1003">
        <f t="array" ref="AP1003">INDEX($AU$8:$BB$25,6*(R1003-1)+MATCH(AB1003,$AS$8:$AS$13,0),MATCH(O1003,$AU$7:$BB$7,0))</f>
        <v/>
      </c>
    </row>
    <row r="1004" ht="14.25" customHeight="1">
      <c r="O1004" s="43" t="inlineStr">
        <is>
          <t>Q4’27</t>
        </is>
      </c>
      <c r="P1004" s="43" t="n">
        <v>3</v>
      </c>
      <c r="Q1004" s="43" t="n">
        <v>6</v>
      </c>
      <c r="R1004" s="43" t="n">
        <v>1</v>
      </c>
      <c r="S1004" s="45" t="n">
        <v>5673.372036373021</v>
      </c>
      <c r="T1004">
        <f>(S1004+S1005+S1006)=U4</f>
        <v/>
      </c>
      <c r="X1004" s="84">
        <f>MAX(S1001-S1004,0)</f>
        <v/>
      </c>
      <c r="Y1004" s="83" t="n">
        <v>0</v>
      </c>
      <c r="AA1004" s="84" t="n">
        <v>1</v>
      </c>
      <c r="AB1004" s="84" t="inlineStr">
        <is>
          <t>D</t>
        </is>
      </c>
      <c r="AC1004" s="84" t="inlineStr">
        <is>
          <t>D+</t>
        </is>
      </c>
      <c r="AD1004" s="84" t="n">
        <v>12</v>
      </c>
      <c r="AE1004" s="84" t="n">
        <v>11</v>
      </c>
      <c r="AF1004" s="84" t="n">
        <v>0.8</v>
      </c>
      <c r="AG1004" s="84" t="n">
        <v>0.88</v>
      </c>
      <c r="AH1004" s="84" t="n">
        <v>0</v>
      </c>
      <c r="AI1004" s="84" t="n">
        <v>0</v>
      </c>
      <c r="AJ1004" s="84">
        <f>SUMIFS(AH$8:AH$1039,$O$8:$O$1039,O1004,$AB$8:$AB$1039,AB1004,$R$8:$R$1039,R1004,$AA$8:$AA$1039,"&lt;="&amp;AA1004)</f>
        <v/>
      </c>
      <c r="AK1004" s="84">
        <f>C95</f>
        <v/>
      </c>
      <c r="AL1004" s="84">
        <f>C101</f>
        <v/>
      </c>
      <c r="AM1004" s="84">
        <f>MAX(0,AJ1004-AK1004)</f>
        <v/>
      </c>
      <c r="AN1004" s="84">
        <f>IF(AM1004=0,AH1004,IF(AM1004&gt;=AH1004,0,AH1004-AM1004))</f>
        <v/>
      </c>
      <c r="AO1004" s="84">
        <f>IF(AM1004&gt;=AH1004,AI1004,AI1004*AM1004/AH1004)</f>
        <v/>
      </c>
      <c r="AP1004">
        <f t="array" ref="AP1004">INDEX($AU$8:$BB$25,6*(R1004-1)+MATCH(AB1004,$AS$8:$AS$13,0),MATCH(O1004,$AU$7:$BB$7,0))</f>
        <v/>
      </c>
    </row>
    <row r="1005" ht="14.25" customHeight="1">
      <c r="O1005" s="43" t="inlineStr">
        <is>
          <t>Q4’27</t>
        </is>
      </c>
      <c r="P1005" s="43" t="n">
        <v>3</v>
      </c>
      <c r="Q1005" s="43" t="n">
        <v>6</v>
      </c>
      <c r="R1005" s="43" t="n">
        <v>2</v>
      </c>
      <c r="S1005" s="45" t="n">
        <v>6511.498551862259</v>
      </c>
      <c r="T1005">
        <f>(S1004+S1005+S1006)=U4</f>
        <v/>
      </c>
      <c r="X1005" s="84">
        <f>MAX(S1002-S1005,0)</f>
        <v/>
      </c>
      <c r="Y1005" s="83" t="n">
        <v>0</v>
      </c>
      <c r="AA1005" s="84" t="n">
        <v>1</v>
      </c>
      <c r="AB1005" s="84" t="inlineStr">
        <is>
          <t>D</t>
        </is>
      </c>
      <c r="AC1005" s="84" t="inlineStr">
        <is>
          <t>D+</t>
        </is>
      </c>
      <c r="AD1005" s="84" t="n">
        <v>12</v>
      </c>
      <c r="AE1005" s="84" t="n">
        <v>11</v>
      </c>
      <c r="AF1005" s="84" t="n">
        <v>0.8</v>
      </c>
      <c r="AG1005" s="84" t="n">
        <v>0.88</v>
      </c>
      <c r="AH1005" s="84" t="n">
        <v>0</v>
      </c>
      <c r="AI1005" s="84" t="n">
        <v>0</v>
      </c>
      <c r="AJ1005" s="84">
        <f>SUMIFS(AH$8:AH$1039,$O$8:$O$1039,O1005,$AB$8:$AB$1039,AB1005,$R$8:$R$1039,R1005,$AA$8:$AA$1039,"&lt;="&amp;AA1005)</f>
        <v/>
      </c>
      <c r="AK1005" s="84">
        <f>D95</f>
        <v/>
      </c>
      <c r="AL1005" s="84">
        <f>D101</f>
        <v/>
      </c>
      <c r="AM1005" s="84">
        <f>MAX(0,AJ1005-AK1005)</f>
        <v/>
      </c>
      <c r="AN1005" s="84">
        <f>IF(AM1005=0,AH1005,IF(AM1005&gt;=AH1005,0,AH1005-AM1005))</f>
        <v/>
      </c>
      <c r="AO1005" s="84">
        <f>IF(AM1005&gt;=AH1005,AI1005,AI1005*AM1005/AH1005)</f>
        <v/>
      </c>
      <c r="AP1005">
        <f t="array" ref="AP1005">INDEX($AU$8:$BB$25,6*(R1005-1)+MATCH(AB1005,$AS$8:$AS$13,0),MATCH(O1005,$AU$7:$BB$7,0))</f>
        <v/>
      </c>
    </row>
    <row r="1006" ht="14.25" customHeight="1">
      <c r="O1006" s="43" t="inlineStr">
        <is>
          <t>Q4’27</t>
        </is>
      </c>
      <c r="P1006" s="43" t="n">
        <v>3</v>
      </c>
      <c r="Q1006" s="43" t="n">
        <v>6</v>
      </c>
      <c r="R1006" s="43" t="n">
        <v>3</v>
      </c>
      <c r="S1006" s="45" t="n">
        <v>3815.12941176472</v>
      </c>
      <c r="T1006">
        <f>(S1004+S1005+S1006)=U4</f>
        <v/>
      </c>
      <c r="X1006" s="84">
        <f>MAX(S1003-S1006,0)</f>
        <v/>
      </c>
      <c r="Y1006" s="83" t="n">
        <v>0</v>
      </c>
      <c r="AA1006" s="84" t="n">
        <v>1</v>
      </c>
      <c r="AB1006" s="84" t="inlineStr">
        <is>
          <t>D</t>
        </is>
      </c>
      <c r="AC1006" s="84" t="inlineStr">
        <is>
          <t>D+</t>
        </is>
      </c>
      <c r="AD1006" s="84" t="n">
        <v>12</v>
      </c>
      <c r="AE1006" s="84" t="n">
        <v>11</v>
      </c>
      <c r="AF1006" s="84" t="n">
        <v>0.8</v>
      </c>
      <c r="AG1006" s="84" t="n">
        <v>0.88</v>
      </c>
      <c r="AH1006" s="84" t="n">
        <v>0</v>
      </c>
      <c r="AI1006" s="84" t="n">
        <v>0</v>
      </c>
      <c r="AJ1006" s="84">
        <f>SUMIFS(AH$8:AH$1039,$O$8:$O$1039,O1006,$AB$8:$AB$1039,AB1006,$R$8:$R$1039,R1006,$AA$8:$AA$1039,"&lt;="&amp;AA1006)</f>
        <v/>
      </c>
      <c r="AK1006" s="84">
        <f>E95</f>
        <v/>
      </c>
      <c r="AL1006" s="84">
        <f>E101</f>
        <v/>
      </c>
      <c r="AM1006" s="84">
        <f>MAX(0,AJ1006-AK1006)</f>
        <v/>
      </c>
      <c r="AN1006" s="84">
        <f>IF(AM1006=0,AH1006,IF(AM1006&gt;=AH1006,0,AH1006-AM1006))</f>
        <v/>
      </c>
      <c r="AO1006" s="84">
        <f>IF(AM1006&gt;=AH1006,AI1006,AI1006*AM1006/AH1006)</f>
        <v/>
      </c>
      <c r="AP1006">
        <f t="array" ref="AP1006">INDEX($AU$8:$BB$25,6*(R1006-1)+MATCH(AB1006,$AS$8:$AS$13,0),MATCH(O1006,$AU$7:$BB$7,0))</f>
        <v/>
      </c>
    </row>
    <row r="1007" ht="14.25" customHeight="1">
      <c r="O1007" s="43" t="inlineStr">
        <is>
          <t>Q4’27</t>
        </is>
      </c>
      <c r="P1007" s="43" t="n">
        <v>3</v>
      </c>
      <c r="Q1007" s="43" t="n">
        <v>7</v>
      </c>
      <c r="R1007" s="43" t="n">
        <v>1</v>
      </c>
      <c r="S1007" s="45" t="n">
        <v>5310.820728815048</v>
      </c>
      <c r="T1007">
        <f>(S1007+S1008+S1009)=U4</f>
        <v/>
      </c>
      <c r="X1007" s="84">
        <f>MAX(S1004-S1007,0)</f>
        <v/>
      </c>
      <c r="Y1007" s="83" t="n">
        <v>0</v>
      </c>
      <c r="AA1007" s="84" t="n">
        <v>3</v>
      </c>
      <c r="AB1007" s="84" t="inlineStr">
        <is>
          <t>C</t>
        </is>
      </c>
      <c r="AC1007" s="84" t="inlineStr">
        <is>
          <t>C+</t>
        </is>
      </c>
      <c r="AD1007" s="84" t="n">
        <v>24</v>
      </c>
      <c r="AE1007" s="84" t="n">
        <v>21</v>
      </c>
      <c r="AF1007" s="84" t="n">
        <v>0.8</v>
      </c>
      <c r="AG1007" s="84" t="n">
        <v>0.86</v>
      </c>
      <c r="AH1007" s="84" t="n">
        <v>0</v>
      </c>
      <c r="AI1007" s="84" t="n">
        <v>0</v>
      </c>
      <c r="AJ1007" s="84">
        <f>SUMIFS(AH$8:AH$1039,$O$8:$O$1039,O1007,$AB$8:$AB$1039,AB1007,$R$8:$R$1039,R1007,$AA$8:$AA$1039,"&lt;="&amp;AA1007)</f>
        <v/>
      </c>
      <c r="AK1007" s="84">
        <f>C94</f>
        <v/>
      </c>
      <c r="AL1007" s="84">
        <f>C100</f>
        <v/>
      </c>
      <c r="AM1007" s="84">
        <f>MAX(0,AJ1007-AK1007)</f>
        <v/>
      </c>
      <c r="AN1007" s="84">
        <f>IF(AM1007=0,AH1007,IF(AM1007&gt;=AH1007,0,AH1007-AM1007))</f>
        <v/>
      </c>
      <c r="AO1007" s="84">
        <f>IF(AM1007&gt;=AH1007,AI1007,AI1007*AM1007/AH1007)</f>
        <v/>
      </c>
      <c r="AP1007">
        <f t="array" ref="AP1007">INDEX($AU$8:$BB$25,6*(R1007-1)+MATCH(AB1007,$AS$8:$AS$13,0),MATCH(O1007,$AU$7:$BB$7,0))</f>
        <v/>
      </c>
    </row>
    <row r="1008" ht="14.25" customHeight="1">
      <c r="O1008" s="43" t="inlineStr">
        <is>
          <t>Q4’27</t>
        </is>
      </c>
      <c r="P1008" s="43" t="n">
        <v>3</v>
      </c>
      <c r="Q1008" s="43" t="n">
        <v>7</v>
      </c>
      <c r="R1008" s="43" t="n">
        <v>2</v>
      </c>
      <c r="S1008" s="45" t="n">
        <v>6874.049859420232</v>
      </c>
      <c r="T1008">
        <f>(S1007+S1008+S1009)=U4</f>
        <v/>
      </c>
      <c r="X1008" s="84">
        <f>MAX(S1005-S1008,0)</f>
        <v/>
      </c>
      <c r="Y1008" s="83" t="n">
        <v>0</v>
      </c>
      <c r="AA1008" s="84" t="n">
        <v>3</v>
      </c>
      <c r="AB1008" s="84" t="inlineStr">
        <is>
          <t>C</t>
        </is>
      </c>
      <c r="AC1008" s="84" t="inlineStr">
        <is>
          <t>C+</t>
        </is>
      </c>
      <c r="AD1008" s="84" t="n">
        <v>24</v>
      </c>
      <c r="AE1008" s="84" t="n">
        <v>21</v>
      </c>
      <c r="AF1008" s="84" t="n">
        <v>0.8</v>
      </c>
      <c r="AG1008" s="84" t="n">
        <v>0.86</v>
      </c>
      <c r="AH1008" s="84" t="n">
        <v>0</v>
      </c>
      <c r="AI1008" s="84" t="n">
        <v>0</v>
      </c>
      <c r="AJ1008" s="84">
        <f>SUMIFS(AH$8:AH$1039,$O$8:$O$1039,O1008,$AB$8:$AB$1039,AB1008,$R$8:$R$1039,R1008,$AA$8:$AA$1039,"&lt;="&amp;AA1008)</f>
        <v/>
      </c>
      <c r="AK1008" s="84">
        <f>D94</f>
        <v/>
      </c>
      <c r="AL1008" s="84">
        <f>D100</f>
        <v/>
      </c>
      <c r="AM1008" s="84">
        <f>MAX(0,AJ1008-AK1008)</f>
        <v/>
      </c>
      <c r="AN1008" s="84">
        <f>IF(AM1008=0,AH1008,IF(AM1008&gt;=AH1008,0,AH1008-AM1008))</f>
        <v/>
      </c>
      <c r="AO1008" s="84">
        <f>IF(AM1008&gt;=AH1008,AI1008,AI1008*AM1008/AH1008)</f>
        <v/>
      </c>
      <c r="AP1008">
        <f t="array" ref="AP1008">INDEX($AU$8:$BB$25,6*(R1008-1)+MATCH(AB1008,$AS$8:$AS$13,0),MATCH(O1008,$AU$7:$BB$7,0))</f>
        <v/>
      </c>
    </row>
    <row r="1009" ht="14.25" customHeight="1">
      <c r="O1009" s="43" t="inlineStr">
        <is>
          <t>Q4’27</t>
        </is>
      </c>
      <c r="P1009" s="43" t="n">
        <v>3</v>
      </c>
      <c r="Q1009" s="43" t="n">
        <v>7</v>
      </c>
      <c r="R1009" s="43" t="n">
        <v>3</v>
      </c>
      <c r="S1009" s="45" t="n">
        <v>3815.12941176472</v>
      </c>
      <c r="T1009">
        <f>(S1007+S1008+S1009)=U4</f>
        <v/>
      </c>
      <c r="X1009" s="84">
        <f>MAX(S1006-S1009,0)</f>
        <v/>
      </c>
      <c r="Y1009" s="83" t="n">
        <v>0</v>
      </c>
      <c r="AA1009" s="84" t="n">
        <v>3</v>
      </c>
      <c r="AB1009" s="84" t="inlineStr">
        <is>
          <t>C</t>
        </is>
      </c>
      <c r="AC1009" s="84" t="inlineStr">
        <is>
          <t>C+</t>
        </is>
      </c>
      <c r="AD1009" s="84" t="n">
        <v>24</v>
      </c>
      <c r="AE1009" s="84" t="n">
        <v>21</v>
      </c>
      <c r="AF1009" s="84" t="n">
        <v>0.8</v>
      </c>
      <c r="AG1009" s="84" t="n">
        <v>0.86</v>
      </c>
      <c r="AH1009" s="84" t="n">
        <v>0</v>
      </c>
      <c r="AI1009" s="84" t="n">
        <v>0</v>
      </c>
      <c r="AJ1009" s="84">
        <f>SUMIFS(AH$8:AH$1039,$O$8:$O$1039,O1009,$AB$8:$AB$1039,AB1009,$R$8:$R$1039,R1009,$AA$8:$AA$1039,"&lt;="&amp;AA1009)</f>
        <v/>
      </c>
      <c r="AK1009" s="84">
        <f>E94</f>
        <v/>
      </c>
      <c r="AL1009" s="84">
        <f>E100</f>
        <v/>
      </c>
      <c r="AM1009" s="84">
        <f>MAX(0,AJ1009-AK1009)</f>
        <v/>
      </c>
      <c r="AN1009" s="84">
        <f>IF(AM1009=0,AH1009,IF(AM1009&gt;=AH1009,0,AH1009-AM1009))</f>
        <v/>
      </c>
      <c r="AO1009" s="84">
        <f>IF(AM1009&gt;=AH1009,AI1009,AI1009*AM1009/AH1009)</f>
        <v/>
      </c>
      <c r="AP1009">
        <f t="array" ref="AP1009">INDEX($AU$8:$BB$25,6*(R1009-1)+MATCH(AB1009,$AS$8:$AS$13,0),MATCH(O1009,$AU$7:$BB$7,0))</f>
        <v/>
      </c>
    </row>
    <row r="1010" ht="14.25" customHeight="1">
      <c r="O1010" s="43" t="inlineStr">
        <is>
          <t>Q4’27</t>
        </is>
      </c>
      <c r="P1010" s="43" t="n">
        <v>3</v>
      </c>
      <c r="Q1010" s="43" t="n">
        <v>8</v>
      </c>
      <c r="R1010" s="43" t="n">
        <v>1</v>
      </c>
      <c r="S1010" s="45" t="n">
        <v>5310.820728815048</v>
      </c>
      <c r="T1010">
        <f>(S1010+S1011+S1012)=U4</f>
        <v/>
      </c>
      <c r="X1010" s="84">
        <f>MAX(S1007-S1010,0)</f>
        <v/>
      </c>
      <c r="Y1010" s="83" t="n">
        <v>0</v>
      </c>
      <c r="AA1010" s="84" t="n">
        <v>5</v>
      </c>
      <c r="AB1010" s="84" t="inlineStr">
        <is>
          <t>C</t>
        </is>
      </c>
      <c r="AC1010" s="84" t="inlineStr">
        <is>
          <t>C+</t>
        </is>
      </c>
      <c r="AD1010" s="84" t="n">
        <v>19</v>
      </c>
      <c r="AE1010" s="84" t="n">
        <v>13</v>
      </c>
      <c r="AF1010" s="84" t="n">
        <v>0.8</v>
      </c>
      <c r="AG1010" s="84" t="n">
        <v>0.86</v>
      </c>
      <c r="AH1010" s="84" t="n">
        <v>0</v>
      </c>
      <c r="AI1010" s="84" t="n">
        <v>0</v>
      </c>
      <c r="AJ1010" s="84">
        <f>SUMIFS(AH$8:AH$1039,$O$8:$O$1039,O1010,$AB$8:$AB$1039,AB1010,$R$8:$R$1039,R1010,$AA$8:$AA$1039,"&lt;="&amp;AA1010)</f>
        <v/>
      </c>
      <c r="AK1010" s="84">
        <f>C94</f>
        <v/>
      </c>
      <c r="AL1010" s="84">
        <f>C100</f>
        <v/>
      </c>
      <c r="AM1010" s="84">
        <f>MAX(0,AJ1010-AK1010)</f>
        <v/>
      </c>
      <c r="AN1010" s="84">
        <f>IF(AM1010=0,AH1010,IF(AM1010&gt;=AH1010,0,AH1010-AM1010))</f>
        <v/>
      </c>
      <c r="AO1010" s="84">
        <f>IF(AM1010&gt;=AH1010,AI1010,AI1010*AM1010/AH1010)</f>
        <v/>
      </c>
      <c r="AP1010">
        <f t="array" ref="AP1010">INDEX($AU$8:$BB$25,6*(R1010-1)+MATCH(AB1010,$AS$8:$AS$13,0),MATCH(O1010,$AU$7:$BB$7,0))</f>
        <v/>
      </c>
    </row>
    <row r="1011" ht="14.25" customHeight="1">
      <c r="O1011" s="43" t="inlineStr">
        <is>
          <t>Q4’27</t>
        </is>
      </c>
      <c r="P1011" s="43" t="n">
        <v>3</v>
      </c>
      <c r="Q1011" s="43" t="n">
        <v>8</v>
      </c>
      <c r="R1011" s="43" t="n">
        <v>2</v>
      </c>
      <c r="S1011" s="45" t="n">
        <v>6874.049859420222</v>
      </c>
      <c r="T1011">
        <f>(S1010+S1011+S1012)=U4</f>
        <v/>
      </c>
      <c r="X1011" s="84">
        <f>MAX(S1008-S1011,0)</f>
        <v/>
      </c>
      <c r="Y1011" s="83" t="n">
        <v>0</v>
      </c>
      <c r="AA1011" s="84" t="n">
        <v>5</v>
      </c>
      <c r="AB1011" s="84" t="inlineStr">
        <is>
          <t>C</t>
        </is>
      </c>
      <c r="AC1011" s="84" t="inlineStr">
        <is>
          <t>C+</t>
        </is>
      </c>
      <c r="AD1011" s="84" t="n">
        <v>19</v>
      </c>
      <c r="AE1011" s="84" t="n">
        <v>13</v>
      </c>
      <c r="AF1011" s="84" t="n">
        <v>0.8</v>
      </c>
      <c r="AG1011" s="84" t="n">
        <v>0.86</v>
      </c>
      <c r="AH1011" s="84" t="n">
        <v>0</v>
      </c>
      <c r="AI1011" s="84" t="n">
        <v>0</v>
      </c>
      <c r="AJ1011" s="84">
        <f>SUMIFS(AH$8:AH$1039,$O$8:$O$1039,O1011,$AB$8:$AB$1039,AB1011,$R$8:$R$1039,R1011,$AA$8:$AA$1039,"&lt;="&amp;AA1011)</f>
        <v/>
      </c>
      <c r="AK1011" s="84">
        <f>D94</f>
        <v/>
      </c>
      <c r="AL1011" s="84">
        <f>D100</f>
        <v/>
      </c>
      <c r="AM1011" s="84">
        <f>MAX(0,AJ1011-AK1011)</f>
        <v/>
      </c>
      <c r="AN1011" s="84">
        <f>IF(AM1011=0,AH1011,IF(AM1011&gt;=AH1011,0,AH1011-AM1011))</f>
        <v/>
      </c>
      <c r="AO1011" s="84">
        <f>IF(AM1011&gt;=AH1011,AI1011,AI1011*AM1011/AH1011)</f>
        <v/>
      </c>
      <c r="AP1011">
        <f t="array" ref="AP1011">INDEX($AU$8:$BB$25,6*(R1011-1)+MATCH(AB1011,$AS$8:$AS$13,0),MATCH(O1011,$AU$7:$BB$7,0))</f>
        <v/>
      </c>
    </row>
    <row r="1012" ht="14.25" customHeight="1">
      <c r="O1012" s="43" t="inlineStr">
        <is>
          <t>Q4’27</t>
        </is>
      </c>
      <c r="P1012" s="43" t="n">
        <v>3</v>
      </c>
      <c r="Q1012" s="43" t="n">
        <v>8</v>
      </c>
      <c r="R1012" s="43" t="n">
        <v>3</v>
      </c>
      <c r="S1012" s="45" t="n">
        <v>3815.12941176473</v>
      </c>
      <c r="T1012">
        <f>(S1010+S1011+S1012)=U4</f>
        <v/>
      </c>
      <c r="X1012" s="84">
        <f>MAX(S1009-S1012,0)</f>
        <v/>
      </c>
      <c r="Y1012" s="83" t="n">
        <v>0</v>
      </c>
      <c r="AA1012" s="84" t="n">
        <v>5</v>
      </c>
      <c r="AB1012" s="84" t="inlineStr">
        <is>
          <t>C</t>
        </is>
      </c>
      <c r="AC1012" s="84" t="inlineStr">
        <is>
          <t>C+</t>
        </is>
      </c>
      <c r="AD1012" s="84" t="n">
        <v>19</v>
      </c>
      <c r="AE1012" s="84" t="n">
        <v>13</v>
      </c>
      <c r="AF1012" s="84" t="n">
        <v>0.8</v>
      </c>
      <c r="AG1012" s="84" t="n">
        <v>0.86</v>
      </c>
      <c r="AH1012" s="84" t="n">
        <v>0</v>
      </c>
      <c r="AI1012" s="84" t="n">
        <v>0</v>
      </c>
      <c r="AJ1012" s="84">
        <f>SUMIFS(AH$8:AH$1039,$O$8:$O$1039,O1012,$AB$8:$AB$1039,AB1012,$R$8:$R$1039,R1012,$AA$8:$AA$1039,"&lt;="&amp;AA1012)</f>
        <v/>
      </c>
      <c r="AK1012" s="84">
        <f>E94</f>
        <v/>
      </c>
      <c r="AL1012" s="84">
        <f>E100</f>
        <v/>
      </c>
      <c r="AM1012" s="84">
        <f>MAX(0,AJ1012-AK1012)</f>
        <v/>
      </c>
      <c r="AN1012" s="84">
        <f>IF(AM1012=0,AH1012,IF(AM1012&gt;=AH1012,0,AH1012-AM1012))</f>
        <v/>
      </c>
      <c r="AO1012" s="84">
        <f>IF(AM1012&gt;=AH1012,AI1012,AI1012*AM1012/AH1012)</f>
        <v/>
      </c>
      <c r="AP1012">
        <f t="array" ref="AP1012">INDEX($AU$8:$BB$25,6*(R1012-1)+MATCH(AB1012,$AS$8:$AS$13,0),MATCH(O1012,$AU$7:$BB$7,0))</f>
        <v/>
      </c>
    </row>
    <row r="1013" ht="14.25" customHeight="1">
      <c r="O1013" s="43" t="inlineStr">
        <is>
          <t>Q4’27</t>
        </is>
      </c>
      <c r="P1013" s="43" t="n">
        <v>3</v>
      </c>
      <c r="Q1013" s="43" t="n">
        <v>9</v>
      </c>
      <c r="R1013" s="43" t="n">
        <v>1</v>
      </c>
      <c r="S1013" s="45" t="n">
        <v>5310.820728815048</v>
      </c>
      <c r="T1013">
        <f>(S1013+S1014+S1015)=U4</f>
        <v/>
      </c>
      <c r="X1013" s="84">
        <f>MAX(S1010-S1013,0)</f>
        <v/>
      </c>
      <c r="Y1013" s="83" t="n">
        <v>0</v>
      </c>
      <c r="AA1013" s="84" t="n">
        <v>3</v>
      </c>
      <c r="AB1013" s="84" t="inlineStr">
        <is>
          <t>D</t>
        </is>
      </c>
      <c r="AC1013" s="84" t="inlineStr">
        <is>
          <t>D+</t>
        </is>
      </c>
      <c r="AD1013" s="84" t="n">
        <v>15</v>
      </c>
      <c r="AE1013" s="84" t="n">
        <v>13</v>
      </c>
      <c r="AF1013" s="84" t="n">
        <v>0.8</v>
      </c>
      <c r="AG1013" s="84" t="n">
        <v>0.88</v>
      </c>
      <c r="AH1013" s="84" t="n">
        <v>0</v>
      </c>
      <c r="AI1013" s="84" t="n">
        <v>0</v>
      </c>
      <c r="AJ1013" s="84">
        <f>SUMIFS(AH$8:AH$1039,$O$8:$O$1039,O1013,$AB$8:$AB$1039,AB1013,$R$8:$R$1039,R1013,$AA$8:$AA$1039,"&lt;="&amp;AA1013)</f>
        <v/>
      </c>
      <c r="AK1013" s="84">
        <f>C95</f>
        <v/>
      </c>
      <c r="AL1013" s="84">
        <f>C101</f>
        <v/>
      </c>
      <c r="AM1013" s="84">
        <f>MAX(0,AJ1013-AK1013)</f>
        <v/>
      </c>
      <c r="AN1013" s="84">
        <f>IF(AM1013=0,AH1013,IF(AM1013&gt;=AH1013,0,AH1013-AM1013))</f>
        <v/>
      </c>
      <c r="AO1013" s="84">
        <f>IF(AM1013&gt;=AH1013,AI1013,AI1013*AM1013/AH1013)</f>
        <v/>
      </c>
      <c r="AP1013">
        <f t="array" ref="AP1013">INDEX($AU$8:$BB$25,6*(R1013-1)+MATCH(AB1013,$AS$8:$AS$13,0),MATCH(O1013,$AU$7:$BB$7,0))</f>
        <v/>
      </c>
    </row>
    <row r="1014" ht="14.25" customHeight="1">
      <c r="O1014" s="43" t="inlineStr">
        <is>
          <t>Q4’27</t>
        </is>
      </c>
      <c r="P1014" s="43" t="n">
        <v>3</v>
      </c>
      <c r="Q1014" s="43" t="n">
        <v>9</v>
      </c>
      <c r="R1014" s="43" t="n">
        <v>2</v>
      </c>
      <c r="S1014" s="45" t="n">
        <v>6951.376935526671</v>
      </c>
      <c r="T1014">
        <f>(S1013+S1014+S1015)=U4</f>
        <v/>
      </c>
      <c r="X1014" s="84">
        <f>MAX(S1011-S1014,0)</f>
        <v/>
      </c>
      <c r="Y1014" s="83" t="n">
        <v>0</v>
      </c>
      <c r="AA1014" s="84" t="n">
        <v>3</v>
      </c>
      <c r="AB1014" s="84" t="inlineStr">
        <is>
          <t>D</t>
        </is>
      </c>
      <c r="AC1014" s="84" t="inlineStr">
        <is>
          <t>D+</t>
        </is>
      </c>
      <c r="AD1014" s="84" t="n">
        <v>15</v>
      </c>
      <c r="AE1014" s="84" t="n">
        <v>13</v>
      </c>
      <c r="AF1014" s="84" t="n">
        <v>0.8</v>
      </c>
      <c r="AG1014" s="84" t="n">
        <v>0.88</v>
      </c>
      <c r="AH1014" s="84" t="n">
        <v>0</v>
      </c>
      <c r="AI1014" s="84" t="n">
        <v>0</v>
      </c>
      <c r="AJ1014" s="84">
        <f>SUMIFS(AH$8:AH$1039,$O$8:$O$1039,O1014,$AB$8:$AB$1039,AB1014,$R$8:$R$1039,R1014,$AA$8:$AA$1039,"&lt;="&amp;AA1014)</f>
        <v/>
      </c>
      <c r="AK1014" s="84">
        <f>D95</f>
        <v/>
      </c>
      <c r="AL1014" s="84">
        <f>D101</f>
        <v/>
      </c>
      <c r="AM1014" s="84">
        <f>MAX(0,AJ1014-AK1014)</f>
        <v/>
      </c>
      <c r="AN1014" s="84">
        <f>IF(AM1014=0,AH1014,IF(AM1014&gt;=AH1014,0,AH1014-AM1014))</f>
        <v/>
      </c>
      <c r="AO1014" s="84">
        <f>IF(AM1014&gt;=AH1014,AI1014,AI1014*AM1014/AH1014)</f>
        <v/>
      </c>
      <c r="AP1014">
        <f t="array" ref="AP1014">INDEX($AU$8:$BB$25,6*(R1014-1)+MATCH(AB1014,$AS$8:$AS$13,0),MATCH(O1014,$AU$7:$BB$7,0))</f>
        <v/>
      </c>
    </row>
    <row r="1015" ht="14.25" customHeight="1">
      <c r="O1015" s="43" t="inlineStr">
        <is>
          <t>Q4’27</t>
        </is>
      </c>
      <c r="P1015" s="43" t="n">
        <v>3</v>
      </c>
      <c r="Q1015" s="43" t="n">
        <v>9</v>
      </c>
      <c r="R1015" s="43" t="n">
        <v>3</v>
      </c>
      <c r="S1015" s="45" t="n">
        <v>3737.802335658281</v>
      </c>
      <c r="T1015">
        <f>(S1013+S1014+S1015)=U4</f>
        <v/>
      </c>
      <c r="X1015" s="84">
        <f>MAX(S1012-S1015,0)</f>
        <v/>
      </c>
      <c r="Y1015" s="83" t="n">
        <v>0</v>
      </c>
      <c r="AA1015" s="84" t="n">
        <v>3</v>
      </c>
      <c r="AB1015" s="84" t="inlineStr">
        <is>
          <t>D</t>
        </is>
      </c>
      <c r="AC1015" s="84" t="inlineStr">
        <is>
          <t>D+</t>
        </is>
      </c>
      <c r="AD1015" s="84" t="n">
        <v>15</v>
      </c>
      <c r="AE1015" s="84" t="n">
        <v>13</v>
      </c>
      <c r="AF1015" s="84" t="n">
        <v>0.8</v>
      </c>
      <c r="AG1015" s="84" t="n">
        <v>0.88</v>
      </c>
      <c r="AH1015" s="84" t="n">
        <v>0</v>
      </c>
      <c r="AI1015" s="84" t="n">
        <v>0</v>
      </c>
      <c r="AJ1015" s="84">
        <f>SUMIFS(AH$8:AH$1039,$O$8:$O$1039,O1015,$AB$8:$AB$1039,AB1015,$R$8:$R$1039,R1015,$AA$8:$AA$1039,"&lt;="&amp;AA1015)</f>
        <v/>
      </c>
      <c r="AK1015" s="84">
        <f>E95</f>
        <v/>
      </c>
      <c r="AL1015" s="84">
        <f>E101</f>
        <v/>
      </c>
      <c r="AM1015" s="84">
        <f>MAX(0,AJ1015-AK1015)</f>
        <v/>
      </c>
      <c r="AN1015" s="84">
        <f>IF(AM1015=0,AH1015,IF(AM1015&gt;=AH1015,0,AH1015-AM1015))</f>
        <v/>
      </c>
      <c r="AO1015" s="84">
        <f>IF(AM1015&gt;=AH1015,AI1015,AI1015*AM1015/AH1015)</f>
        <v/>
      </c>
      <c r="AP1015">
        <f t="array" ref="AP1015">INDEX($AU$8:$BB$25,6*(R1015-1)+MATCH(AB1015,$AS$8:$AS$13,0),MATCH(O1015,$AU$7:$BB$7,0))</f>
        <v/>
      </c>
    </row>
    <row r="1016" ht="14.25" customHeight="1">
      <c r="O1016" s="43" t="inlineStr">
        <is>
          <t>Q4’27</t>
        </is>
      </c>
      <c r="P1016" s="43" t="n">
        <v>3</v>
      </c>
      <c r="Q1016" s="43" t="n">
        <v>10</v>
      </c>
      <c r="R1016" s="43" t="n">
        <v>1</v>
      </c>
      <c r="S1016" s="45" t="n">
        <v>5310.820728815048</v>
      </c>
      <c r="T1016">
        <f>(S1016+S1017+S1018)=U4</f>
        <v/>
      </c>
      <c r="X1016" s="84">
        <f>MAX(S1013-S1016,0)</f>
        <v/>
      </c>
      <c r="Y1016" s="83" t="n">
        <v>0</v>
      </c>
      <c r="AA1016" s="84" t="n">
        <v>5</v>
      </c>
      <c r="AB1016" s="84" t="inlineStr">
        <is>
          <t>D</t>
        </is>
      </c>
      <c r="AC1016" s="84" t="inlineStr">
        <is>
          <t>D+</t>
        </is>
      </c>
      <c r="AD1016" s="84" t="n">
        <v>24</v>
      </c>
      <c r="AE1016" s="84" t="n">
        <v>20</v>
      </c>
      <c r="AF1016" s="84" t="n">
        <v>0.8</v>
      </c>
      <c r="AG1016" s="84" t="n">
        <v>0.88</v>
      </c>
      <c r="AH1016" s="84" t="n">
        <v>0</v>
      </c>
      <c r="AI1016" s="84" t="n">
        <v>0</v>
      </c>
      <c r="AJ1016" s="84">
        <f>SUMIFS(AH$8:AH$1039,$O$8:$O$1039,O1016,$AB$8:$AB$1039,AB1016,$R$8:$R$1039,R1016,$AA$8:$AA$1039,"&lt;="&amp;AA1016)</f>
        <v/>
      </c>
      <c r="AK1016" s="84">
        <f>C95</f>
        <v/>
      </c>
      <c r="AL1016" s="84">
        <f>C101</f>
        <v/>
      </c>
      <c r="AM1016" s="84">
        <f>MAX(0,AJ1016-AK1016)</f>
        <v/>
      </c>
      <c r="AN1016" s="84">
        <f>IF(AM1016=0,AH1016,IF(AM1016&gt;=AH1016,0,AH1016-AM1016))</f>
        <v/>
      </c>
      <c r="AO1016" s="84">
        <f>IF(AM1016&gt;=AH1016,AI1016,AI1016*AM1016/AH1016)</f>
        <v/>
      </c>
      <c r="AP1016">
        <f t="array" ref="AP1016">INDEX($AU$8:$BB$25,6*(R1016-1)+MATCH(AB1016,$AS$8:$AS$13,0),MATCH(O1016,$AU$7:$BB$7,0))</f>
        <v/>
      </c>
    </row>
    <row r="1017" ht="14.25" customHeight="1">
      <c r="O1017" s="43" t="inlineStr">
        <is>
          <t>Q4’27</t>
        </is>
      </c>
      <c r="P1017" s="43" t="n">
        <v>3</v>
      </c>
      <c r="Q1017" s="43" t="n">
        <v>10</v>
      </c>
      <c r="R1017" s="43" t="n">
        <v>2</v>
      </c>
      <c r="S1017" s="45" t="n">
        <v>6951.376935526671</v>
      </c>
      <c r="T1017">
        <f>(S1016+S1017+S1018)=U4</f>
        <v/>
      </c>
      <c r="X1017" s="84">
        <f>MAX(S1014-S1017,0)</f>
        <v/>
      </c>
      <c r="Y1017" s="83" t="n">
        <v>0</v>
      </c>
      <c r="AA1017" s="84" t="n">
        <v>5</v>
      </c>
      <c r="AB1017" s="84" t="inlineStr">
        <is>
          <t>D</t>
        </is>
      </c>
      <c r="AC1017" s="84" t="inlineStr">
        <is>
          <t>D+</t>
        </is>
      </c>
      <c r="AD1017" s="84" t="n">
        <v>24</v>
      </c>
      <c r="AE1017" s="84" t="n">
        <v>20</v>
      </c>
      <c r="AF1017" s="84" t="n">
        <v>0.8</v>
      </c>
      <c r="AG1017" s="84" t="n">
        <v>0.88</v>
      </c>
      <c r="AH1017" s="84" t="n">
        <v>0</v>
      </c>
      <c r="AI1017" s="84" t="n">
        <v>0</v>
      </c>
      <c r="AJ1017" s="84">
        <f>SUMIFS(AH$8:AH$1039,$O$8:$O$1039,O1017,$AB$8:$AB$1039,AB1017,$R$8:$R$1039,R1017,$AA$8:$AA$1039,"&lt;="&amp;AA1017)</f>
        <v/>
      </c>
      <c r="AK1017" s="84">
        <f>D95</f>
        <v/>
      </c>
      <c r="AL1017" s="84">
        <f>D101</f>
        <v/>
      </c>
      <c r="AM1017" s="84">
        <f>MAX(0,AJ1017-AK1017)</f>
        <v/>
      </c>
      <c r="AN1017" s="84">
        <f>IF(AM1017=0,AH1017,IF(AM1017&gt;=AH1017,0,AH1017-AM1017))</f>
        <v/>
      </c>
      <c r="AO1017" s="84">
        <f>IF(AM1017&gt;=AH1017,AI1017,AI1017*AM1017/AH1017)</f>
        <v/>
      </c>
      <c r="AP1017">
        <f t="array" ref="AP1017">INDEX($AU$8:$BB$25,6*(R1017-1)+MATCH(AB1017,$AS$8:$AS$13,0),MATCH(O1017,$AU$7:$BB$7,0))</f>
        <v/>
      </c>
    </row>
    <row r="1018" ht="14.25" customHeight="1">
      <c r="O1018" s="43" t="inlineStr">
        <is>
          <t>Q4’27</t>
        </is>
      </c>
      <c r="P1018" s="43" t="n">
        <v>3</v>
      </c>
      <c r="Q1018" s="43" t="n">
        <v>10</v>
      </c>
      <c r="R1018" s="43" t="n">
        <v>3</v>
      </c>
      <c r="S1018" s="45" t="n">
        <v>3737.802335658281</v>
      </c>
      <c r="T1018">
        <f>(S1016+S1017+S1018)=U4</f>
        <v/>
      </c>
      <c r="X1018" s="84">
        <f>MAX(S1015-S1018,0)</f>
        <v/>
      </c>
      <c r="Y1018" s="83" t="n">
        <v>0</v>
      </c>
      <c r="AA1018" s="84" t="n">
        <v>5</v>
      </c>
      <c r="AB1018" s="84" t="inlineStr">
        <is>
          <t>D</t>
        </is>
      </c>
      <c r="AC1018" s="84" t="inlineStr">
        <is>
          <t>D+</t>
        </is>
      </c>
      <c r="AD1018" s="84" t="n">
        <v>24</v>
      </c>
      <c r="AE1018" s="84" t="n">
        <v>20</v>
      </c>
      <c r="AF1018" s="84" t="n">
        <v>0.8</v>
      </c>
      <c r="AG1018" s="84" t="n">
        <v>0.88</v>
      </c>
      <c r="AH1018" s="84" t="n">
        <v>0</v>
      </c>
      <c r="AI1018" s="84" t="n">
        <v>0</v>
      </c>
      <c r="AJ1018" s="84">
        <f>SUMIFS(AH$8:AH$1039,$O$8:$O$1039,O1018,$AB$8:$AB$1039,AB1018,$R$8:$R$1039,R1018,$AA$8:$AA$1039,"&lt;="&amp;AA1018)</f>
        <v/>
      </c>
      <c r="AK1018" s="84">
        <f>E95</f>
        <v/>
      </c>
      <c r="AL1018" s="84">
        <f>E101</f>
        <v/>
      </c>
      <c r="AM1018" s="84">
        <f>MAX(0,AJ1018-AK1018)</f>
        <v/>
      </c>
      <c r="AN1018" s="84">
        <f>IF(AM1018=0,AH1018,IF(AM1018&gt;=AH1018,0,AH1018-AM1018))</f>
        <v/>
      </c>
      <c r="AO1018" s="84">
        <f>IF(AM1018&gt;=AH1018,AI1018,AI1018*AM1018/AH1018)</f>
        <v/>
      </c>
      <c r="AP1018">
        <f t="array" ref="AP1018">INDEX($AU$8:$BB$25,6*(R1018-1)+MATCH(AB1018,$AS$8:$AS$13,0),MATCH(O1018,$AU$7:$BB$7,0))</f>
        <v/>
      </c>
    </row>
    <row r="1019" ht="14.25" customHeight="1">
      <c r="O1019" s="43" t="inlineStr">
        <is>
          <t>Q4’27</t>
        </is>
      </c>
      <c r="P1019" s="43" t="n">
        <v>3</v>
      </c>
      <c r="Q1019" s="43" t="n">
        <v>11</v>
      </c>
      <c r="R1019" s="43" t="n">
        <v>1</v>
      </c>
      <c r="S1019" s="45" t="n">
        <v>5110.22306447334</v>
      </c>
      <c r="T1019">
        <f>(S1019+S1020+S1021)=U4</f>
        <v/>
      </c>
      <c r="X1019" s="84">
        <f>MAX(S1016-S1019,0)</f>
        <v/>
      </c>
      <c r="Y1019" s="83" t="n">
        <v>0</v>
      </c>
      <c r="AA1019" s="84" t="n">
        <v>3</v>
      </c>
      <c r="AB1019" s="84" t="inlineStr">
        <is>
          <t>E</t>
        </is>
      </c>
      <c r="AC1019" s="84" t="inlineStr">
        <is>
          <t>E+</t>
        </is>
      </c>
      <c r="AD1019" s="84" t="n">
        <v>17</v>
      </c>
      <c r="AE1019" s="84" t="n">
        <v>15</v>
      </c>
      <c r="AF1019" s="84" t="n">
        <v>0.76</v>
      </c>
      <c r="AG1019" s="84" t="n">
        <v>0.84</v>
      </c>
      <c r="AH1019" s="84" t="n">
        <v>0</v>
      </c>
      <c r="AI1019" s="84" t="n">
        <v>0</v>
      </c>
      <c r="AJ1019" s="84">
        <f>SUMIFS(AH$8:AH$1039,$O$8:$O$1039,O1019,$AB$8:$AB$1039,AB1019,$R$8:$R$1039,R1019,$AA$8:$AA$1039,"&lt;="&amp;AA1019)</f>
        <v/>
      </c>
      <c r="AK1019" s="84">
        <f>C96</f>
        <v/>
      </c>
      <c r="AL1019" s="84">
        <f>C102</f>
        <v/>
      </c>
      <c r="AM1019" s="84">
        <f>MAX(0,AJ1019-AK1019)</f>
        <v/>
      </c>
      <c r="AN1019" s="84">
        <f>IF(AM1019=0,AH1019,IF(AM1019&gt;=AH1019,0,AH1019-AM1019))</f>
        <v/>
      </c>
      <c r="AO1019" s="84">
        <f>IF(AM1019&gt;=AH1019,AI1019,AI1019*AM1019/AH1019)</f>
        <v/>
      </c>
      <c r="AP1019">
        <f t="array" ref="AP1019">INDEX($AU$8:$BB$25,6*(R1019-1)+MATCH(AB1019,$AS$8:$AS$13,0),MATCH(O1019,$AU$7:$BB$7,0))</f>
        <v/>
      </c>
    </row>
    <row r="1020" ht="14.25" customHeight="1">
      <c r="O1020" s="43" t="inlineStr">
        <is>
          <t>Q4’27</t>
        </is>
      </c>
      <c r="P1020" s="43" t="n">
        <v>3</v>
      </c>
      <c r="Q1020" s="43" t="n">
        <v>11</v>
      </c>
      <c r="R1020" s="43" t="n">
        <v>2</v>
      </c>
      <c r="S1020" s="45" t="n">
        <v>6951.376935526671</v>
      </c>
      <c r="T1020">
        <f>(S1019+S1020+S1021)=U4</f>
        <v/>
      </c>
      <c r="X1020" s="84">
        <f>MAX(S1017-S1020,0)</f>
        <v/>
      </c>
      <c r="Y1020" s="83" t="n">
        <v>0</v>
      </c>
      <c r="AA1020" s="84" t="n">
        <v>3</v>
      </c>
      <c r="AB1020" s="84" t="inlineStr">
        <is>
          <t>E</t>
        </is>
      </c>
      <c r="AC1020" s="84" t="inlineStr">
        <is>
          <t>E+</t>
        </is>
      </c>
      <c r="AD1020" s="84" t="n">
        <v>17</v>
      </c>
      <c r="AE1020" s="84" t="n">
        <v>15</v>
      </c>
      <c r="AF1020" s="84" t="n">
        <v>0.76</v>
      </c>
      <c r="AG1020" s="84" t="n">
        <v>0.84</v>
      </c>
      <c r="AH1020" s="84" t="n">
        <v>0</v>
      </c>
      <c r="AI1020" s="84" t="n">
        <v>0</v>
      </c>
      <c r="AJ1020" s="84">
        <f>SUMIFS(AH$8:AH$1039,$O$8:$O$1039,O1020,$AB$8:$AB$1039,AB1020,$R$8:$R$1039,R1020,$AA$8:$AA$1039,"&lt;="&amp;AA1020)</f>
        <v/>
      </c>
      <c r="AK1020" s="84">
        <f>D96</f>
        <v/>
      </c>
      <c r="AL1020" s="84">
        <f>D102</f>
        <v/>
      </c>
      <c r="AM1020" s="84">
        <f>MAX(0,AJ1020-AK1020)</f>
        <v/>
      </c>
      <c r="AN1020" s="84">
        <f>IF(AM1020=0,AH1020,IF(AM1020&gt;=AH1020,0,AH1020-AM1020))</f>
        <v/>
      </c>
      <c r="AO1020" s="84">
        <f>IF(AM1020&gt;=AH1020,AI1020,AI1020*AM1020/AH1020)</f>
        <v/>
      </c>
      <c r="AP1020">
        <f t="array" ref="AP1020">INDEX($AU$8:$BB$25,6*(R1020-1)+MATCH(AB1020,$AS$8:$AS$13,0),MATCH(O1020,$AU$7:$BB$7,0))</f>
        <v/>
      </c>
    </row>
    <row r="1021" ht="14.25" customHeight="1">
      <c r="O1021" s="43" t="inlineStr">
        <is>
          <t>Q4’27</t>
        </is>
      </c>
      <c r="P1021" s="43" t="n">
        <v>3</v>
      </c>
      <c r="Q1021" s="43" t="n">
        <v>11</v>
      </c>
      <c r="R1021" s="43" t="n">
        <v>3</v>
      </c>
      <c r="S1021" s="45" t="n">
        <v>3938.399999999989</v>
      </c>
      <c r="T1021">
        <f>(S1019+S1020+S1021)=U4</f>
        <v/>
      </c>
      <c r="X1021" s="84">
        <f>MAX(S1018-S1021,0)</f>
        <v/>
      </c>
      <c r="Y1021" s="83" t="n">
        <v>0</v>
      </c>
      <c r="AA1021" s="84" t="n">
        <v>3</v>
      </c>
      <c r="AB1021" s="84" t="inlineStr">
        <is>
          <t>E</t>
        </is>
      </c>
      <c r="AC1021" s="84" t="inlineStr">
        <is>
          <t>E+</t>
        </is>
      </c>
      <c r="AD1021" s="84" t="n">
        <v>17</v>
      </c>
      <c r="AE1021" s="84" t="n">
        <v>15</v>
      </c>
      <c r="AF1021" s="84" t="n">
        <v>0.76</v>
      </c>
      <c r="AG1021" s="84" t="n">
        <v>0.84</v>
      </c>
      <c r="AH1021" s="84" t="n">
        <v>0</v>
      </c>
      <c r="AI1021" s="84" t="n">
        <v>0</v>
      </c>
      <c r="AJ1021" s="84">
        <f>SUMIFS(AH$8:AH$1039,$O$8:$O$1039,O1021,$AB$8:$AB$1039,AB1021,$R$8:$R$1039,R1021,$AA$8:$AA$1039,"&lt;="&amp;AA1021)</f>
        <v/>
      </c>
      <c r="AK1021" s="84">
        <f>E96</f>
        <v/>
      </c>
      <c r="AL1021" s="84">
        <f>E102</f>
        <v/>
      </c>
      <c r="AM1021" s="84">
        <f>MAX(0,AJ1021-AK1021)</f>
        <v/>
      </c>
      <c r="AN1021" s="84">
        <f>IF(AM1021=0,AH1021,IF(AM1021&gt;=AH1021,0,AH1021-AM1021))</f>
        <v/>
      </c>
      <c r="AO1021" s="84">
        <f>IF(AM1021&gt;=AH1021,AI1021,AI1021*AM1021/AH1021)</f>
        <v/>
      </c>
      <c r="AP1021">
        <f t="array" ref="AP1021">INDEX($AU$8:$BB$25,6*(R1021-1)+MATCH(AB1021,$AS$8:$AS$13,0),MATCH(O1021,$AU$7:$BB$7,0))</f>
        <v/>
      </c>
    </row>
    <row r="1022" ht="14.25" customHeight="1">
      <c r="O1022" s="43" t="inlineStr">
        <is>
          <t>Q4’27</t>
        </is>
      </c>
      <c r="P1022" s="43" t="n">
        <v>3</v>
      </c>
      <c r="Q1022" s="43" t="n">
        <v>12</v>
      </c>
      <c r="R1022" s="43" t="n">
        <v>1</v>
      </c>
      <c r="S1022" s="45" t="n">
        <v>5110.223064473341</v>
      </c>
      <c r="T1022">
        <f>(S1022+S1023+S1024)=U4</f>
        <v/>
      </c>
      <c r="X1022" s="84">
        <f>MAX(S1019-S1022,0)</f>
        <v/>
      </c>
      <c r="Y1022" s="83" t="n">
        <v>0</v>
      </c>
      <c r="AA1022" s="84" t="n">
        <v>10</v>
      </c>
      <c r="AB1022" s="84" t="inlineStr">
        <is>
          <t>E</t>
        </is>
      </c>
      <c r="AC1022" s="84" t="inlineStr">
        <is>
          <t>E+</t>
        </is>
      </c>
      <c r="AD1022" s="84" t="n">
        <v>18</v>
      </c>
      <c r="AE1022" s="84" t="n">
        <v>13</v>
      </c>
      <c r="AF1022" s="84" t="n">
        <v>0.76</v>
      </c>
      <c r="AG1022" s="84" t="n">
        <v>0.84</v>
      </c>
      <c r="AH1022" s="84" t="n">
        <v>0</v>
      </c>
      <c r="AI1022" s="84" t="n">
        <v>0</v>
      </c>
      <c r="AJ1022" s="84">
        <f>SUMIFS(AH$8:AH$1039,$O$8:$O$1039,O1022,$AB$8:$AB$1039,AB1022,$R$8:$R$1039,R1022,$AA$8:$AA$1039,"&lt;="&amp;AA1022)</f>
        <v/>
      </c>
      <c r="AK1022" s="84">
        <f>C96</f>
        <v/>
      </c>
      <c r="AL1022" s="84">
        <f>C102</f>
        <v/>
      </c>
      <c r="AM1022" s="84">
        <f>MAX(0,AJ1022-AK1022)</f>
        <v/>
      </c>
      <c r="AN1022" s="84">
        <f>IF(AM1022=0,AH1022,IF(AM1022&gt;=AH1022,0,AH1022-AM1022))</f>
        <v/>
      </c>
      <c r="AO1022" s="84">
        <f>IF(AM1022&gt;=AH1022,AI1022,AI1022*AM1022/AH1022)</f>
        <v/>
      </c>
      <c r="AP1022">
        <f t="array" ref="AP1022">INDEX($AU$8:$BB$25,6*(R1022-1)+MATCH(AB1022,$AS$8:$AS$13,0),MATCH(O1022,$AU$7:$BB$7,0))</f>
        <v/>
      </c>
    </row>
    <row r="1023" ht="14.25" customHeight="1">
      <c r="O1023" s="43" t="inlineStr">
        <is>
          <t>Q4’27</t>
        </is>
      </c>
      <c r="P1023" s="43" t="n">
        <v>3</v>
      </c>
      <c r="Q1023" s="43" t="n">
        <v>12</v>
      </c>
      <c r="R1023" s="43" t="n">
        <v>2</v>
      </c>
      <c r="S1023" s="45" t="n">
        <v>6951.37693552667</v>
      </c>
      <c r="T1023">
        <f>(S1022+S1023+S1024)=U4</f>
        <v/>
      </c>
      <c r="X1023" s="84">
        <f>MAX(S1020-S1023,0)</f>
        <v/>
      </c>
      <c r="Y1023" s="83" t="n">
        <v>0</v>
      </c>
      <c r="AA1023" s="84" t="n">
        <v>10</v>
      </c>
      <c r="AB1023" s="84" t="inlineStr">
        <is>
          <t>E</t>
        </is>
      </c>
      <c r="AC1023" s="84" t="inlineStr">
        <is>
          <t>E+</t>
        </is>
      </c>
      <c r="AD1023" s="84" t="n">
        <v>18</v>
      </c>
      <c r="AE1023" s="84" t="n">
        <v>13</v>
      </c>
      <c r="AF1023" s="84" t="n">
        <v>0.76</v>
      </c>
      <c r="AG1023" s="84" t="n">
        <v>0.84</v>
      </c>
      <c r="AH1023" s="84" t="n">
        <v>0</v>
      </c>
      <c r="AI1023" s="84" t="n">
        <v>0</v>
      </c>
      <c r="AJ1023" s="84">
        <f>SUMIFS(AH$8:AH$1039,$O$8:$O$1039,O1023,$AB$8:$AB$1039,AB1023,$R$8:$R$1039,R1023,$AA$8:$AA$1039,"&lt;="&amp;AA1023)</f>
        <v/>
      </c>
      <c r="AK1023" s="84">
        <f>D96</f>
        <v/>
      </c>
      <c r="AL1023" s="84">
        <f>D102</f>
        <v/>
      </c>
      <c r="AM1023" s="84">
        <f>MAX(0,AJ1023-AK1023)</f>
        <v/>
      </c>
      <c r="AN1023" s="84">
        <f>IF(AM1023=0,AH1023,IF(AM1023&gt;=AH1023,0,AH1023-AM1023))</f>
        <v/>
      </c>
      <c r="AO1023" s="84">
        <f>IF(AM1023&gt;=AH1023,AI1023,AI1023*AM1023/AH1023)</f>
        <v/>
      </c>
      <c r="AP1023">
        <f t="array" ref="AP1023">INDEX($AU$8:$BB$25,6*(R1023-1)+MATCH(AB1023,$AS$8:$AS$13,0),MATCH(O1023,$AU$7:$BB$7,0))</f>
        <v/>
      </c>
    </row>
    <row r="1024" ht="14.25" customHeight="1">
      <c r="O1024" s="43" t="inlineStr">
        <is>
          <t>Q4’27</t>
        </is>
      </c>
      <c r="P1024" s="43" t="n">
        <v>3</v>
      </c>
      <c r="Q1024" s="43" t="n">
        <v>12</v>
      </c>
      <c r="R1024" s="43" t="n">
        <v>3</v>
      </c>
      <c r="S1024" s="45" t="n">
        <v>3938.399999999989</v>
      </c>
      <c r="T1024">
        <f>(S1022+S1023+S1024)=U4</f>
        <v/>
      </c>
      <c r="X1024" s="84">
        <f>MAX(S1021-S1024,0)</f>
        <v/>
      </c>
      <c r="Y1024" s="83" t="n">
        <v>0</v>
      </c>
      <c r="AA1024" s="84" t="n">
        <v>10</v>
      </c>
      <c r="AB1024" s="84" t="inlineStr">
        <is>
          <t>E</t>
        </is>
      </c>
      <c r="AC1024" s="84" t="inlineStr">
        <is>
          <t>E+</t>
        </is>
      </c>
      <c r="AD1024" s="84" t="n">
        <v>18</v>
      </c>
      <c r="AE1024" s="84" t="n">
        <v>13</v>
      </c>
      <c r="AF1024" s="84" t="n">
        <v>0.76</v>
      </c>
      <c r="AG1024" s="84" t="n">
        <v>0.84</v>
      </c>
      <c r="AH1024" s="84" t="n">
        <v>0</v>
      </c>
      <c r="AI1024" s="84" t="n">
        <v>0</v>
      </c>
      <c r="AJ1024" s="84">
        <f>SUMIFS(AH$8:AH$1039,$O$8:$O$1039,O1024,$AB$8:$AB$1039,AB1024,$R$8:$R$1039,R1024,$AA$8:$AA$1039,"&lt;="&amp;AA1024)</f>
        <v/>
      </c>
      <c r="AK1024" s="84">
        <f>E96</f>
        <v/>
      </c>
      <c r="AL1024" s="84">
        <f>E102</f>
        <v/>
      </c>
      <c r="AM1024" s="84">
        <f>MAX(0,AJ1024-AK1024)</f>
        <v/>
      </c>
      <c r="AN1024" s="84">
        <f>IF(AM1024=0,AH1024,IF(AM1024&gt;=AH1024,0,AH1024-AM1024))</f>
        <v/>
      </c>
      <c r="AO1024" s="84">
        <f>IF(AM1024&gt;=AH1024,AI1024,AI1024*AM1024/AH1024)</f>
        <v/>
      </c>
      <c r="AP1024">
        <f t="array" ref="AP1024">INDEX($AU$8:$BB$25,6*(R1024-1)+MATCH(AB1024,$AS$8:$AS$13,0),MATCH(O1024,$AU$7:$BB$7,0))</f>
        <v/>
      </c>
    </row>
    <row r="1025" ht="14.25" customHeight="1">
      <c r="O1025" s="43" t="inlineStr">
        <is>
          <t>Q4’27</t>
        </is>
      </c>
      <c r="P1025" s="43" t="n">
        <v>3</v>
      </c>
      <c r="Q1025" s="43" t="n">
        <v>13</v>
      </c>
      <c r="R1025" s="43" t="n">
        <v>1</v>
      </c>
      <c r="S1025" s="45" t="n">
        <v>5110.223064473341</v>
      </c>
      <c r="T1025">
        <f>(S1025+S1026+S1027)=U4</f>
        <v/>
      </c>
      <c r="X1025" s="84">
        <f>MAX(S1022-S1025,0)</f>
        <v/>
      </c>
      <c r="Y1025" s="83" t="n">
        <v>0</v>
      </c>
      <c r="AA1025" s="84" t="n">
        <v>2</v>
      </c>
      <c r="AB1025" s="84" t="inlineStr">
        <is>
          <t>F</t>
        </is>
      </c>
      <c r="AC1025" s="84" t="inlineStr">
        <is>
          <t>F+</t>
        </is>
      </c>
      <c r="AD1025" s="84" t="n">
        <v>20</v>
      </c>
      <c r="AE1025" s="84" t="n">
        <v>18</v>
      </c>
      <c r="AF1025" s="84" t="n">
        <v>0.8</v>
      </c>
      <c r="AG1025" s="84" t="n">
        <v>0.9</v>
      </c>
      <c r="AH1025" s="84" t="n">
        <v>0</v>
      </c>
      <c r="AI1025" s="84" t="n">
        <v>0</v>
      </c>
      <c r="AJ1025" s="84">
        <f>SUMIFS(AH$8:AH$1039,$O$8:$O$1039,O1025,$AB$8:$AB$1039,AB1025,$R$8:$R$1039,R1025,$AA$8:$AA$1039,"&lt;="&amp;AA1025)</f>
        <v/>
      </c>
      <c r="AK1025" s="84">
        <f>C97</f>
        <v/>
      </c>
      <c r="AL1025" s="84">
        <f>C103</f>
        <v/>
      </c>
      <c r="AM1025" s="84">
        <f>MAX(0,AJ1025-AK1025)</f>
        <v/>
      </c>
      <c r="AN1025" s="84">
        <f>IF(AM1025=0,AH1025,IF(AM1025&gt;=AH1025,0,AH1025-AM1025))</f>
        <v/>
      </c>
      <c r="AO1025" s="84">
        <f>IF(AM1025&gt;=AH1025,AI1025,AI1025*AM1025/AH1025)</f>
        <v/>
      </c>
      <c r="AP1025">
        <f t="array" ref="AP1025">INDEX($AU$8:$BB$25,6*(R1025-1)+MATCH(AB1025,$AS$8:$AS$13,0),MATCH(O1025,$AU$7:$BB$7,0))</f>
        <v/>
      </c>
    </row>
    <row r="1026" ht="14.25" customHeight="1">
      <c r="O1026" s="43" t="inlineStr">
        <is>
          <t>Q4’27</t>
        </is>
      </c>
      <c r="P1026" s="43" t="n">
        <v>3</v>
      </c>
      <c r="Q1026" s="43" t="n">
        <v>13</v>
      </c>
      <c r="R1026" s="43" t="n">
        <v>2</v>
      </c>
      <c r="S1026" s="45" t="n">
        <v>6951.376935526671</v>
      </c>
      <c r="T1026">
        <f>(S1025+S1026+S1027)=U4</f>
        <v/>
      </c>
      <c r="X1026" s="84">
        <f>MAX(S1023-S1026,0)</f>
        <v/>
      </c>
      <c r="Y1026" s="83" t="n">
        <v>0</v>
      </c>
      <c r="AA1026" s="84" t="n">
        <v>2</v>
      </c>
      <c r="AB1026" s="84" t="inlineStr">
        <is>
          <t>F</t>
        </is>
      </c>
      <c r="AC1026" s="84" t="inlineStr">
        <is>
          <t>F+</t>
        </is>
      </c>
      <c r="AD1026" s="84" t="n">
        <v>20</v>
      </c>
      <c r="AE1026" s="84" t="n">
        <v>18</v>
      </c>
      <c r="AF1026" s="84" t="n">
        <v>0.8</v>
      </c>
      <c r="AG1026" s="84" t="n">
        <v>0.9</v>
      </c>
      <c r="AH1026" s="84" t="n">
        <v>0</v>
      </c>
      <c r="AI1026" s="84" t="n">
        <v>0</v>
      </c>
      <c r="AJ1026" s="84">
        <f>SUMIFS(AH$8:AH$1039,$O$8:$O$1039,O1026,$AB$8:$AB$1039,AB1026,$R$8:$R$1039,R1026,$AA$8:$AA$1039,"&lt;="&amp;AA1026)</f>
        <v/>
      </c>
      <c r="AK1026" s="84">
        <f>D97</f>
        <v/>
      </c>
      <c r="AL1026" s="84">
        <f>D103</f>
        <v/>
      </c>
      <c r="AM1026" s="84">
        <f>MAX(0,AJ1026-AK1026)</f>
        <v/>
      </c>
      <c r="AN1026" s="84">
        <f>IF(AM1026=0,AH1026,IF(AM1026&gt;=AH1026,0,AH1026-AM1026))</f>
        <v/>
      </c>
      <c r="AO1026" s="84">
        <f>IF(AM1026&gt;=AH1026,AI1026,AI1026*AM1026/AH1026)</f>
        <v/>
      </c>
      <c r="AP1026">
        <f t="array" ref="AP1026">INDEX($AU$8:$BB$25,6*(R1026-1)+MATCH(AB1026,$AS$8:$AS$13,0),MATCH(O1026,$AU$7:$BB$7,0))</f>
        <v/>
      </c>
    </row>
    <row r="1027" ht="14.25" customHeight="1">
      <c r="O1027" s="43" t="inlineStr">
        <is>
          <t>Q4’27</t>
        </is>
      </c>
      <c r="P1027" s="43" t="n">
        <v>3</v>
      </c>
      <c r="Q1027" s="43" t="n">
        <v>13</v>
      </c>
      <c r="R1027" s="43" t="n">
        <v>3</v>
      </c>
      <c r="S1027" s="45" t="n">
        <v>3938.399999999988</v>
      </c>
      <c r="T1027">
        <f>(S1025+S1026+S1027)=U4</f>
        <v/>
      </c>
      <c r="X1027" s="84">
        <f>MAX(S1024-S1027,0)</f>
        <v/>
      </c>
      <c r="Y1027" s="83" t="n">
        <v>0</v>
      </c>
      <c r="AA1027" s="84" t="n">
        <v>2</v>
      </c>
      <c r="AB1027" s="84" t="inlineStr">
        <is>
          <t>F</t>
        </is>
      </c>
      <c r="AC1027" s="84" t="inlineStr">
        <is>
          <t>F+</t>
        </is>
      </c>
      <c r="AD1027" s="84" t="n">
        <v>20</v>
      </c>
      <c r="AE1027" s="84" t="n">
        <v>18</v>
      </c>
      <c r="AF1027" s="84" t="n">
        <v>0.8</v>
      </c>
      <c r="AG1027" s="84" t="n">
        <v>0.9</v>
      </c>
      <c r="AH1027" s="84" t="n">
        <v>0</v>
      </c>
      <c r="AI1027" s="84" t="n">
        <v>0</v>
      </c>
      <c r="AJ1027" s="84">
        <f>SUMIFS(AH$8:AH$1039,$O$8:$O$1039,O1027,$AB$8:$AB$1039,AB1027,$R$8:$R$1039,R1027,$AA$8:$AA$1039,"&lt;="&amp;AA1027)</f>
        <v/>
      </c>
      <c r="AK1027" s="84">
        <f>E97</f>
        <v/>
      </c>
      <c r="AL1027" s="84">
        <f>E103</f>
        <v/>
      </c>
      <c r="AM1027" s="84">
        <f>MAX(0,AJ1027-AK1027)</f>
        <v/>
      </c>
      <c r="AN1027" s="84">
        <f>IF(AM1027=0,AH1027,IF(AM1027&gt;=AH1027,0,AH1027-AM1027))</f>
        <v/>
      </c>
      <c r="AO1027" s="84">
        <f>IF(AM1027&gt;=AH1027,AI1027,AI1027*AM1027/AH1027)</f>
        <v/>
      </c>
      <c r="AP1027">
        <f t="array" ref="AP1027">INDEX($AU$8:$BB$25,6*(R1027-1)+MATCH(AB1027,$AS$8:$AS$13,0),MATCH(O1027,$AU$7:$BB$7,0))</f>
        <v/>
      </c>
    </row>
    <row r="1028" ht="14.25" customHeight="1">
      <c r="O1028" s="43" t="inlineStr">
        <is>
          <t>Q4’27</t>
        </is>
      </c>
      <c r="P1028" s="43" t="n">
        <v>3</v>
      </c>
      <c r="Q1028" s="43" t="n">
        <v>14</v>
      </c>
      <c r="R1028" s="43" t="n">
        <v>1</v>
      </c>
      <c r="S1028" s="45" t="n">
        <v>5110.223064473341</v>
      </c>
      <c r="T1028">
        <f>(S1028+S1029+S1030)=U4</f>
        <v/>
      </c>
      <c r="X1028" s="84">
        <f>MAX(S1025-S1028,0)</f>
        <v/>
      </c>
      <c r="Y1028" s="83" t="n">
        <v>0</v>
      </c>
      <c r="AA1028" s="84" t="n">
        <v>2</v>
      </c>
      <c r="AB1028" s="84" t="inlineStr">
        <is>
          <t>C</t>
        </is>
      </c>
      <c r="AC1028" s="84" t="inlineStr">
        <is>
          <t>C+</t>
        </is>
      </c>
      <c r="AD1028" s="84" t="n">
        <v>12</v>
      </c>
      <c r="AE1028" s="84" t="n">
        <v>11</v>
      </c>
      <c r="AF1028" s="84" t="n">
        <v>0.8</v>
      </c>
      <c r="AG1028" s="84" t="n">
        <v>0.86</v>
      </c>
      <c r="AH1028" s="84" t="n">
        <v>0</v>
      </c>
      <c r="AI1028" s="84" t="n">
        <v>0</v>
      </c>
      <c r="AJ1028" s="84">
        <f>SUMIFS(AH$8:AH$1039,$O$8:$O$1039,O1028,$AB$8:$AB$1039,AB1028,$R$8:$R$1039,R1028,$AA$8:$AA$1039,"&lt;="&amp;AA1028)</f>
        <v/>
      </c>
      <c r="AK1028" s="84">
        <f>C94</f>
        <v/>
      </c>
      <c r="AL1028" s="84">
        <f>C100</f>
        <v/>
      </c>
      <c r="AM1028" s="84">
        <f>MAX(0,AJ1028-AK1028)</f>
        <v/>
      </c>
      <c r="AN1028" s="84">
        <f>IF(AM1028=0,AH1028,IF(AM1028&gt;=AH1028,0,AH1028-AM1028))</f>
        <v/>
      </c>
      <c r="AO1028" s="84">
        <f>IF(AM1028&gt;=AH1028,AI1028,AI1028*AM1028/AH1028)</f>
        <v/>
      </c>
      <c r="AP1028">
        <f t="array" ref="AP1028">INDEX($AU$8:$BB$25,6*(R1028-1)+MATCH(AB1028,$AS$8:$AS$13,0),MATCH(O1028,$AU$7:$BB$7,0))</f>
        <v/>
      </c>
    </row>
    <row r="1029" ht="14.25" customHeight="1">
      <c r="O1029" s="43" t="inlineStr">
        <is>
          <t>Q4’27</t>
        </is>
      </c>
      <c r="P1029" s="43" t="n">
        <v>3</v>
      </c>
      <c r="Q1029" s="43" t="n">
        <v>14</v>
      </c>
      <c r="R1029" s="43" t="n">
        <v>2</v>
      </c>
      <c r="S1029" s="45" t="n">
        <v>6951.376935526671</v>
      </c>
      <c r="T1029">
        <f>(S1028+S1029+S1030)=U4</f>
        <v/>
      </c>
      <c r="X1029" s="84">
        <f>MAX(S1026-S1029,0)</f>
        <v/>
      </c>
      <c r="Y1029" s="83" t="n">
        <v>0</v>
      </c>
      <c r="AA1029" s="84" t="n">
        <v>2</v>
      </c>
      <c r="AB1029" s="84" t="inlineStr">
        <is>
          <t>C</t>
        </is>
      </c>
      <c r="AC1029" s="84" t="inlineStr">
        <is>
          <t>C+</t>
        </is>
      </c>
      <c r="AD1029" s="84" t="n">
        <v>12</v>
      </c>
      <c r="AE1029" s="84" t="n">
        <v>11</v>
      </c>
      <c r="AF1029" s="84" t="n">
        <v>0.8</v>
      </c>
      <c r="AG1029" s="84" t="n">
        <v>0.86</v>
      </c>
      <c r="AH1029" s="84" t="n">
        <v>0</v>
      </c>
      <c r="AI1029" s="84" t="n">
        <v>0</v>
      </c>
      <c r="AJ1029" s="84">
        <f>SUMIFS(AH$8:AH$1039,$O$8:$O$1039,O1029,$AB$8:$AB$1039,AB1029,$R$8:$R$1039,R1029,$AA$8:$AA$1039,"&lt;="&amp;AA1029)</f>
        <v/>
      </c>
      <c r="AK1029" s="84">
        <f>D94</f>
        <v/>
      </c>
      <c r="AL1029" s="84">
        <f>D100</f>
        <v/>
      </c>
      <c r="AM1029" s="84">
        <f>MAX(0,AJ1029-AK1029)</f>
        <v/>
      </c>
      <c r="AN1029" s="84">
        <f>IF(AM1029=0,AH1029,IF(AM1029&gt;=AH1029,0,AH1029-AM1029))</f>
        <v/>
      </c>
      <c r="AO1029" s="84">
        <f>IF(AM1029&gt;=AH1029,AI1029,AI1029*AM1029/AH1029)</f>
        <v/>
      </c>
      <c r="AP1029">
        <f t="array" ref="AP1029">INDEX($AU$8:$BB$25,6*(R1029-1)+MATCH(AB1029,$AS$8:$AS$13,0),MATCH(O1029,$AU$7:$BB$7,0))</f>
        <v/>
      </c>
    </row>
    <row r="1030" ht="14.25" customHeight="1">
      <c r="O1030" s="43" t="inlineStr">
        <is>
          <t>Q4’27</t>
        </is>
      </c>
      <c r="P1030" s="43" t="n">
        <v>3</v>
      </c>
      <c r="Q1030" s="43" t="n">
        <v>14</v>
      </c>
      <c r="R1030" s="43" t="n">
        <v>3</v>
      </c>
      <c r="S1030" s="45" t="n">
        <v>3938.399999999988</v>
      </c>
      <c r="T1030">
        <f>(S1028+S1029+S1030)=U4</f>
        <v/>
      </c>
      <c r="X1030" s="84">
        <f>MAX(S1027-S1030,0)</f>
        <v/>
      </c>
      <c r="Y1030" s="83" t="n">
        <v>0</v>
      </c>
      <c r="AA1030" s="84" t="n">
        <v>2</v>
      </c>
      <c r="AB1030" s="84" t="inlineStr">
        <is>
          <t>C</t>
        </is>
      </c>
      <c r="AC1030" s="84" t="inlineStr">
        <is>
          <t>C+</t>
        </is>
      </c>
      <c r="AD1030" s="84" t="n">
        <v>12</v>
      </c>
      <c r="AE1030" s="84" t="n">
        <v>11</v>
      </c>
      <c r="AF1030" s="84" t="n">
        <v>0.8</v>
      </c>
      <c r="AG1030" s="84" t="n">
        <v>0.86</v>
      </c>
      <c r="AH1030" s="84" t="n">
        <v>0</v>
      </c>
      <c r="AI1030" s="84" t="n">
        <v>0</v>
      </c>
      <c r="AJ1030" s="84">
        <f>SUMIFS(AH$8:AH$1039,$O$8:$O$1039,O1030,$AB$8:$AB$1039,AB1030,$R$8:$R$1039,R1030,$AA$8:$AA$1039,"&lt;="&amp;AA1030)</f>
        <v/>
      </c>
      <c r="AK1030" s="84">
        <f>E94</f>
        <v/>
      </c>
      <c r="AL1030" s="84">
        <f>E100</f>
        <v/>
      </c>
      <c r="AM1030" s="84">
        <f>MAX(0,AJ1030-AK1030)</f>
        <v/>
      </c>
      <c r="AN1030" s="84">
        <f>IF(AM1030=0,AH1030,IF(AM1030&gt;=AH1030,0,AH1030-AM1030))</f>
        <v/>
      </c>
      <c r="AO1030" s="84">
        <f>IF(AM1030&gt;=AH1030,AI1030,AI1030*AM1030/AH1030)</f>
        <v/>
      </c>
      <c r="AP1030">
        <f t="array" ref="AP1030">INDEX($AU$8:$BB$25,6*(R1030-1)+MATCH(AB1030,$AS$8:$AS$13,0),MATCH(O1030,$AU$7:$BB$7,0))</f>
        <v/>
      </c>
    </row>
    <row r="1031" ht="14.25" customHeight="1">
      <c r="O1031" s="43" t="inlineStr">
        <is>
          <t>Q4’27</t>
        </is>
      </c>
      <c r="P1031" s="43" t="n">
        <v>3</v>
      </c>
      <c r="Q1031" s="43" t="n">
        <v>15</v>
      </c>
      <c r="R1031" s="43" t="n">
        <v>1</v>
      </c>
      <c r="S1031" s="45" t="n">
        <v>5110.22306447347</v>
      </c>
      <c r="T1031">
        <f>(S1031+S1032+S1033)=U4</f>
        <v/>
      </c>
      <c r="X1031" s="84">
        <f>MAX(S1028-S1031,0)</f>
        <v/>
      </c>
      <c r="Y1031" s="83" t="n">
        <v>0</v>
      </c>
      <c r="AA1031" s="84" t="n">
        <v>2</v>
      </c>
      <c r="AB1031" s="84" t="inlineStr">
        <is>
          <t>D</t>
        </is>
      </c>
      <c r="AC1031" s="84" t="inlineStr">
        <is>
          <t>D+</t>
        </is>
      </c>
      <c r="AD1031" s="84" t="n">
        <v>11</v>
      </c>
      <c r="AE1031" s="84" t="n">
        <v>10</v>
      </c>
      <c r="AF1031" s="84" t="n">
        <v>0.8</v>
      </c>
      <c r="AG1031" s="84" t="n">
        <v>0.88</v>
      </c>
      <c r="AH1031" s="84" t="n">
        <v>0</v>
      </c>
      <c r="AI1031" s="84" t="n">
        <v>0</v>
      </c>
      <c r="AJ1031" s="84">
        <f>SUMIFS(AH$8:AH$1039,$O$8:$O$1039,O1031,$AB$8:$AB$1039,AB1031,$R$8:$R$1039,R1031,$AA$8:$AA$1039,"&lt;="&amp;AA1031)</f>
        <v/>
      </c>
      <c r="AK1031" s="84">
        <f>C95</f>
        <v/>
      </c>
      <c r="AL1031" s="84">
        <f>C101</f>
        <v/>
      </c>
      <c r="AM1031" s="84">
        <f>MAX(0,AJ1031-AK1031)</f>
        <v/>
      </c>
      <c r="AN1031" s="84">
        <f>IF(AM1031=0,AH1031,IF(AM1031&gt;=AH1031,0,AH1031-AM1031))</f>
        <v/>
      </c>
      <c r="AO1031" s="84">
        <f>IF(AM1031&gt;=AH1031,AI1031,AI1031*AM1031/AH1031)</f>
        <v/>
      </c>
      <c r="AP1031">
        <f t="array" ref="AP1031">INDEX($AU$8:$BB$25,6*(R1031-1)+MATCH(AB1031,$AS$8:$AS$13,0),MATCH(O1031,$AU$7:$BB$7,0))</f>
        <v/>
      </c>
    </row>
    <row r="1032" ht="14.25" customHeight="1">
      <c r="O1032" s="43" t="inlineStr">
        <is>
          <t>Q4’27</t>
        </is>
      </c>
      <c r="P1032" s="43" t="n">
        <v>3</v>
      </c>
      <c r="Q1032" s="43" t="n">
        <v>15</v>
      </c>
      <c r="R1032" s="43" t="n">
        <v>2</v>
      </c>
      <c r="S1032" s="45" t="n">
        <v>6951.376935526541</v>
      </c>
      <c r="T1032">
        <f>(S1031+S1032+S1033)=U4</f>
        <v/>
      </c>
      <c r="X1032" s="84">
        <f>MAX(S1029-S1032,0)</f>
        <v/>
      </c>
      <c r="Y1032" s="83" t="n">
        <v>0</v>
      </c>
      <c r="AA1032" s="84" t="n">
        <v>2</v>
      </c>
      <c r="AB1032" s="84" t="inlineStr">
        <is>
          <t>D</t>
        </is>
      </c>
      <c r="AC1032" s="84" t="inlineStr">
        <is>
          <t>D+</t>
        </is>
      </c>
      <c r="AD1032" s="84" t="n">
        <v>11</v>
      </c>
      <c r="AE1032" s="84" t="n">
        <v>10</v>
      </c>
      <c r="AF1032" s="84" t="n">
        <v>0.8</v>
      </c>
      <c r="AG1032" s="84" t="n">
        <v>0.88</v>
      </c>
      <c r="AH1032" s="84" t="n">
        <v>0</v>
      </c>
      <c r="AI1032" s="84" t="n">
        <v>0</v>
      </c>
      <c r="AJ1032" s="84">
        <f>SUMIFS(AH$8:AH$1039,$O$8:$O$1039,O1032,$AB$8:$AB$1039,AB1032,$R$8:$R$1039,R1032,$AA$8:$AA$1039,"&lt;="&amp;AA1032)</f>
        <v/>
      </c>
      <c r="AK1032" s="84">
        <f>D95</f>
        <v/>
      </c>
      <c r="AL1032" s="84">
        <f>D101</f>
        <v/>
      </c>
      <c r="AM1032" s="84">
        <f>MAX(0,AJ1032-AK1032)</f>
        <v/>
      </c>
      <c r="AN1032" s="84">
        <f>IF(AM1032=0,AH1032,IF(AM1032&gt;=AH1032,0,AH1032-AM1032))</f>
        <v/>
      </c>
      <c r="AO1032" s="84">
        <f>IF(AM1032&gt;=AH1032,AI1032,AI1032*AM1032/AH1032)</f>
        <v/>
      </c>
      <c r="AP1032">
        <f t="array" ref="AP1032">INDEX($AU$8:$BB$25,6*(R1032-1)+MATCH(AB1032,$AS$8:$AS$13,0),MATCH(O1032,$AU$7:$BB$7,0))</f>
        <v/>
      </c>
    </row>
    <row r="1033" ht="14.25" customHeight="1">
      <c r="O1033" s="43" t="inlineStr">
        <is>
          <t>Q4’27</t>
        </is>
      </c>
      <c r="P1033" s="43" t="n">
        <v>3</v>
      </c>
      <c r="Q1033" s="43" t="n">
        <v>15</v>
      </c>
      <c r="R1033" s="43" t="n">
        <v>3</v>
      </c>
      <c r="S1033" s="45" t="n">
        <v>3938.399999999988</v>
      </c>
      <c r="T1033">
        <f>(S1031+S1032+S1033)=U4</f>
        <v/>
      </c>
      <c r="X1033" s="84">
        <f>MAX(S1030-S1033,0)</f>
        <v/>
      </c>
      <c r="Y1033" s="83" t="n">
        <v>0</v>
      </c>
      <c r="AA1033" s="84" t="n">
        <v>2</v>
      </c>
      <c r="AB1033" s="84" t="inlineStr">
        <is>
          <t>D</t>
        </is>
      </c>
      <c r="AC1033" s="84" t="inlineStr">
        <is>
          <t>D+</t>
        </is>
      </c>
      <c r="AD1033" s="84" t="n">
        <v>11</v>
      </c>
      <c r="AE1033" s="84" t="n">
        <v>10</v>
      </c>
      <c r="AF1033" s="84" t="n">
        <v>0.8</v>
      </c>
      <c r="AG1033" s="84" t="n">
        <v>0.88</v>
      </c>
      <c r="AH1033" s="84" t="n">
        <v>0</v>
      </c>
      <c r="AI1033" s="84" t="n">
        <v>0</v>
      </c>
      <c r="AJ1033" s="84">
        <f>SUMIFS(AH$8:AH$1039,$O$8:$O$1039,O1033,$AB$8:$AB$1039,AB1033,$R$8:$R$1039,R1033,$AA$8:$AA$1039,"&lt;="&amp;AA1033)</f>
        <v/>
      </c>
      <c r="AK1033" s="84">
        <f>E95</f>
        <v/>
      </c>
      <c r="AL1033" s="84">
        <f>E101</f>
        <v/>
      </c>
      <c r="AM1033" s="84">
        <f>MAX(0,AJ1033-AK1033)</f>
        <v/>
      </c>
      <c r="AN1033" s="84">
        <f>IF(AM1033=0,AH1033,IF(AM1033&gt;=AH1033,0,AH1033-AM1033))</f>
        <v/>
      </c>
      <c r="AO1033" s="84">
        <f>IF(AM1033&gt;=AH1033,AI1033,AI1033*AM1033/AH1033)</f>
        <v/>
      </c>
      <c r="AP1033">
        <f t="array" ref="AP1033">INDEX($AU$8:$BB$25,6*(R1033-1)+MATCH(AB1033,$AS$8:$AS$13,0),MATCH(O1033,$AU$7:$BB$7,0))</f>
        <v/>
      </c>
    </row>
    <row r="1034" ht="14.25" customHeight="1">
      <c r="O1034" s="43" t="inlineStr">
        <is>
          <t>Q4’27</t>
        </is>
      </c>
      <c r="P1034" s="43" t="n">
        <v>3</v>
      </c>
      <c r="Q1034" s="43" t="n">
        <v>16</v>
      </c>
      <c r="R1034" s="43" t="n">
        <v>1</v>
      </c>
      <c r="S1034" s="45" t="n">
        <v>5110.22306447347</v>
      </c>
      <c r="T1034">
        <f>(S1034+S1035+S1036)=U4</f>
        <v/>
      </c>
      <c r="X1034" s="84">
        <f>MAX(S1031-S1034,0)</f>
        <v/>
      </c>
      <c r="Y1034" s="83" t="n">
        <v>0</v>
      </c>
      <c r="AA1034" s="84" t="n">
        <v>4</v>
      </c>
      <c r="AB1034" s="84" t="inlineStr">
        <is>
          <t>C</t>
        </is>
      </c>
      <c r="AC1034" s="84" t="inlineStr">
        <is>
          <t>C+</t>
        </is>
      </c>
      <c r="AD1034" s="84" t="n">
        <v>25</v>
      </c>
      <c r="AE1034" s="84" t="n">
        <v>20</v>
      </c>
      <c r="AF1034" s="84" t="n">
        <v>0.8</v>
      </c>
      <c r="AG1034" s="84" t="n">
        <v>0.86</v>
      </c>
      <c r="AH1034" s="84" t="n">
        <v>0</v>
      </c>
      <c r="AI1034" s="84" t="n">
        <v>0</v>
      </c>
      <c r="AJ1034" s="84">
        <f>SUMIFS(AH$8:AH$1039,$O$8:$O$1039,O1034,$AB$8:$AB$1039,AB1034,$R$8:$R$1039,R1034,$AA$8:$AA$1039,"&lt;="&amp;AA1034)</f>
        <v/>
      </c>
      <c r="AK1034" s="84">
        <f>C94</f>
        <v/>
      </c>
      <c r="AL1034" s="84">
        <f>C100</f>
        <v/>
      </c>
      <c r="AM1034" s="84">
        <f>MAX(0,AJ1034-AK1034)</f>
        <v/>
      </c>
      <c r="AN1034" s="84">
        <f>IF(AM1034=0,AH1034,IF(AM1034&gt;=AH1034,0,AH1034-AM1034))</f>
        <v/>
      </c>
      <c r="AO1034" s="84">
        <f>IF(AM1034&gt;=AH1034,AI1034,AI1034*AM1034/AH1034)</f>
        <v/>
      </c>
      <c r="AP1034">
        <f t="array" ref="AP1034">INDEX($AU$8:$BB$25,6*(R1034-1)+MATCH(AB1034,$AS$8:$AS$13,0),MATCH(O1034,$AU$7:$BB$7,0))</f>
        <v/>
      </c>
    </row>
    <row r="1035" ht="14.25" customHeight="1">
      <c r="O1035" s="43" t="inlineStr">
        <is>
          <t>Q4’27</t>
        </is>
      </c>
      <c r="P1035" s="43" t="n">
        <v>3</v>
      </c>
      <c r="Q1035" s="43" t="n">
        <v>16</v>
      </c>
      <c r="R1035" s="43" t="n">
        <v>2</v>
      </c>
      <c r="S1035" s="45" t="n">
        <v>6951.376935526541</v>
      </c>
      <c r="T1035">
        <f>(S1034+S1035+S1036)=U4</f>
        <v/>
      </c>
      <c r="X1035" s="84">
        <f>MAX(S1032-S1035,0)</f>
        <v/>
      </c>
      <c r="Y1035" s="83" t="n">
        <v>0</v>
      </c>
      <c r="AA1035" s="84" t="n">
        <v>4</v>
      </c>
      <c r="AB1035" s="84" t="inlineStr">
        <is>
          <t>C</t>
        </is>
      </c>
      <c r="AC1035" s="84" t="inlineStr">
        <is>
          <t>C+</t>
        </is>
      </c>
      <c r="AD1035" s="84" t="n">
        <v>25</v>
      </c>
      <c r="AE1035" s="84" t="n">
        <v>20</v>
      </c>
      <c r="AF1035" s="84" t="n">
        <v>0.8</v>
      </c>
      <c r="AG1035" s="84" t="n">
        <v>0.86</v>
      </c>
      <c r="AH1035" s="84" t="n">
        <v>0</v>
      </c>
      <c r="AI1035" s="84" t="n">
        <v>0</v>
      </c>
      <c r="AJ1035" s="84">
        <f>SUMIFS(AH$8:AH$1039,$O$8:$O$1039,O1035,$AB$8:$AB$1039,AB1035,$R$8:$R$1039,R1035,$AA$8:$AA$1039,"&lt;="&amp;AA1035)</f>
        <v/>
      </c>
      <c r="AK1035" s="84">
        <f>D94</f>
        <v/>
      </c>
      <c r="AL1035" s="84">
        <f>D100</f>
        <v/>
      </c>
      <c r="AM1035" s="84">
        <f>MAX(0,AJ1035-AK1035)</f>
        <v/>
      </c>
      <c r="AN1035" s="84">
        <f>IF(AM1035=0,AH1035,IF(AM1035&gt;=AH1035,0,AH1035-AM1035))</f>
        <v/>
      </c>
      <c r="AO1035" s="84">
        <f>IF(AM1035&gt;=AH1035,AI1035,AI1035*AM1035/AH1035)</f>
        <v/>
      </c>
      <c r="AP1035">
        <f t="array" ref="AP1035">INDEX($AU$8:$BB$25,6*(R1035-1)+MATCH(AB1035,$AS$8:$AS$13,0),MATCH(O1035,$AU$7:$BB$7,0))</f>
        <v/>
      </c>
    </row>
    <row r="1036" ht="14.25" customHeight="1">
      <c r="O1036" s="43" t="inlineStr">
        <is>
          <t>Q4’27</t>
        </is>
      </c>
      <c r="P1036" s="43" t="n">
        <v>3</v>
      </c>
      <c r="Q1036" s="43" t="n">
        <v>16</v>
      </c>
      <c r="R1036" s="43" t="n">
        <v>3</v>
      </c>
      <c r="S1036" s="45" t="n">
        <v>3938.399999999988</v>
      </c>
      <c r="T1036">
        <f>(S1034+S1035+S1036)=U4</f>
        <v/>
      </c>
      <c r="X1036" s="84">
        <f>MAX(S1033-S1036,0)</f>
        <v/>
      </c>
      <c r="Y1036" s="83" t="n">
        <v>0</v>
      </c>
      <c r="AA1036" s="84" t="n">
        <v>4</v>
      </c>
      <c r="AB1036" s="84" t="inlineStr">
        <is>
          <t>C</t>
        </is>
      </c>
      <c r="AC1036" s="84" t="inlineStr">
        <is>
          <t>C+</t>
        </is>
      </c>
      <c r="AD1036" s="84" t="n">
        <v>25</v>
      </c>
      <c r="AE1036" s="84" t="n">
        <v>20</v>
      </c>
      <c r="AF1036" s="84" t="n">
        <v>0.8</v>
      </c>
      <c r="AG1036" s="84" t="n">
        <v>0.86</v>
      </c>
      <c r="AH1036" s="84" t="n">
        <v>0</v>
      </c>
      <c r="AI1036" s="84" t="n">
        <v>0</v>
      </c>
      <c r="AJ1036" s="84">
        <f>SUMIFS(AH$8:AH$1039,$O$8:$O$1039,O1036,$AB$8:$AB$1039,AB1036,$R$8:$R$1039,R1036,$AA$8:$AA$1039,"&lt;="&amp;AA1036)</f>
        <v/>
      </c>
      <c r="AK1036" s="84">
        <f>E94</f>
        <v/>
      </c>
      <c r="AL1036" s="84">
        <f>E100</f>
        <v/>
      </c>
      <c r="AM1036" s="84">
        <f>MAX(0,AJ1036-AK1036)</f>
        <v/>
      </c>
      <c r="AN1036" s="84">
        <f>IF(AM1036=0,AH1036,IF(AM1036&gt;=AH1036,0,AH1036-AM1036))</f>
        <v/>
      </c>
      <c r="AO1036" s="84">
        <f>IF(AM1036&gt;=AH1036,AI1036,AI1036*AM1036/AH1036)</f>
        <v/>
      </c>
      <c r="AP1036">
        <f t="array" ref="AP1036">INDEX($AU$8:$BB$25,6*(R1036-1)+MATCH(AB1036,$AS$8:$AS$13,0),MATCH(O1036,$AU$7:$BB$7,0))</f>
        <v/>
      </c>
    </row>
    <row r="1037" ht="14.25" customHeight="1">
      <c r="O1037" s="43" t="inlineStr">
        <is>
          <t>Q4’27</t>
        </is>
      </c>
      <c r="P1037" s="43" t="n">
        <v>3</v>
      </c>
      <c r="Q1037" s="43" t="n">
        <v>17</v>
      </c>
      <c r="R1037" s="43" t="n">
        <v>1</v>
      </c>
      <c r="S1037" s="45" t="n">
        <v>5110.223064473471</v>
      </c>
      <c r="T1037">
        <f>(S1037+S1038+S1039)=U4</f>
        <v/>
      </c>
      <c r="X1037" s="84">
        <f>MAX(S1034-S1037,0)</f>
        <v/>
      </c>
      <c r="Y1037" s="83" t="n">
        <v>0</v>
      </c>
      <c r="AA1037" s="84" t="n">
        <v>1</v>
      </c>
      <c r="AB1037" s="84" t="inlineStr">
        <is>
          <t>F</t>
        </is>
      </c>
      <c r="AC1037" s="84" t="inlineStr">
        <is>
          <t>F+</t>
        </is>
      </c>
      <c r="AD1037" s="84" t="n">
        <v>14</v>
      </c>
      <c r="AE1037" s="84" t="n">
        <v>13</v>
      </c>
      <c r="AF1037" s="84" t="n">
        <v>0.8</v>
      </c>
      <c r="AG1037" s="84" t="n">
        <v>0.9</v>
      </c>
      <c r="AH1037" s="84" t="n">
        <v>0</v>
      </c>
      <c r="AI1037" s="84" t="n">
        <v>0</v>
      </c>
      <c r="AJ1037" s="84">
        <f>SUMIFS(AH$8:AH$1039,$O$8:$O$1039,O1037,$AB$8:$AB$1039,AB1037,$R$8:$R$1039,R1037,$AA$8:$AA$1039,"&lt;="&amp;AA1037)</f>
        <v/>
      </c>
      <c r="AK1037" s="84">
        <f>C97</f>
        <v/>
      </c>
      <c r="AL1037" s="84">
        <f>C103</f>
        <v/>
      </c>
      <c r="AM1037" s="84">
        <f>MAX(0,AJ1037-AK1037)</f>
        <v/>
      </c>
      <c r="AN1037" s="84">
        <f>IF(AM1037=0,AH1037,IF(AM1037&gt;=AH1037,0,AH1037-AM1037))</f>
        <v/>
      </c>
      <c r="AO1037" s="84">
        <f>IF(AM1037&gt;=AH1037,AI1037,AI1037*AM1037/AH1037)</f>
        <v/>
      </c>
      <c r="AP1037">
        <f t="array" ref="AP1037">INDEX($AU$8:$BB$25,6*(R1037-1)+MATCH(AB1037,$AS$8:$AS$13,0),MATCH(O1037,$AU$7:$BB$7,0))</f>
        <v/>
      </c>
    </row>
    <row r="1038" ht="14.25" customHeight="1">
      <c r="O1038" s="43" t="inlineStr">
        <is>
          <t>Q4’27</t>
        </is>
      </c>
      <c r="P1038" s="43" t="n">
        <v>3</v>
      </c>
      <c r="Q1038" s="43" t="n">
        <v>17</v>
      </c>
      <c r="R1038" s="43" t="n">
        <v>2</v>
      </c>
      <c r="S1038" s="45" t="n">
        <v>6951.376935525153</v>
      </c>
      <c r="T1038">
        <f>(S1037+S1038+S1039)=U4</f>
        <v/>
      </c>
      <c r="X1038" s="84">
        <f>MAX(S1035-S1038,0)</f>
        <v/>
      </c>
      <c r="Y1038" s="83" t="n">
        <v>0</v>
      </c>
      <c r="AA1038" s="84" t="n">
        <v>1</v>
      </c>
      <c r="AB1038" s="84" t="inlineStr">
        <is>
          <t>F</t>
        </is>
      </c>
      <c r="AC1038" s="84" t="inlineStr">
        <is>
          <t>F+</t>
        </is>
      </c>
      <c r="AD1038" s="84" t="n">
        <v>14</v>
      </c>
      <c r="AE1038" s="84" t="n">
        <v>13</v>
      </c>
      <c r="AF1038" s="84" t="n">
        <v>0.8</v>
      </c>
      <c r="AG1038" s="84" t="n">
        <v>0.9</v>
      </c>
      <c r="AH1038" s="84" t="n">
        <v>0</v>
      </c>
      <c r="AI1038" s="84" t="n">
        <v>0</v>
      </c>
      <c r="AJ1038" s="84">
        <f>SUMIFS(AH$8:AH$1039,$O$8:$O$1039,O1038,$AB$8:$AB$1039,AB1038,$R$8:$R$1039,R1038,$AA$8:$AA$1039,"&lt;="&amp;AA1038)</f>
        <v/>
      </c>
      <c r="AK1038" s="84">
        <f>D97</f>
        <v/>
      </c>
      <c r="AL1038" s="84">
        <f>D103</f>
        <v/>
      </c>
      <c r="AM1038" s="84">
        <f>MAX(0,AJ1038-AK1038)</f>
        <v/>
      </c>
      <c r="AN1038" s="84">
        <f>IF(AM1038=0,AH1038,IF(AM1038&gt;=AH1038,0,AH1038-AM1038))</f>
        <v/>
      </c>
      <c r="AO1038" s="84">
        <f>IF(AM1038&gt;=AH1038,AI1038,AI1038*AM1038/AH1038)</f>
        <v/>
      </c>
      <c r="AP1038">
        <f t="array" ref="AP1038">INDEX($AU$8:$BB$25,6*(R1038-1)+MATCH(AB1038,$AS$8:$AS$13,0),MATCH(O1038,$AU$7:$BB$7,0))</f>
        <v/>
      </c>
    </row>
    <row r="1039" ht="14.25" customHeight="1">
      <c r="O1039" s="43" t="inlineStr">
        <is>
          <t>Q4’27</t>
        </is>
      </c>
      <c r="P1039" s="43" t="n">
        <v>3</v>
      </c>
      <c r="Q1039" s="43" t="n">
        <v>17</v>
      </c>
      <c r="R1039" s="43" t="n">
        <v>3</v>
      </c>
      <c r="S1039" s="45" t="n">
        <v>3938.400000001376</v>
      </c>
      <c r="T1039">
        <f>(S1037+S1038+S1039)=U4</f>
        <v/>
      </c>
      <c r="X1039" s="84">
        <f>MAX(S1036-S1039,0)</f>
        <v/>
      </c>
      <c r="Y1039" s="83" t="n">
        <v>0</v>
      </c>
      <c r="AA1039" s="84" t="n">
        <v>1</v>
      </c>
      <c r="AB1039" s="84" t="inlineStr">
        <is>
          <t>F</t>
        </is>
      </c>
      <c r="AC1039" s="84" t="inlineStr">
        <is>
          <t>F+</t>
        </is>
      </c>
      <c r="AD1039" s="84" t="n">
        <v>14</v>
      </c>
      <c r="AE1039" s="84" t="n">
        <v>13</v>
      </c>
      <c r="AF1039" s="84" t="n">
        <v>0.8</v>
      </c>
      <c r="AG1039" s="84" t="n">
        <v>0.9</v>
      </c>
      <c r="AH1039" s="84" t="n">
        <v>0</v>
      </c>
      <c r="AI1039" s="84" t="n">
        <v>0</v>
      </c>
      <c r="AJ1039" s="84">
        <f>SUMIFS(AH$8:AH$1039,$O$8:$O$1039,O1039,$AB$8:$AB$1039,AB1039,$R$8:$R$1039,R1039,$AA$8:$AA$1039,"&lt;="&amp;AA1039)</f>
        <v/>
      </c>
      <c r="AK1039" s="84">
        <f>E97</f>
        <v/>
      </c>
      <c r="AL1039" s="84">
        <f>E103</f>
        <v/>
      </c>
      <c r="AM1039" s="84">
        <f>MAX(0,AJ1039-AK1039)</f>
        <v/>
      </c>
      <c r="AN1039" s="84">
        <f>IF(AM1039=0,AH1039,IF(AM1039&gt;=AH1039,0,AH1039-AM1039))</f>
        <v/>
      </c>
      <c r="AO1039" s="84">
        <f>IF(AM1039&gt;=AH1039,AI1039,AI1039*AM1039/AH1039)</f>
        <v/>
      </c>
      <c r="AP1039">
        <f t="array" ref="AP1039">INDEX($AU$8:$BB$25,6*(R1039-1)+MATCH(AB1039,$AS$8:$AS$13,0),MATCH(O1039,$AU$7:$BB$7,0))</f>
        <v/>
      </c>
    </row>
  </sheetData>
  <autoFilter ref="AA7:AO1039"/>
  <mergeCells count="44">
    <mergeCell ref="F73:G73"/>
    <mergeCell ref="F25:G25"/>
    <mergeCell ref="F34:G34"/>
    <mergeCell ref="O6:S6"/>
    <mergeCell ref="AU5:BB5"/>
    <mergeCell ref="F84:G84"/>
    <mergeCell ref="A68:A79"/>
    <mergeCell ref="V6:V7"/>
    <mergeCell ref="A44:A55"/>
    <mergeCell ref="F83:G83"/>
    <mergeCell ref="F59:G59"/>
    <mergeCell ref="F24:G24"/>
    <mergeCell ref="F95:G95"/>
    <mergeCell ref="A92:A103"/>
    <mergeCell ref="F85:G85"/>
    <mergeCell ref="F36:G36"/>
    <mergeCell ref="F94:G94"/>
    <mergeCell ref="F70:G70"/>
    <mergeCell ref="AP6:AP7"/>
    <mergeCell ref="F97:G97"/>
    <mergeCell ref="F35:G35"/>
    <mergeCell ref="F47:G47"/>
    <mergeCell ref="F72:G72"/>
    <mergeCell ref="F1:H1"/>
    <mergeCell ref="F23:G23"/>
    <mergeCell ref="A56:A67"/>
    <mergeCell ref="F46:G46"/>
    <mergeCell ref="F22:G22"/>
    <mergeCell ref="F58:G58"/>
    <mergeCell ref="F71:G71"/>
    <mergeCell ref="F96:G96"/>
    <mergeCell ref="C6:E6"/>
    <mergeCell ref="F61:G61"/>
    <mergeCell ref="F37:G37"/>
    <mergeCell ref="F6:H6"/>
    <mergeCell ref="F48:G48"/>
    <mergeCell ref="F82:G82"/>
    <mergeCell ref="A1:C3"/>
    <mergeCell ref="F60:G60"/>
    <mergeCell ref="A80:A91"/>
    <mergeCell ref="A8:A19"/>
    <mergeCell ref="F49:G49"/>
    <mergeCell ref="A20:A31"/>
    <mergeCell ref="A32:A43"/>
  </mergeCells>
  <conditionalFormatting sqref="B4">
    <cfRule type="expression" priority="1" dxfId="3">
      <formula>B4</formula>
    </cfRule>
    <cfRule type="expression" priority="2" dxfId="2">
      <formula>NOT(B4)</formula>
    </cfRule>
  </conditionalFormatting>
  <conditionalFormatting sqref="F8:H8">
    <cfRule type="expression" priority="29" dxfId="3">
      <formula>F8&lt;=F$3</formula>
    </cfRule>
    <cfRule type="expression" priority="30" dxfId="2">
      <formula>F8&gt;F$3</formula>
    </cfRule>
  </conditionalFormatting>
  <conditionalFormatting sqref="F20:H20">
    <cfRule type="expression" priority="27" dxfId="3">
      <formula>F20&lt;=F$3</formula>
    </cfRule>
    <cfRule type="expression" priority="28" dxfId="2">
      <formula>F20&gt;F$3</formula>
    </cfRule>
  </conditionalFormatting>
  <conditionalFormatting sqref="F32:H32">
    <cfRule type="expression" priority="25" dxfId="3">
      <formula>F32&lt;=F$3</formula>
    </cfRule>
    <cfRule type="expression" priority="26" dxfId="2">
      <formula>F32&gt;F$3</formula>
    </cfRule>
  </conditionalFormatting>
  <conditionalFormatting sqref="F44:H44">
    <cfRule type="expression" priority="23" dxfId="3">
      <formula>F44&lt;=F$3</formula>
    </cfRule>
    <cfRule type="expression" priority="24" dxfId="2">
      <formula>F44&gt;F$3</formula>
    </cfRule>
  </conditionalFormatting>
  <conditionalFormatting sqref="F56:H56">
    <cfRule type="expression" priority="21" dxfId="3">
      <formula>F56&lt;=F$3</formula>
    </cfRule>
    <cfRule type="expression" priority="22" dxfId="2">
      <formula>F56&gt;F$3</formula>
    </cfRule>
  </conditionalFormatting>
  <conditionalFormatting sqref="F68:H68">
    <cfRule type="expression" priority="19" dxfId="3">
      <formula>F68&lt;=F$3</formula>
    </cfRule>
    <cfRule type="expression" priority="20" dxfId="2">
      <formula>F68&gt;F$3</formula>
    </cfRule>
  </conditionalFormatting>
  <conditionalFormatting sqref="F80:H80">
    <cfRule type="expression" priority="17" dxfId="3">
      <formula>F80&lt;=F$3</formula>
    </cfRule>
    <cfRule type="expression" priority="18" dxfId="2">
      <formula>F80&gt;F$3</formula>
    </cfRule>
  </conditionalFormatting>
  <conditionalFormatting sqref="F92:H92">
    <cfRule type="expression" priority="15" dxfId="3">
      <formula>F92&lt;=F$3</formula>
    </cfRule>
    <cfRule type="expression" priority="16" dxfId="2">
      <formula>F92&gt;F$3</formula>
    </cfRule>
  </conditionalFormatting>
  <conditionalFormatting sqref="K7">
    <cfRule type="expression" priority="3" dxfId="3">
      <formula>K7</formula>
    </cfRule>
    <cfRule type="expression" priority="4" dxfId="2">
      <formula>NOT(K7)</formula>
    </cfRule>
  </conditionalFormatting>
  <conditionalFormatting sqref="T8:T1039">
    <cfRule type="expression" priority="13" dxfId="3">
      <formula>T8</formula>
    </cfRule>
    <cfRule type="expression" priority="14" dxfId="2">
      <formula>NOT(T8)</formula>
    </cfRule>
  </conditionalFormatting>
  <conditionalFormatting sqref="V8">
    <cfRule type="expression" priority="11" dxfId="3">
      <formula>V8</formula>
    </cfRule>
    <cfRule type="expression" priority="12" dxfId="2">
      <formula>NOT(V8)</formula>
    </cfRule>
  </conditionalFormatting>
  <conditionalFormatting sqref="AP3">
    <cfRule type="expression" priority="5" dxfId="3">
      <formula>AP3</formula>
    </cfRule>
    <cfRule type="expression" priority="6" dxfId="2">
      <formula>NOT(AP3)</formula>
    </cfRule>
  </conditionalFormatting>
  <conditionalFormatting sqref="AP8:AP1039">
    <cfRule type="expression" priority="9" dxfId="3">
      <formula>AP8</formula>
    </cfRule>
    <cfRule type="expression" priority="10" dxfId="2">
      <formula>NOT(AP8)</formula>
    </cfRule>
  </conditionalFormatting>
  <conditionalFormatting sqref="AU8:BB25">
    <cfRule type="expression" priority="7" dxfId="3">
      <formula>AU8</formula>
    </cfRule>
    <cfRule type="expression" priority="8" dxfId="2">
      <formula>NOT(AU8)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L68"/>
  <sheetViews>
    <sheetView zoomScale="80" zoomScaleNormal="80" workbookViewId="0">
      <selection activeCell="B34" sqref="B34"/>
    </sheetView>
  </sheetViews>
  <sheetFormatPr baseColWidth="8" defaultRowHeight="14.25"/>
  <cols>
    <col width="3.265625" customWidth="1" min="1" max="1"/>
    <col width="9.265625" bestFit="1" customWidth="1" min="4" max="4"/>
    <col width="9.265625" bestFit="1" customWidth="1" min="6" max="11"/>
    <col width="25" bestFit="1" customWidth="1" min="24" max="24"/>
  </cols>
  <sheetData>
    <row r="1">
      <c r="B1" t="inlineStr">
        <is>
          <t>Question 1</t>
        </is>
      </c>
    </row>
    <row r="2">
      <c r="B2" t="inlineStr">
        <is>
          <t>Loading</t>
        </is>
      </c>
    </row>
    <row r="3">
      <c r="B3" t="inlineStr">
        <is>
          <t xml:space="preserve">Quarter  </t>
        </is>
      </c>
      <c r="C3" t="inlineStr">
        <is>
          <t xml:space="preserve">Q1’26 </t>
        </is>
      </c>
      <c r="D3" t="inlineStr">
        <is>
          <t xml:space="preserve">Q2’26 </t>
        </is>
      </c>
      <c r="E3" t="inlineStr">
        <is>
          <t xml:space="preserve">Q3’26 </t>
        </is>
      </c>
      <c r="F3" t="inlineStr">
        <is>
          <t xml:space="preserve">Q4’26 </t>
        </is>
      </c>
      <c r="G3" t="inlineStr">
        <is>
          <t xml:space="preserve">Q1’27 </t>
        </is>
      </c>
      <c r="H3" t="inlineStr">
        <is>
          <t xml:space="preserve">Q2’27 </t>
        </is>
      </c>
      <c r="I3" t="inlineStr">
        <is>
          <t xml:space="preserve">Q3’27 </t>
        </is>
      </c>
      <c r="J3" t="inlineStr">
        <is>
          <t xml:space="preserve">Q4’27 </t>
        </is>
      </c>
      <c r="X3" s="36" t="inlineStr">
        <is>
          <t xml:space="preserve"> WS Name</t>
        </is>
      </c>
      <c r="Y3" s="31" t="inlineStr">
        <is>
          <t>A</t>
        </is>
      </c>
      <c r="Z3" s="31" t="inlineStr">
        <is>
          <t>B</t>
        </is>
      </c>
      <c r="AA3" s="31" t="inlineStr">
        <is>
          <t>C</t>
        </is>
      </c>
      <c r="AB3" s="31" t="inlineStr">
        <is>
          <t>D</t>
        </is>
      </c>
      <c r="AC3" s="31" t="inlineStr">
        <is>
          <t>E</t>
        </is>
      </c>
      <c r="AD3" s="31" t="inlineStr">
        <is>
          <t>F</t>
        </is>
      </c>
      <c r="AG3" s="84" t="n"/>
      <c r="AH3" s="84" t="n"/>
      <c r="AI3" s="84" t="n"/>
      <c r="AJ3" s="84" t="n"/>
    </row>
    <row r="4">
      <c r="B4" s="2" t="inlineStr">
        <is>
          <t xml:space="preserve">Node 1 </t>
        </is>
      </c>
      <c r="C4" s="84" t="n">
        <v>12000</v>
      </c>
      <c r="D4" s="84" t="n">
        <v>10000</v>
      </c>
      <c r="E4" s="84" t="n">
        <v>8500</v>
      </c>
      <c r="F4" s="84" t="n">
        <v>7500</v>
      </c>
      <c r="G4" s="84" t="n">
        <v>6000</v>
      </c>
      <c r="H4" s="84" t="n">
        <v>5000</v>
      </c>
      <c r="I4" s="84" t="n">
        <v>4000</v>
      </c>
      <c r="J4" s="84" t="n">
        <v>2000</v>
      </c>
      <c r="N4" s="10" t="n"/>
      <c r="X4" s="36" t="inlineStr">
        <is>
          <t>Fab 1 - WS Count</t>
        </is>
      </c>
      <c r="Y4" s="43" t="n">
        <v>50</v>
      </c>
      <c r="Z4" s="43" t="n">
        <v>25</v>
      </c>
      <c r="AA4" s="43" t="n">
        <v>0</v>
      </c>
      <c r="AB4" s="43" t="n">
        <v>50</v>
      </c>
      <c r="AC4" s="43" t="n">
        <v>40</v>
      </c>
      <c r="AD4" s="43" t="n">
        <v>90</v>
      </c>
    </row>
    <row r="5">
      <c r="B5" s="3" t="inlineStr">
        <is>
          <t xml:space="preserve">Node 2 </t>
        </is>
      </c>
      <c r="C5" s="84" t="n">
        <v>5000</v>
      </c>
      <c r="D5" s="84" t="n">
        <v>5200</v>
      </c>
      <c r="E5" s="84" t="n">
        <v>5400</v>
      </c>
      <c r="F5" s="84" t="n">
        <v>5600</v>
      </c>
      <c r="G5" s="84" t="n">
        <v>6000</v>
      </c>
      <c r="H5" s="84" t="n">
        <v>6500</v>
      </c>
      <c r="I5" s="84" t="n">
        <v>7000</v>
      </c>
      <c r="J5" s="84" t="n">
        <v>7500</v>
      </c>
      <c r="N5" s="10" t="n"/>
      <c r="X5" s="36" t="inlineStr">
        <is>
          <t>Fab 2 - WS Count</t>
        </is>
      </c>
      <c r="Y5" s="43" t="n">
        <v>35</v>
      </c>
      <c r="Z5" s="43" t="n">
        <v>30</v>
      </c>
      <c r="AA5" s="43" t="n">
        <v>0</v>
      </c>
      <c r="AB5" s="43" t="n">
        <v>50</v>
      </c>
      <c r="AC5" s="43" t="n">
        <v>30</v>
      </c>
      <c r="AD5" s="43" t="n">
        <v>60</v>
      </c>
    </row>
    <row r="6">
      <c r="B6" s="4" t="inlineStr">
        <is>
          <t xml:space="preserve">Node 3 </t>
        </is>
      </c>
      <c r="C6" s="84" t="n">
        <v>3000</v>
      </c>
      <c r="D6" s="84" t="n">
        <v>4500</v>
      </c>
      <c r="E6" s="84" t="n">
        <v>7000</v>
      </c>
      <c r="F6" s="84" t="n">
        <v>8000</v>
      </c>
      <c r="G6" s="84" t="n">
        <v>9000</v>
      </c>
      <c r="H6" s="84" t="n">
        <v>11000</v>
      </c>
      <c r="I6" s="84" t="n">
        <v>13000</v>
      </c>
      <c r="J6" s="84" t="n">
        <v>16000</v>
      </c>
      <c r="X6" s="36" t="inlineStr">
        <is>
          <t>Fab 3 - WS Count</t>
        </is>
      </c>
      <c r="Y6" s="43" t="n">
        <v>0</v>
      </c>
      <c r="Z6" s="43" t="n">
        <v>0</v>
      </c>
      <c r="AA6" s="43" t="n">
        <v>40</v>
      </c>
      <c r="AB6" s="43" t="n">
        <v>35</v>
      </c>
      <c r="AC6" s="43" t="n">
        <v>16</v>
      </c>
      <c r="AD6" s="43" t="n">
        <v>36</v>
      </c>
    </row>
    <row r="8">
      <c r="B8" t="inlineStr">
        <is>
          <t>Steps</t>
        </is>
      </c>
      <c r="X8" t="inlineStr">
        <is>
          <t>minload (sum of all RPT of steps running in a WS for a node)</t>
        </is>
      </c>
    </row>
    <row r="9">
      <c r="B9" s="2" t="inlineStr">
        <is>
          <t xml:space="preserve">Node 1 </t>
        </is>
      </c>
      <c r="C9" s="15" t="inlineStr">
        <is>
          <t>Step Name</t>
        </is>
      </c>
      <c r="D9" s="15" t="inlineStr">
        <is>
          <t>WS</t>
        </is>
      </c>
      <c r="E9" s="15" t="inlineStr">
        <is>
          <t>RPT (min)</t>
        </is>
      </c>
      <c r="F9" s="15" t="inlineStr">
        <is>
          <t>WS(TOR)</t>
        </is>
      </c>
      <c r="G9" s="15" t="inlineStr">
        <is>
          <t xml:space="preserve">RPT(TOR) </t>
        </is>
      </c>
      <c r="I9" s="3" t="inlineStr">
        <is>
          <t>Node 2</t>
        </is>
      </c>
      <c r="J9" s="78" t="inlineStr">
        <is>
          <t>Step Name</t>
        </is>
      </c>
      <c r="K9" s="15" t="inlineStr">
        <is>
          <t>WS</t>
        </is>
      </c>
      <c r="L9" s="15" t="inlineStr">
        <is>
          <t>RPT (min)</t>
        </is>
      </c>
      <c r="M9" s="15" t="inlineStr">
        <is>
          <t>WS(TOR)</t>
        </is>
      </c>
      <c r="N9" s="15" t="inlineStr">
        <is>
          <t>RPT(TOR)</t>
        </is>
      </c>
      <c r="P9" s="4" t="inlineStr">
        <is>
          <t>Node 3</t>
        </is>
      </c>
      <c r="Q9" s="27" t="inlineStr">
        <is>
          <t>Step Name</t>
        </is>
      </c>
      <c r="R9" s="27" t="inlineStr">
        <is>
          <t>WS</t>
        </is>
      </c>
      <c r="S9" s="27" t="inlineStr">
        <is>
          <t>RPT (min)</t>
        </is>
      </c>
      <c r="T9" s="27" t="inlineStr">
        <is>
          <t>WS(TOR)</t>
        </is>
      </c>
      <c r="U9" s="27" t="inlineStr">
        <is>
          <t>RPT(TOR)</t>
        </is>
      </c>
      <c r="X9" s="11" t="inlineStr">
        <is>
          <t xml:space="preserve">Workstation </t>
        </is>
      </c>
      <c r="Y9" s="71" t="inlineStr">
        <is>
          <t>A</t>
        </is>
      </c>
      <c r="Z9" s="71" t="inlineStr">
        <is>
          <t>B</t>
        </is>
      </c>
      <c r="AA9" s="71" t="inlineStr">
        <is>
          <t>C</t>
        </is>
      </c>
      <c r="AB9" s="71" t="inlineStr">
        <is>
          <t>D</t>
        </is>
      </c>
      <c r="AC9" s="71" t="inlineStr">
        <is>
          <t>E</t>
        </is>
      </c>
      <c r="AD9" s="71" t="inlineStr">
        <is>
          <t>F</t>
        </is>
      </c>
      <c r="AE9" s="84" t="n"/>
      <c r="AF9" s="84" t="n"/>
      <c r="AG9" s="84" t="n"/>
      <c r="AH9" s="84" t="n"/>
      <c r="AI9" s="84" t="n"/>
      <c r="AJ9" s="84" t="n"/>
      <c r="AL9" t="inlineStr">
        <is>
          <t>Total minload</t>
        </is>
      </c>
    </row>
    <row r="10">
      <c r="C10" s="16" t="inlineStr">
        <is>
          <t xml:space="preserve">Step 1 </t>
        </is>
      </c>
      <c r="D10" s="17" t="inlineStr">
        <is>
          <t>D</t>
        </is>
      </c>
      <c r="E10" s="17" t="n">
        <v>14</v>
      </c>
      <c r="F10" s="17" t="inlineStr">
        <is>
          <t>D+</t>
        </is>
      </c>
      <c r="G10" s="17" t="n">
        <v>12</v>
      </c>
      <c r="J10" s="20" t="inlineStr">
        <is>
          <t xml:space="preserve">Step 1 </t>
        </is>
      </c>
      <c r="K10" s="19" t="inlineStr">
        <is>
          <t>F</t>
        </is>
      </c>
      <c r="L10" s="19" t="n">
        <v>19</v>
      </c>
      <c r="M10" s="19" t="inlineStr">
        <is>
          <t>F+</t>
        </is>
      </c>
      <c r="N10" s="19" t="n">
        <v>16</v>
      </c>
      <c r="Q10" s="28" t="inlineStr">
        <is>
          <t xml:space="preserve">Step 1 </t>
        </is>
      </c>
      <c r="R10" s="17" t="inlineStr">
        <is>
          <t>C</t>
        </is>
      </c>
      <c r="S10" s="17" t="n">
        <v>21</v>
      </c>
      <c r="T10" s="17" t="inlineStr">
        <is>
          <t>C+</t>
        </is>
      </c>
      <c r="U10" s="17" t="n">
        <v>20</v>
      </c>
      <c r="X10" s="32" t="inlineStr">
        <is>
          <t xml:space="preserve">Node 1 </t>
        </is>
      </c>
      <c r="Y10" s="71">
        <f>SUMIF(D10:D35,Y9,E10:E35)</f>
        <v/>
      </c>
      <c r="Z10" s="71">
        <f>SUMIF(D10:D35,Z9,E10:E35)</f>
        <v/>
      </c>
      <c r="AA10" s="71">
        <f>SUMIF(D10:D35,AA9,E10:E35)</f>
        <v/>
      </c>
      <c r="AB10" s="71">
        <f>SUMIF(D10:D35,AB9,E10:E35)</f>
        <v/>
      </c>
      <c r="AC10" s="71">
        <f>SUMIF(D10:D35,AC9,E10:E35)</f>
        <v/>
      </c>
      <c r="AD10" s="71">
        <f>SUMIF(D10:D35,AD9,E10:E35)</f>
        <v/>
      </c>
      <c r="AE10" s="84" t="n"/>
      <c r="AF10" s="84" t="n"/>
      <c r="AG10" s="84" t="n"/>
      <c r="AH10" s="84" t="n"/>
      <c r="AI10" s="84" t="n"/>
      <c r="AJ10" s="84" t="n"/>
      <c r="AL10">
        <f>SUM(Y10:AJ10)</f>
        <v/>
      </c>
    </row>
    <row r="11">
      <c r="C11" s="16" t="inlineStr">
        <is>
          <t xml:space="preserve">Step 2 </t>
        </is>
      </c>
      <c r="D11" s="17" t="inlineStr">
        <is>
          <t>F</t>
        </is>
      </c>
      <c r="E11" s="17" t="n">
        <v>25</v>
      </c>
      <c r="F11" s="17" t="inlineStr">
        <is>
          <t>F+</t>
        </is>
      </c>
      <c r="G11" s="17" t="n">
        <v>21</v>
      </c>
      <c r="J11" s="20" t="inlineStr">
        <is>
          <t xml:space="preserve">Step 2 </t>
        </is>
      </c>
      <c r="K11" s="19" t="inlineStr">
        <is>
          <t>B</t>
        </is>
      </c>
      <c r="L11" s="19" t="n">
        <v>20</v>
      </c>
      <c r="M11" s="19" t="inlineStr">
        <is>
          <t>B+</t>
        </is>
      </c>
      <c r="N11" s="19" t="n">
        <v>18</v>
      </c>
      <c r="Q11" s="28" t="inlineStr">
        <is>
          <t xml:space="preserve">Step 2 </t>
        </is>
      </c>
      <c r="R11" s="17" t="inlineStr">
        <is>
          <t>D</t>
        </is>
      </c>
      <c r="S11" s="17" t="n">
        <v>9</v>
      </c>
      <c r="T11" s="17" t="inlineStr">
        <is>
          <t>D+</t>
        </is>
      </c>
      <c r="U11" s="17" t="n">
        <v>7</v>
      </c>
      <c r="X11" s="33" t="inlineStr">
        <is>
          <t xml:space="preserve">Node 2 </t>
        </is>
      </c>
      <c r="Y11" s="71">
        <f>SUMIF(K10:K37,Y9,L10:L37)</f>
        <v/>
      </c>
      <c r="Z11" s="71">
        <f>SUMIF(K10:K37,Z9,L10:L37)</f>
        <v/>
      </c>
      <c r="AA11" s="71">
        <f>SUMIF(K10:K37,AA9,L10:L37)</f>
        <v/>
      </c>
      <c r="AB11" s="71">
        <f>SUMIF(K10:K37,AB9,L10:L37)</f>
        <v/>
      </c>
      <c r="AC11" s="71">
        <f>SUMIF(K10:K37,AC9,L10:L37)</f>
        <v/>
      </c>
      <c r="AD11" s="71">
        <f>SUMIF(K10:K37,AD9,L10:L37)</f>
        <v/>
      </c>
      <c r="AE11" s="84" t="n"/>
      <c r="AF11" s="84" t="n"/>
      <c r="AG11" s="84" t="n"/>
      <c r="AH11" s="84" t="n"/>
      <c r="AI11" s="84" t="n"/>
      <c r="AJ11" s="84" t="n"/>
      <c r="AL11">
        <f>SUM(Y11:AJ11)</f>
        <v/>
      </c>
    </row>
    <row r="12">
      <c r="C12" s="16" t="inlineStr">
        <is>
          <t xml:space="preserve">Step 3 </t>
        </is>
      </c>
      <c r="D12" s="17" t="inlineStr">
        <is>
          <t>F</t>
        </is>
      </c>
      <c r="E12" s="17" t="n">
        <v>27</v>
      </c>
      <c r="F12" s="17" t="inlineStr">
        <is>
          <t>F+</t>
        </is>
      </c>
      <c r="G12" s="17" t="n">
        <v>23</v>
      </c>
      <c r="J12" s="20" t="inlineStr">
        <is>
          <t xml:space="preserve">Step 3 </t>
        </is>
      </c>
      <c r="K12" s="19" t="inlineStr">
        <is>
          <t>E</t>
        </is>
      </c>
      <c r="L12" s="19" t="n">
        <v>10</v>
      </c>
      <c r="M12" s="19" t="inlineStr">
        <is>
          <t>E+</t>
        </is>
      </c>
      <c r="N12" s="19" t="n">
        <v>7</v>
      </c>
      <c r="Q12" s="28" t="inlineStr">
        <is>
          <t xml:space="preserve">Step 3 </t>
        </is>
      </c>
      <c r="R12" s="17" t="inlineStr">
        <is>
          <t>E</t>
        </is>
      </c>
      <c r="S12" s="17" t="n">
        <v>24</v>
      </c>
      <c r="T12" s="17" t="inlineStr">
        <is>
          <t>E+</t>
        </is>
      </c>
      <c r="U12" s="17" t="n">
        <v>23</v>
      </c>
      <c r="X12" s="34" t="inlineStr">
        <is>
          <t xml:space="preserve">Node 3 </t>
        </is>
      </c>
      <c r="Y12" s="71">
        <f>SUMIF(R10:R35,Y9,S10:S35)</f>
        <v/>
      </c>
      <c r="Z12" s="71">
        <f>SUMIF(R10:R35,Z9,S10:S35)</f>
        <v/>
      </c>
      <c r="AA12" s="71">
        <f>SUMIF(R10:R35,AA9,S10:S35)</f>
        <v/>
      </c>
      <c r="AB12" s="71">
        <f>SUMIF(R10:R35,AB9,S10:S35)</f>
        <v/>
      </c>
      <c r="AC12" s="71">
        <f>SUMIF(R10:R35,AC9,S10:S35)</f>
        <v/>
      </c>
      <c r="AD12" s="71">
        <f>SUMIF(R10:R35,AD9,S10:S35)</f>
        <v/>
      </c>
      <c r="AE12" s="84" t="n"/>
      <c r="AF12" s="84" t="n"/>
      <c r="AG12" s="84" t="n"/>
      <c r="AH12" s="84" t="n"/>
      <c r="AI12" s="84" t="n"/>
      <c r="AJ12" s="84" t="n"/>
      <c r="AL12">
        <f>SUM(Y12:AJ12)</f>
        <v/>
      </c>
    </row>
    <row r="13">
      <c r="C13" s="16" t="inlineStr">
        <is>
          <t>Step 4</t>
        </is>
      </c>
      <c r="D13" s="17" t="inlineStr">
        <is>
          <t>A</t>
        </is>
      </c>
      <c r="E13" s="17" t="n">
        <v>20</v>
      </c>
      <c r="F13" s="17" t="inlineStr">
        <is>
          <t>A+</t>
        </is>
      </c>
      <c r="G13" s="17" t="n">
        <v>16</v>
      </c>
      <c r="J13" s="20" t="inlineStr">
        <is>
          <t>Step 4</t>
        </is>
      </c>
      <c r="K13" s="19" t="inlineStr">
        <is>
          <t>B</t>
        </is>
      </c>
      <c r="L13" s="19" t="n">
        <v>25</v>
      </c>
      <c r="M13" s="19" t="inlineStr">
        <is>
          <t>B+</t>
        </is>
      </c>
      <c r="N13" s="19" t="n">
        <v>19</v>
      </c>
      <c r="Q13" s="28" t="inlineStr">
        <is>
          <t>Step 4</t>
        </is>
      </c>
      <c r="R13" s="17" t="inlineStr">
        <is>
          <t>E</t>
        </is>
      </c>
      <c r="S13" s="17" t="n">
        <v>15</v>
      </c>
      <c r="T13" s="17" t="inlineStr">
        <is>
          <t>E+</t>
        </is>
      </c>
      <c r="U13" s="17" t="n">
        <v>11</v>
      </c>
      <c r="X13" s="11" t="inlineStr">
        <is>
          <t xml:space="preserve">Initial tool count for Q1’26 </t>
        </is>
      </c>
      <c r="Y13" s="71" t="n">
        <v>85</v>
      </c>
      <c r="Z13" s="71" t="n">
        <v>102</v>
      </c>
      <c r="AA13" s="71" t="n">
        <v>12</v>
      </c>
      <c r="AB13" s="71" t="n">
        <v>50</v>
      </c>
      <c r="AC13" s="71" t="n">
        <v>30</v>
      </c>
      <c r="AD13" s="71" t="n">
        <v>259</v>
      </c>
      <c r="AE13" s="84" t="n"/>
      <c r="AF13" s="84" t="n"/>
      <c r="AG13" s="84" t="n"/>
      <c r="AH13" s="84" t="n"/>
      <c r="AI13" s="84" t="n"/>
      <c r="AJ13" s="84" t="n"/>
    </row>
    <row r="14">
      <c r="C14" s="16" t="inlineStr">
        <is>
          <t>Step 5</t>
        </is>
      </c>
      <c r="D14" s="17" t="inlineStr">
        <is>
          <t>F</t>
        </is>
      </c>
      <c r="E14" s="17" t="n">
        <v>12</v>
      </c>
      <c r="F14" s="17" t="inlineStr">
        <is>
          <t>F+</t>
        </is>
      </c>
      <c r="G14" s="17" t="n">
        <v>9</v>
      </c>
      <c r="J14" s="20" t="inlineStr">
        <is>
          <t>Step 5</t>
        </is>
      </c>
      <c r="K14" s="19" t="inlineStr">
        <is>
          <t>B</t>
        </is>
      </c>
      <c r="L14" s="19" t="n">
        <v>15</v>
      </c>
      <c r="M14" s="19" t="inlineStr">
        <is>
          <t>B+</t>
        </is>
      </c>
      <c r="N14" s="19" t="n">
        <v>11</v>
      </c>
      <c r="Q14" s="28" t="inlineStr">
        <is>
          <t>Step 5</t>
        </is>
      </c>
      <c r="R14" s="17" t="inlineStr">
        <is>
          <t>F</t>
        </is>
      </c>
      <c r="S14" s="17" t="n">
        <v>16</v>
      </c>
      <c r="T14" s="17" t="inlineStr">
        <is>
          <t>F+</t>
        </is>
      </c>
      <c r="U14" s="17" t="n">
        <v>14</v>
      </c>
      <c r="X14" s="11" t="inlineStr">
        <is>
          <t>Utilization</t>
        </is>
      </c>
      <c r="Y14" s="35" t="n">
        <v>0.78</v>
      </c>
      <c r="Z14" s="35" t="n">
        <v>0.76</v>
      </c>
      <c r="AA14" s="35" t="n">
        <v>0.8</v>
      </c>
      <c r="AB14" s="35" t="n">
        <v>0.8</v>
      </c>
      <c r="AC14" s="35" t="n">
        <v>0.76</v>
      </c>
      <c r="AD14" s="35" t="n">
        <v>0.8</v>
      </c>
      <c r="AE14" s="5" t="n"/>
      <c r="AF14" s="5" t="n"/>
      <c r="AG14" s="5" t="n"/>
      <c r="AH14" s="5" t="n"/>
      <c r="AI14" s="5" t="n"/>
      <c r="AJ14" s="5" t="n"/>
    </row>
    <row r="15">
      <c r="C15" s="16" t="inlineStr">
        <is>
          <t xml:space="preserve">Step 6 </t>
        </is>
      </c>
      <c r="D15" s="17" t="inlineStr">
        <is>
          <t>D</t>
        </is>
      </c>
      <c r="E15" s="17" t="n">
        <v>27</v>
      </c>
      <c r="F15" s="17" t="inlineStr">
        <is>
          <t>D+</t>
        </is>
      </c>
      <c r="G15" s="17" t="n">
        <v>21</v>
      </c>
      <c r="J15" s="20" t="inlineStr">
        <is>
          <t xml:space="preserve">Step 6 </t>
        </is>
      </c>
      <c r="K15" s="19" t="inlineStr">
        <is>
          <t>F</t>
        </is>
      </c>
      <c r="L15" s="19" t="n">
        <v>16</v>
      </c>
      <c r="M15" s="19" t="inlineStr">
        <is>
          <t>F+</t>
        </is>
      </c>
      <c r="N15" s="19" t="n">
        <v>14</v>
      </c>
      <c r="Q15" s="28" t="inlineStr">
        <is>
          <t xml:space="preserve">Step 6 </t>
        </is>
      </c>
      <c r="R15" s="17" t="inlineStr">
        <is>
          <t>D</t>
        </is>
      </c>
      <c r="S15" s="17" t="n">
        <v>12</v>
      </c>
      <c r="T15" s="17" t="inlineStr">
        <is>
          <t>D+</t>
        </is>
      </c>
      <c r="U15" s="17" t="n">
        <v>11</v>
      </c>
      <c r="X15" s="11" t="inlineStr">
        <is>
          <t xml:space="preserve">CAPEX per tool  </t>
        </is>
      </c>
      <c r="Y15" s="71" t="inlineStr">
        <is>
          <t xml:space="preserve">4.5M </t>
        </is>
      </c>
      <c r="Z15" s="71" t="inlineStr">
        <is>
          <t xml:space="preserve">6.0M </t>
        </is>
      </c>
      <c r="AA15" s="71" t="inlineStr">
        <is>
          <t xml:space="preserve">2.2M </t>
        </is>
      </c>
      <c r="AB15" s="71" t="inlineStr">
        <is>
          <t xml:space="preserve">4.0M </t>
        </is>
      </c>
      <c r="AC15" s="71" t="inlineStr">
        <is>
          <t xml:space="preserve">3.5M </t>
        </is>
      </c>
      <c r="AD15" s="71" t="inlineStr">
        <is>
          <t xml:space="preserve">6.0M </t>
        </is>
      </c>
      <c r="AE15" s="84" t="n"/>
      <c r="AF15" s="84" t="n"/>
      <c r="AG15" s="84" t="n"/>
      <c r="AH15" s="84" t="n"/>
      <c r="AI15" s="84" t="n"/>
      <c r="AJ15" s="84" t="n"/>
    </row>
    <row r="16">
      <c r="C16" s="16" t="inlineStr">
        <is>
          <t>Step 7</t>
        </is>
      </c>
      <c r="D16" s="17" t="inlineStr">
        <is>
          <t>D</t>
        </is>
      </c>
      <c r="E16" s="17" t="n">
        <v>17</v>
      </c>
      <c r="F16" s="17" t="inlineStr">
        <is>
          <t>D+</t>
        </is>
      </c>
      <c r="G16" s="17" t="n">
        <v>13</v>
      </c>
      <c r="J16" s="20" t="inlineStr">
        <is>
          <t>Step 7</t>
        </is>
      </c>
      <c r="K16" s="19" t="inlineStr">
        <is>
          <t>F</t>
        </is>
      </c>
      <c r="L16" s="19" t="n">
        <v>17</v>
      </c>
      <c r="M16" s="19" t="inlineStr">
        <is>
          <t>F+</t>
        </is>
      </c>
      <c r="N16" s="19" t="n">
        <v>15</v>
      </c>
      <c r="Q16" s="28" t="inlineStr">
        <is>
          <t>Step 7</t>
        </is>
      </c>
      <c r="R16" s="17" t="inlineStr">
        <is>
          <t>C</t>
        </is>
      </c>
      <c r="S16" s="17" t="n">
        <v>24</v>
      </c>
      <c r="T16" s="17" t="inlineStr">
        <is>
          <t>C+</t>
        </is>
      </c>
      <c r="U16" s="17" t="n">
        <v>21</v>
      </c>
      <c r="X16" s="11" t="inlineStr">
        <is>
          <t>Space per tool (m²)</t>
        </is>
      </c>
      <c r="Y16" s="71" t="n">
        <v>6.78</v>
      </c>
      <c r="Z16" s="71" t="n">
        <v>3.96</v>
      </c>
      <c r="AA16" s="71" t="n">
        <v>5.82</v>
      </c>
      <c r="AB16" s="71" t="n">
        <v>5.61</v>
      </c>
      <c r="AC16" s="71" t="n">
        <v>4.65</v>
      </c>
      <c r="AD16" s="71" t="n">
        <v>3.68</v>
      </c>
      <c r="AE16" s="84" t="n"/>
      <c r="AF16" s="84" t="n"/>
      <c r="AG16" s="84" t="n"/>
      <c r="AH16" s="84" t="n"/>
      <c r="AI16" s="84" t="n"/>
      <c r="AJ16" s="84" t="n"/>
    </row>
    <row r="17">
      <c r="C17" s="16" t="inlineStr">
        <is>
          <t>Step 8</t>
        </is>
      </c>
      <c r="D17" s="17" t="inlineStr">
        <is>
          <t>A</t>
        </is>
      </c>
      <c r="E17" s="17" t="n">
        <v>18</v>
      </c>
      <c r="F17" s="17" t="inlineStr">
        <is>
          <t>A+</t>
        </is>
      </c>
      <c r="G17" s="17" t="n">
        <v>16</v>
      </c>
      <c r="J17" s="20" t="inlineStr">
        <is>
          <t xml:space="preserve">Step 8 </t>
        </is>
      </c>
      <c r="K17" s="19" t="inlineStr">
        <is>
          <t>B</t>
        </is>
      </c>
      <c r="L17" s="19" t="n">
        <v>22</v>
      </c>
      <c r="M17" s="19" t="inlineStr">
        <is>
          <t>B+</t>
        </is>
      </c>
      <c r="N17" s="19" t="n">
        <v>16</v>
      </c>
      <c r="Q17" s="28" t="inlineStr">
        <is>
          <t xml:space="preserve">Step 8 </t>
        </is>
      </c>
      <c r="R17" s="17" t="inlineStr">
        <is>
          <t>C</t>
        </is>
      </c>
      <c r="S17" s="17" t="n">
        <v>19</v>
      </c>
      <c r="T17" s="17" t="inlineStr">
        <is>
          <t>C+</t>
        </is>
      </c>
      <c r="U17" s="17" t="n">
        <v>13</v>
      </c>
    </row>
    <row r="18">
      <c r="C18" s="16" t="inlineStr">
        <is>
          <t>Step 9</t>
        </is>
      </c>
      <c r="D18" s="17" t="inlineStr">
        <is>
          <t>A</t>
        </is>
      </c>
      <c r="E18" s="17" t="n">
        <v>16</v>
      </c>
      <c r="F18" s="17" t="inlineStr">
        <is>
          <t>A+</t>
        </is>
      </c>
      <c r="G18" s="17" t="n">
        <v>13</v>
      </c>
      <c r="J18" s="20" t="inlineStr">
        <is>
          <t xml:space="preserve">Step 9 </t>
        </is>
      </c>
      <c r="K18" s="19" t="inlineStr">
        <is>
          <t>E</t>
        </is>
      </c>
      <c r="L18" s="19" t="n">
        <v>7</v>
      </c>
      <c r="M18" s="19" t="inlineStr">
        <is>
          <t>E+</t>
        </is>
      </c>
      <c r="N18" s="19" t="n">
        <v>6</v>
      </c>
      <c r="Q18" s="28" t="inlineStr">
        <is>
          <t xml:space="preserve">Step 9 </t>
        </is>
      </c>
      <c r="R18" s="17" t="inlineStr">
        <is>
          <t>D</t>
        </is>
      </c>
      <c r="S18" s="17" t="n">
        <v>15</v>
      </c>
      <c r="T18" s="17" t="inlineStr">
        <is>
          <t>D+</t>
        </is>
      </c>
      <c r="U18" s="17" t="n">
        <v>13</v>
      </c>
      <c r="X18" s="11" t="inlineStr">
        <is>
          <t xml:space="preserve">Workstation </t>
        </is>
      </c>
      <c r="Y18" s="71">
        <f>Y9&amp;"+"</f>
        <v/>
      </c>
      <c r="Z18" s="71">
        <f>Z9&amp;"+"</f>
        <v/>
      </c>
      <c r="AA18" s="71">
        <f>AA9&amp;"+"</f>
        <v/>
      </c>
      <c r="AB18" s="71">
        <f>AB9&amp;"+"</f>
        <v/>
      </c>
      <c r="AC18" s="71">
        <f>AC9&amp;"+"</f>
        <v/>
      </c>
      <c r="AD18" s="71">
        <f>AD9&amp;"+"</f>
        <v/>
      </c>
      <c r="AE18" s="84" t="n"/>
      <c r="AF18" s="84" t="n"/>
      <c r="AG18" s="84" t="n"/>
      <c r="AH18" s="84" t="n"/>
      <c r="AI18" s="84" t="n"/>
      <c r="AJ18" s="84" t="n"/>
    </row>
    <row r="19">
      <c r="C19" s="16" t="inlineStr">
        <is>
          <t>Step 10</t>
        </is>
      </c>
      <c r="D19" s="17" t="inlineStr">
        <is>
          <t>D</t>
        </is>
      </c>
      <c r="E19" s="17" t="n">
        <v>14</v>
      </c>
      <c r="F19" s="17" t="inlineStr">
        <is>
          <t>D+</t>
        </is>
      </c>
      <c r="G19" s="17" t="n">
        <v>11</v>
      </c>
      <c r="J19" s="20" t="inlineStr">
        <is>
          <t xml:space="preserve">Step 10 </t>
        </is>
      </c>
      <c r="K19" s="19" t="inlineStr">
        <is>
          <t>E</t>
        </is>
      </c>
      <c r="L19" s="19" t="n">
        <v>9</v>
      </c>
      <c r="M19" s="19" t="inlineStr">
        <is>
          <t>E+</t>
        </is>
      </c>
      <c r="N19" s="19" t="n">
        <v>7</v>
      </c>
      <c r="Q19" s="28" t="inlineStr">
        <is>
          <t xml:space="preserve">Step 10 </t>
        </is>
      </c>
      <c r="R19" s="17" t="inlineStr">
        <is>
          <t>D</t>
        </is>
      </c>
      <c r="S19" s="17" t="n">
        <v>24</v>
      </c>
      <c r="T19" s="17" t="inlineStr">
        <is>
          <t>D+</t>
        </is>
      </c>
      <c r="U19" s="17" t="n">
        <v>20</v>
      </c>
      <c r="X19" s="32" t="inlineStr">
        <is>
          <t xml:space="preserve">Node 1 </t>
        </is>
      </c>
      <c r="Y19" s="71">
        <f>SUMIF(D10:D35,Y9,G10:G37)</f>
        <v/>
      </c>
      <c r="Z19" s="71">
        <f>SUMIF(D10:D35,Z9,G10:G37)</f>
        <v/>
      </c>
      <c r="AA19" s="71">
        <f>SUMIF(D10:D35,AA9,G10:G37)</f>
        <v/>
      </c>
      <c r="AB19" s="71">
        <f>SUMIF(D10:D35,AB9,G10:G37)</f>
        <v/>
      </c>
      <c r="AC19" s="71">
        <f>SUMIF(D10:D35,AC9,G10:G37)</f>
        <v/>
      </c>
      <c r="AD19" s="71">
        <f>SUMIF(D10:D35,AD9,G10:G37)</f>
        <v/>
      </c>
      <c r="AE19" s="84" t="n"/>
      <c r="AF19" s="84" t="n"/>
      <c r="AG19" s="84" t="n"/>
      <c r="AH19" s="84" t="n"/>
      <c r="AI19" s="84" t="n"/>
      <c r="AJ19" s="84" t="n"/>
    </row>
    <row r="20">
      <c r="C20" s="16" t="inlineStr">
        <is>
          <t>Step 11</t>
        </is>
      </c>
      <c r="D20" s="17" t="inlineStr">
        <is>
          <t>F</t>
        </is>
      </c>
      <c r="E20" s="17" t="n">
        <v>18</v>
      </c>
      <c r="F20" s="17" t="inlineStr">
        <is>
          <t>F+</t>
        </is>
      </c>
      <c r="G20" s="17" t="n">
        <v>16</v>
      </c>
      <c r="J20" s="20" t="inlineStr">
        <is>
          <t>Step 11</t>
        </is>
      </c>
      <c r="K20" s="19" t="inlineStr">
        <is>
          <t>E</t>
        </is>
      </c>
      <c r="L20" s="19" t="n">
        <v>20</v>
      </c>
      <c r="M20" s="19" t="inlineStr">
        <is>
          <t>E+</t>
        </is>
      </c>
      <c r="N20" s="19" t="n">
        <v>19</v>
      </c>
      <c r="Q20" s="28" t="inlineStr">
        <is>
          <t>Step 11</t>
        </is>
      </c>
      <c r="R20" s="17" t="inlineStr">
        <is>
          <t>E</t>
        </is>
      </c>
      <c r="S20" s="17" t="n">
        <v>17</v>
      </c>
      <c r="T20" s="17" t="inlineStr">
        <is>
          <t>E+</t>
        </is>
      </c>
      <c r="U20" s="17" t="n">
        <v>15</v>
      </c>
      <c r="X20" s="33" t="inlineStr">
        <is>
          <t xml:space="preserve">Node 2 </t>
        </is>
      </c>
      <c r="Y20" s="71">
        <f>SUMIF(K10:K37,Y9,N10:N37)</f>
        <v/>
      </c>
      <c r="Z20" s="71">
        <f>SUMIF(K10:K37,Z9,N10:N37)</f>
        <v/>
      </c>
      <c r="AA20" s="71">
        <f>SUMIF(K10:K37,AA9,N10:N37)</f>
        <v/>
      </c>
      <c r="AB20" s="71">
        <f>SUMIF(K10:K37,AB9,N10:N37)</f>
        <v/>
      </c>
      <c r="AC20" s="71">
        <f>SUMIF(K10:K37,AC9,N10:N37)</f>
        <v/>
      </c>
      <c r="AD20" s="71">
        <f>SUMIF(K10:K37,AD9,N10:N37)</f>
        <v/>
      </c>
      <c r="AE20" s="84" t="n"/>
      <c r="AF20" s="84" t="n"/>
      <c r="AG20" s="84" t="n"/>
      <c r="AH20" s="84" t="n"/>
      <c r="AI20" s="84" t="n"/>
      <c r="AJ20" s="84" t="n"/>
    </row>
    <row r="21">
      <c r="C21" s="8" t="n"/>
      <c r="D21" s="14" t="n"/>
      <c r="E21" s="14" t="n"/>
      <c r="F21" s="14" t="n"/>
      <c r="G21" s="14" t="n"/>
      <c r="J21" s="20" t="inlineStr">
        <is>
          <t>Step 12</t>
        </is>
      </c>
      <c r="K21" s="19" t="inlineStr">
        <is>
          <t>F</t>
        </is>
      </c>
      <c r="L21" s="19" t="n">
        <v>21</v>
      </c>
      <c r="M21" s="19" t="inlineStr">
        <is>
          <t>F+</t>
        </is>
      </c>
      <c r="N21" s="19" t="n">
        <v>18</v>
      </c>
      <c r="Q21" s="28" t="inlineStr">
        <is>
          <t>Step 12</t>
        </is>
      </c>
      <c r="R21" s="17" t="inlineStr">
        <is>
          <t>E</t>
        </is>
      </c>
      <c r="S21" s="17" t="n">
        <v>18</v>
      </c>
      <c r="T21" s="17" t="inlineStr">
        <is>
          <t>E+</t>
        </is>
      </c>
      <c r="U21" s="17" t="n">
        <v>13</v>
      </c>
      <c r="X21" s="34" t="inlineStr">
        <is>
          <t xml:space="preserve">Node 3 </t>
        </is>
      </c>
      <c r="Y21" s="71">
        <f>SUMIF(R10:R35,Y9,U10:U35)</f>
        <v/>
      </c>
      <c r="Z21" s="71">
        <f>SUMIF(R10:R35,Z9,U10:U35)</f>
        <v/>
      </c>
      <c r="AA21" s="71">
        <f>SUMIF(R10:R35,AA9,U10:U35)</f>
        <v/>
      </c>
      <c r="AB21" s="71">
        <f>SUMIF(R10:R35,AB9,U10:U35)</f>
        <v/>
      </c>
      <c r="AC21" s="71">
        <f>SUMIF(R10:R35,AC9,U10:U35)</f>
        <v/>
      </c>
      <c r="AD21" s="71">
        <f>SUMIF(R10:R35,AD9,U10:U35)</f>
        <v/>
      </c>
      <c r="AE21" s="84" t="n"/>
      <c r="AF21" s="84" t="n"/>
      <c r="AG21" s="84" t="n"/>
      <c r="AH21" s="84" t="n"/>
      <c r="AI21" s="84" t="n"/>
      <c r="AJ21" s="84" t="n"/>
    </row>
    <row r="22">
      <c r="C22" s="8" t="n"/>
      <c r="D22" s="14" t="n"/>
      <c r="E22" s="14" t="n"/>
      <c r="F22" s="14" t="n"/>
      <c r="G22" s="14" t="n"/>
      <c r="H22" s="9" t="n"/>
      <c r="J22" s="20" t="inlineStr">
        <is>
          <t>Step 13</t>
        </is>
      </c>
      <c r="K22" s="19" t="inlineStr">
        <is>
          <t>E</t>
        </is>
      </c>
      <c r="L22" s="19" t="n">
        <v>12</v>
      </c>
      <c r="M22" s="19" t="inlineStr">
        <is>
          <t>E+</t>
        </is>
      </c>
      <c r="N22" s="19" t="n">
        <v>9</v>
      </c>
      <c r="Q22" s="28" t="inlineStr">
        <is>
          <t>Step 13</t>
        </is>
      </c>
      <c r="R22" s="17" t="inlineStr">
        <is>
          <t>F</t>
        </is>
      </c>
      <c r="S22" s="17" t="n">
        <v>20</v>
      </c>
      <c r="T22" s="17" t="inlineStr">
        <is>
          <t>F+</t>
        </is>
      </c>
      <c r="U22" s="17" t="n">
        <v>18</v>
      </c>
      <c r="X22" s="11" t="inlineStr">
        <is>
          <t xml:space="preserve">Initial tool count for Q1’26 </t>
        </is>
      </c>
      <c r="Y22" s="71" t="n">
        <v>0</v>
      </c>
      <c r="Z22" s="71" t="n">
        <v>0</v>
      </c>
      <c r="AA22" s="71" t="n">
        <v>0</v>
      </c>
      <c r="AB22" s="71" t="n">
        <v>0</v>
      </c>
      <c r="AC22" s="71" t="n">
        <v>0</v>
      </c>
      <c r="AD22" s="71" t="n">
        <v>0</v>
      </c>
      <c r="AE22" s="84" t="n"/>
      <c r="AF22" s="84" t="n"/>
      <c r="AG22" s="84" t="n"/>
      <c r="AH22" s="84" t="n"/>
      <c r="AI22" s="84" t="n"/>
      <c r="AJ22" s="84" t="n"/>
    </row>
    <row r="23">
      <c r="C23" s="8" t="n"/>
      <c r="D23" s="14" t="n"/>
      <c r="E23" s="14" t="n"/>
      <c r="F23" s="14" t="n"/>
      <c r="G23" s="14" t="n"/>
      <c r="H23" s="14" t="n"/>
      <c r="I23" s="14" t="n"/>
      <c r="J23" s="21" t="inlineStr">
        <is>
          <t>Step 14</t>
        </is>
      </c>
      <c r="K23" s="19" t="inlineStr">
        <is>
          <t>E</t>
        </is>
      </c>
      <c r="L23" s="19" t="n">
        <v>15</v>
      </c>
      <c r="M23" s="19" t="inlineStr">
        <is>
          <t>E+</t>
        </is>
      </c>
      <c r="N23" s="19" t="n">
        <v>12</v>
      </c>
      <c r="Q23" s="28" t="inlineStr">
        <is>
          <t>Step 14</t>
        </is>
      </c>
      <c r="R23" s="17" t="inlineStr">
        <is>
          <t>C</t>
        </is>
      </c>
      <c r="S23" s="17" t="n">
        <v>12</v>
      </c>
      <c r="T23" s="17" t="inlineStr">
        <is>
          <t>C+</t>
        </is>
      </c>
      <c r="U23" s="17" t="n">
        <v>11</v>
      </c>
      <c r="X23" s="11" t="inlineStr">
        <is>
          <t>Utilization</t>
        </is>
      </c>
      <c r="Y23" s="35" t="n">
        <v>0.84</v>
      </c>
      <c r="Z23" s="35" t="n">
        <v>0.8100000000000001</v>
      </c>
      <c r="AA23" s="35" t="n">
        <v>0.86</v>
      </c>
      <c r="AB23" s="35" t="n">
        <v>0.88</v>
      </c>
      <c r="AC23" s="35" t="n">
        <v>0.84</v>
      </c>
      <c r="AD23" s="35" t="n">
        <v>0.9</v>
      </c>
      <c r="AE23" s="5" t="n"/>
      <c r="AF23" s="5" t="n"/>
      <c r="AG23" s="5" t="n"/>
      <c r="AH23" s="5" t="n"/>
      <c r="AI23" s="5" t="n"/>
      <c r="AJ23" s="5" t="n"/>
    </row>
    <row r="24">
      <c r="C24" s="8" t="n"/>
      <c r="D24" s="14" t="n"/>
      <c r="E24" s="14" t="n"/>
      <c r="F24" s="14" t="n"/>
      <c r="G24" s="14" t="n"/>
      <c r="H24" s="14" t="n"/>
      <c r="I24" s="14" t="n"/>
      <c r="J24" s="22" t="inlineStr">
        <is>
          <t>Step 15</t>
        </is>
      </c>
      <c r="K24" s="19" t="inlineStr">
        <is>
          <t>E</t>
        </is>
      </c>
      <c r="L24" s="19" t="n">
        <v>13</v>
      </c>
      <c r="M24" s="19" t="inlineStr">
        <is>
          <t>E+</t>
        </is>
      </c>
      <c r="N24" s="19" t="n">
        <v>10</v>
      </c>
      <c r="Q24" s="28" t="inlineStr">
        <is>
          <t>Step 15</t>
        </is>
      </c>
      <c r="R24" s="17" t="inlineStr">
        <is>
          <t>D</t>
        </is>
      </c>
      <c r="S24" s="17" t="n">
        <v>11</v>
      </c>
      <c r="T24" s="17" t="inlineStr">
        <is>
          <t>D+</t>
        </is>
      </c>
      <c r="U24" s="17" t="n">
        <v>10</v>
      </c>
      <c r="X24" s="11" t="inlineStr">
        <is>
          <t xml:space="preserve">CAPEX per tool  </t>
        </is>
      </c>
      <c r="Y24" s="71" t="inlineStr">
        <is>
          <t xml:space="preserve">6.0M </t>
        </is>
      </c>
      <c r="Z24" s="71" t="inlineStr">
        <is>
          <t xml:space="preserve">8.0M </t>
        </is>
      </c>
      <c r="AA24" s="71" t="inlineStr">
        <is>
          <t xml:space="preserve">3.2M </t>
        </is>
      </c>
      <c r="AB24" s="71" t="inlineStr">
        <is>
          <t xml:space="preserve">5.5M </t>
        </is>
      </c>
      <c r="AC24" s="71" t="inlineStr">
        <is>
          <t xml:space="preserve">5.8M </t>
        </is>
      </c>
      <c r="AD24" s="71" t="inlineStr">
        <is>
          <t xml:space="preserve">8.0M </t>
        </is>
      </c>
      <c r="AE24" s="84" t="n"/>
      <c r="AF24" s="84" t="n"/>
      <c r="AG24" s="84" t="n"/>
      <c r="AH24" s="84" t="n"/>
      <c r="AI24" s="84" t="n"/>
      <c r="AJ24" s="84" t="n"/>
    </row>
    <row r="25">
      <c r="C25" s="8" t="n"/>
      <c r="D25" s="14" t="n"/>
      <c r="E25" s="14" t="n"/>
      <c r="F25" s="14" t="n"/>
      <c r="G25" s="14" t="n"/>
      <c r="H25" s="14" t="n"/>
      <c r="I25" s="14" t="n"/>
      <c r="J25" s="8" t="n"/>
      <c r="K25" s="14" t="n"/>
      <c r="L25" s="14" t="n"/>
      <c r="M25" s="14" t="n"/>
      <c r="N25" s="14" t="n"/>
      <c r="Q25" s="28" t="inlineStr">
        <is>
          <t>Step 16</t>
        </is>
      </c>
      <c r="R25" s="17" t="inlineStr">
        <is>
          <t>C</t>
        </is>
      </c>
      <c r="S25" s="17" t="n">
        <v>25</v>
      </c>
      <c r="T25" s="17" t="inlineStr">
        <is>
          <t>C+</t>
        </is>
      </c>
      <c r="U25" s="17" t="n">
        <v>20</v>
      </c>
      <c r="X25" s="11" t="inlineStr">
        <is>
          <t>Space per tool (m²)</t>
        </is>
      </c>
      <c r="Y25" s="78" t="n">
        <v>6.93</v>
      </c>
      <c r="Z25" s="78" t="n">
        <v>3.72</v>
      </c>
      <c r="AA25" s="78" t="n">
        <v>5.75</v>
      </c>
      <c r="AB25" s="78" t="n">
        <v>5.74</v>
      </c>
      <c r="AC25" s="78" t="n">
        <v>4.8</v>
      </c>
      <c r="AD25" s="78" t="n">
        <v>3.57</v>
      </c>
      <c r="AE25" s="8" t="n"/>
      <c r="AF25" s="8" t="n"/>
      <c r="AG25" s="8" t="n"/>
      <c r="AH25" s="8" t="n"/>
      <c r="AI25" s="8" t="n"/>
      <c r="AJ25" s="8" t="n"/>
    </row>
    <row r="26">
      <c r="C26" s="8" t="n"/>
      <c r="D26" s="14" t="n"/>
      <c r="E26" s="14" t="n"/>
      <c r="F26" s="14" t="n"/>
      <c r="G26" s="14" t="n"/>
      <c r="H26" s="14" t="n"/>
      <c r="I26" s="14" t="n"/>
      <c r="J26" s="8" t="n"/>
      <c r="K26" s="14" t="n"/>
      <c r="L26" s="14" t="n"/>
      <c r="M26" s="14" t="n"/>
      <c r="N26" s="14" t="n"/>
      <c r="O26" s="9" t="n"/>
      <c r="Q26" s="28" t="inlineStr">
        <is>
          <t>Step 17</t>
        </is>
      </c>
      <c r="R26" s="17" t="inlineStr">
        <is>
          <t>F</t>
        </is>
      </c>
      <c r="S26" s="17" t="n">
        <v>14</v>
      </c>
      <c r="T26" s="17" t="inlineStr">
        <is>
          <t>F+</t>
        </is>
      </c>
      <c r="U26" s="17" t="n">
        <v>13</v>
      </c>
      <c r="AE26" s="5" t="n"/>
      <c r="AF26" s="5" t="n"/>
      <c r="AG26" s="5" t="n"/>
      <c r="AH26" s="5" t="n"/>
      <c r="AI26" s="5" t="n"/>
      <c r="AJ26" s="5" t="n"/>
    </row>
    <row r="27" ht="15" customHeight="1">
      <c r="C27" s="8" t="n"/>
      <c r="D27" s="14" t="n"/>
      <c r="E27" s="14" t="n"/>
      <c r="F27" s="14" t="n"/>
      <c r="G27" s="14" t="n"/>
      <c r="H27" s="9" t="n"/>
      <c r="J27" s="8" t="n"/>
      <c r="K27" s="14" t="n"/>
      <c r="L27" s="14" t="n"/>
      <c r="M27" s="14" t="n"/>
      <c r="N27" s="14" t="n"/>
      <c r="O27" s="9" t="n"/>
      <c r="R27" s="26" t="n"/>
      <c r="S27" s="26" t="n"/>
      <c r="T27" s="26" t="n"/>
      <c r="U27" s="26" t="n"/>
      <c r="V27" s="6" t="n"/>
    </row>
    <row r="28" ht="15" customHeight="1">
      <c r="H28" s="6" t="n"/>
      <c r="J28" s="8" t="n"/>
      <c r="K28" s="14" t="n"/>
      <c r="L28" s="14" t="n"/>
      <c r="M28" s="14" t="n"/>
      <c r="N28" s="14" t="n"/>
      <c r="O28" s="9" t="n"/>
      <c r="R28" s="26" t="n"/>
      <c r="S28" s="26" t="n"/>
      <c r="T28" s="26" t="n"/>
      <c r="U28" s="26" t="n"/>
      <c r="V28" s="6" t="n"/>
      <c r="X28" s="78" t="inlineStr">
        <is>
          <t xml:space="preserve">Fab </t>
        </is>
      </c>
      <c r="Y28" s="78" t="inlineStr">
        <is>
          <t>Fab 1</t>
        </is>
      </c>
      <c r="Z28" s="78" t="inlineStr">
        <is>
          <t xml:space="preserve">Fab 2 </t>
        </is>
      </c>
      <c r="AA28" s="78" t="inlineStr">
        <is>
          <t xml:space="preserve">Fab 3 </t>
        </is>
      </c>
    </row>
    <row r="29" ht="15" customHeight="1">
      <c r="B29" s="80" t="inlineStr">
        <is>
          <t>Do not modify any of the input data</t>
        </is>
      </c>
      <c r="H29" s="6" t="n"/>
      <c r="J29" s="8" t="n"/>
      <c r="K29" s="14" t="n"/>
      <c r="L29" s="14" t="n"/>
      <c r="M29" s="14" t="n"/>
      <c r="N29" s="14" t="n"/>
      <c r="O29" s="9" t="n"/>
      <c r="R29" s="26" t="n"/>
      <c r="S29" s="26" t="n"/>
      <c r="T29" s="26" t="n"/>
      <c r="U29" s="26" t="n"/>
      <c r="V29" s="6" t="n"/>
      <c r="X29" s="78" t="inlineStr">
        <is>
          <t>Fab Total Space for tools (m²)</t>
        </is>
      </c>
      <c r="Y29" s="78" t="n">
        <v>1500</v>
      </c>
      <c r="Z29" s="78" t="n">
        <v>1300</v>
      </c>
      <c r="AA29" s="78" t="n">
        <v>700</v>
      </c>
    </row>
    <row r="30" ht="15" customHeight="1">
      <c r="H30" s="6" t="n"/>
      <c r="J30" s="8" t="n"/>
      <c r="K30" s="14" t="n"/>
      <c r="L30" s="14" t="n"/>
      <c r="M30" s="14" t="n"/>
      <c r="N30" s="14" t="n"/>
      <c r="O30" s="9" t="n"/>
      <c r="R30" s="26" t="n"/>
      <c r="S30" s="26" t="n"/>
      <c r="T30" s="26" t="n"/>
      <c r="U30" s="26" t="n"/>
      <c r="V30" s="6" t="n"/>
      <c r="X30" s="78" t="inlineStr">
        <is>
          <t xml:space="preserve">WS Component for Q1’26 </t>
        </is>
      </c>
      <c r="Y30" s="78" t="inlineStr">
        <is>
          <t>A: 50</t>
        </is>
      </c>
      <c r="Z30" s="78" t="inlineStr">
        <is>
          <t>A: 35</t>
        </is>
      </c>
      <c r="AA30" s="78" t="inlineStr">
        <is>
          <t>A: 0</t>
        </is>
      </c>
    </row>
    <row r="31" ht="15" customHeight="1">
      <c r="H31" s="6" t="n"/>
      <c r="J31" s="8" t="n"/>
      <c r="K31" s="14" t="n"/>
      <c r="L31" s="14" t="n"/>
      <c r="M31" s="14" t="n"/>
      <c r="N31" s="14" t="n"/>
      <c r="O31" s="9" t="n"/>
      <c r="R31" s="26" t="n"/>
      <c r="S31" s="26" t="n"/>
      <c r="T31" s="26" t="n"/>
      <c r="U31" s="26" t="n"/>
      <c r="V31" s="6" t="n"/>
      <c r="X31" s="89" t="n"/>
      <c r="Y31" s="78" t="inlineStr">
        <is>
          <t>B: 25</t>
        </is>
      </c>
      <c r="Z31" s="78" t="inlineStr">
        <is>
          <t>B: 30</t>
        </is>
      </c>
      <c r="AA31" s="78" t="inlineStr">
        <is>
          <t>B: 0</t>
        </is>
      </c>
    </row>
    <row r="32" ht="15" customHeight="1">
      <c r="H32" s="6" t="n"/>
      <c r="J32" s="8" t="n"/>
      <c r="K32" s="14" t="n"/>
      <c r="L32" s="14" t="n"/>
      <c r="M32" s="14" t="n"/>
      <c r="N32" s="14" t="n"/>
      <c r="O32" s="9" t="n"/>
      <c r="R32" s="26" t="n"/>
      <c r="S32" s="26" t="n"/>
      <c r="T32" s="26" t="n"/>
      <c r="U32" s="26" t="n"/>
      <c r="V32" s="6" t="n"/>
      <c r="X32" s="89" t="n"/>
      <c r="Y32" s="78" t="inlineStr">
        <is>
          <t>C: 0</t>
        </is>
      </c>
      <c r="Z32" s="78" t="inlineStr">
        <is>
          <t>C: 0</t>
        </is>
      </c>
      <c r="AA32" s="78" t="inlineStr">
        <is>
          <t>C: 40</t>
        </is>
      </c>
    </row>
    <row r="33" ht="15" customHeight="1">
      <c r="H33" s="6" t="n"/>
      <c r="J33" s="8" t="n"/>
      <c r="K33" s="14" t="n"/>
      <c r="L33" s="14" t="n"/>
      <c r="M33" s="14" t="n"/>
      <c r="N33" s="14" t="n"/>
      <c r="O33" s="9" t="n"/>
      <c r="R33" s="26" t="n"/>
      <c r="S33" s="26" t="n"/>
      <c r="T33" s="26" t="n"/>
      <c r="U33" s="26" t="n"/>
      <c r="V33" s="6" t="n"/>
      <c r="X33" s="89" t="n"/>
      <c r="Y33" s="78" t="inlineStr">
        <is>
          <t>D: 50</t>
        </is>
      </c>
      <c r="Z33" s="78" t="inlineStr">
        <is>
          <t>D: 50</t>
        </is>
      </c>
      <c r="AA33" s="78" t="inlineStr">
        <is>
          <t>D: 35</t>
        </is>
      </c>
    </row>
    <row r="34" ht="14.55" customHeight="1">
      <c r="H34" s="6" t="n"/>
      <c r="J34" s="8" t="n"/>
      <c r="K34" s="14" t="n"/>
      <c r="L34" s="14" t="n"/>
      <c r="M34" s="14" t="n"/>
      <c r="N34" s="14" t="n"/>
      <c r="O34" s="9" t="n"/>
      <c r="R34" s="26" t="n"/>
      <c r="S34" s="26" t="n"/>
      <c r="T34" s="26" t="n"/>
      <c r="U34" s="26" t="n"/>
      <c r="V34" s="6" t="n"/>
      <c r="X34" s="89" t="n"/>
      <c r="Y34" s="78" t="inlineStr">
        <is>
          <t>E: 40</t>
        </is>
      </c>
      <c r="Z34" s="78" t="inlineStr">
        <is>
          <t>E: 30</t>
        </is>
      </c>
      <c r="AA34" s="78" t="inlineStr">
        <is>
          <t>E: 16</t>
        </is>
      </c>
    </row>
    <row r="35" ht="14.55" customHeight="1">
      <c r="H35" s="6" t="n"/>
      <c r="J35" s="8" t="n"/>
      <c r="K35" s="14" t="n"/>
      <c r="L35" s="14" t="n"/>
      <c r="M35" s="14" t="n"/>
      <c r="N35" s="14" t="n"/>
      <c r="O35" s="9" t="n"/>
      <c r="R35" s="26" t="n"/>
      <c r="S35" s="26" t="n"/>
      <c r="T35" s="26" t="n"/>
      <c r="U35" s="26" t="n"/>
      <c r="V35" s="6" t="n"/>
      <c r="X35" s="90" t="n"/>
      <c r="Y35" s="78" t="inlineStr">
        <is>
          <t>F:  90</t>
        </is>
      </c>
      <c r="Z35" s="78" t="inlineStr">
        <is>
          <t>F:  60</t>
        </is>
      </c>
      <c r="AA35" s="78" t="inlineStr">
        <is>
          <t>F:  36</t>
        </is>
      </c>
    </row>
    <row r="36" ht="15" customHeight="1">
      <c r="F36" s="84" t="n"/>
      <c r="V36" s="6" t="n"/>
      <c r="X36" s="8" t="n"/>
      <c r="Y36" s="8" t="n"/>
      <c r="Z36" s="8" t="n"/>
      <c r="AA36" s="8" t="n"/>
    </row>
    <row r="37" ht="15" customHeight="1">
      <c r="B37" t="inlineStr">
        <is>
          <t>Question 2</t>
        </is>
      </c>
      <c r="F37" s="84" t="n"/>
      <c r="Q37" s="6" t="n"/>
      <c r="V37" s="6" t="n"/>
      <c r="X37" s="8" t="n"/>
      <c r="Y37" s="8" t="n"/>
      <c r="Z37" s="8" t="n"/>
      <c r="AA37" s="8" t="n"/>
    </row>
    <row r="38" ht="15" customHeight="1">
      <c r="B38" s="7" t="n"/>
    </row>
    <row r="39" ht="15" customHeight="1">
      <c r="B39" s="79" t="inlineStr">
        <is>
          <t>Node 1</t>
        </is>
      </c>
      <c r="C39" s="91" t="n"/>
      <c r="D39" s="40" t="inlineStr">
        <is>
          <t xml:space="preserve">Q1’26 </t>
        </is>
      </c>
      <c r="E39" s="42" t="inlineStr">
        <is>
          <t xml:space="preserve">Q2’26 </t>
        </is>
      </c>
      <c r="F39" s="29" t="inlineStr">
        <is>
          <t xml:space="preserve">Q3’26 </t>
        </is>
      </c>
      <c r="G39" s="29" t="inlineStr">
        <is>
          <t xml:space="preserve">Q4’26 </t>
        </is>
      </c>
      <c r="H39" s="29" t="inlineStr">
        <is>
          <t xml:space="preserve">Q1’27 </t>
        </is>
      </c>
      <c r="I39" s="29" t="inlineStr">
        <is>
          <t xml:space="preserve">Q2’27 </t>
        </is>
      </c>
      <c r="J39" s="29" t="inlineStr">
        <is>
          <t xml:space="preserve">Q3’27 </t>
        </is>
      </c>
      <c r="K39" s="29" t="inlineStr">
        <is>
          <t xml:space="preserve">Q4’27 </t>
        </is>
      </c>
    </row>
    <row r="40" ht="15" customHeight="1">
      <c r="B40" s="18" t="inlineStr">
        <is>
          <t xml:space="preserve">Scen 1 </t>
        </is>
      </c>
      <c r="C40" s="66" t="n">
        <v>0.3</v>
      </c>
      <c r="D40" s="41" t="n">
        <v>12000</v>
      </c>
      <c r="E40" s="41" t="n">
        <v>13000</v>
      </c>
      <c r="F40" s="41" t="n">
        <v>13000</v>
      </c>
      <c r="G40" s="41" t="n">
        <v>11000</v>
      </c>
      <c r="H40" s="41" t="n">
        <v>9000</v>
      </c>
      <c r="I40" s="41" t="n">
        <v>6000</v>
      </c>
      <c r="J40" s="41" t="n">
        <v>6000</v>
      </c>
      <c r="K40" s="41" t="n">
        <v>4000</v>
      </c>
      <c r="Q40" s="6" t="n"/>
      <c r="R40" s="6" t="n"/>
      <c r="S40" s="6" t="n"/>
    </row>
    <row r="41" ht="15" customHeight="1">
      <c r="B41" s="18" t="inlineStr">
        <is>
          <t xml:space="preserve">Scen 2 </t>
        </is>
      </c>
      <c r="C41" s="66" t="n">
        <v>0.5</v>
      </c>
      <c r="D41" s="41" t="n">
        <v>12000</v>
      </c>
      <c r="E41" s="41" t="n">
        <v>10000</v>
      </c>
      <c r="F41" s="41" t="n">
        <v>8500</v>
      </c>
      <c r="G41" s="41" t="n">
        <v>7500</v>
      </c>
      <c r="H41" s="41" t="n">
        <v>6000</v>
      </c>
      <c r="I41" s="41" t="n">
        <v>5000</v>
      </c>
      <c r="J41" s="41" t="n">
        <v>4000</v>
      </c>
      <c r="K41" s="41" t="n">
        <v>2000</v>
      </c>
      <c r="Q41" s="6" t="n"/>
      <c r="R41" s="6" t="n"/>
      <c r="S41" s="6" t="n"/>
    </row>
    <row r="42" ht="15" customHeight="1">
      <c r="B42" s="18" t="inlineStr">
        <is>
          <t xml:space="preserve">Scen 3 </t>
        </is>
      </c>
      <c r="C42" s="66" t="n">
        <v>0.2</v>
      </c>
      <c r="D42" s="41" t="n">
        <v>12000</v>
      </c>
      <c r="E42" s="41" t="n">
        <v>10000</v>
      </c>
      <c r="F42" s="41" t="n">
        <v>7000</v>
      </c>
      <c r="G42" s="41" t="n">
        <v>4000</v>
      </c>
      <c r="H42" s="41" t="n">
        <v>2000</v>
      </c>
      <c r="I42" s="41" t="n">
        <v>1000</v>
      </c>
      <c r="J42" s="41" t="n">
        <v>0</v>
      </c>
      <c r="K42" s="41" t="n">
        <v>0</v>
      </c>
    </row>
    <row r="43" ht="15" customHeight="1"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 ht="15" customHeight="1">
      <c r="B44" s="92" t="inlineStr">
        <is>
          <t>Node 2</t>
        </is>
      </c>
      <c r="C44" s="91" t="n"/>
      <c r="D44" s="29" t="inlineStr">
        <is>
          <t xml:space="preserve">Q1’26 </t>
        </is>
      </c>
      <c r="E44" s="29" t="inlineStr">
        <is>
          <t xml:space="preserve">Q2’26 </t>
        </is>
      </c>
      <c r="F44" s="29" t="inlineStr">
        <is>
          <t xml:space="preserve">Q3’26 </t>
        </is>
      </c>
      <c r="G44" s="29" t="inlineStr">
        <is>
          <t xml:space="preserve">Q4’26 </t>
        </is>
      </c>
      <c r="H44" s="29" t="inlineStr">
        <is>
          <t xml:space="preserve">Q1’27 </t>
        </is>
      </c>
      <c r="I44" s="29" t="inlineStr">
        <is>
          <t xml:space="preserve">Q2’27 </t>
        </is>
      </c>
      <c r="J44" s="29" t="inlineStr">
        <is>
          <t xml:space="preserve">Q3’27 </t>
        </is>
      </c>
      <c r="K44" s="29" t="inlineStr">
        <is>
          <t xml:space="preserve">Q4’27 </t>
        </is>
      </c>
    </row>
    <row r="45" ht="15" customHeight="1">
      <c r="B45" s="18" t="inlineStr">
        <is>
          <t xml:space="preserve">Scen 1 </t>
        </is>
      </c>
      <c r="C45" s="66" t="n">
        <v>0.3</v>
      </c>
      <c r="D45" s="41" t="n">
        <v>5000</v>
      </c>
      <c r="E45" s="41" t="n">
        <v>5500</v>
      </c>
      <c r="F45" s="41" t="n">
        <v>6000</v>
      </c>
      <c r="G45" s="41" t="n">
        <v>6500</v>
      </c>
      <c r="H45" s="41" t="n">
        <v>7000</v>
      </c>
      <c r="I45" s="41" t="n">
        <v>8000</v>
      </c>
      <c r="J45" s="41" t="n">
        <v>9000</v>
      </c>
      <c r="K45" s="41" t="n">
        <v>9000</v>
      </c>
      <c r="Q45" s="6" t="n"/>
      <c r="R45" s="6" t="n"/>
      <c r="S45" s="6" t="n"/>
    </row>
    <row r="46" ht="15" customHeight="1">
      <c r="B46" s="18" t="inlineStr">
        <is>
          <t xml:space="preserve">Scen 2 </t>
        </is>
      </c>
      <c r="C46" s="66" t="n">
        <v>0.5</v>
      </c>
      <c r="D46" s="41" t="n">
        <v>5000</v>
      </c>
      <c r="E46" s="41" t="n">
        <v>5200</v>
      </c>
      <c r="F46" s="41" t="n">
        <v>5400</v>
      </c>
      <c r="G46" s="41" t="n">
        <v>5600</v>
      </c>
      <c r="H46" s="41" t="n">
        <v>6000</v>
      </c>
      <c r="I46" s="41" t="n">
        <v>6500</v>
      </c>
      <c r="J46" s="41" t="n">
        <v>7000</v>
      </c>
      <c r="K46" s="41" t="n">
        <v>7500</v>
      </c>
      <c r="Q46" s="6" t="n"/>
      <c r="R46" s="6" t="n"/>
      <c r="S46" s="6" t="n"/>
    </row>
    <row r="47" ht="15" customHeight="1">
      <c r="B47" s="18" t="inlineStr">
        <is>
          <t xml:space="preserve">Scen 3 </t>
        </is>
      </c>
      <c r="C47" s="66" t="n">
        <v>0.2</v>
      </c>
      <c r="D47" s="41" t="n">
        <v>5000</v>
      </c>
      <c r="E47" s="41" t="n">
        <v>5000</v>
      </c>
      <c r="F47" s="41" t="n">
        <v>5000</v>
      </c>
      <c r="G47" s="41" t="n">
        <v>4000</v>
      </c>
      <c r="H47" s="41" t="n">
        <v>3000</v>
      </c>
      <c r="I47" s="41" t="n">
        <v>3000</v>
      </c>
      <c r="J47" s="41" t="n">
        <v>2000</v>
      </c>
      <c r="K47" s="41" t="n">
        <v>2000</v>
      </c>
    </row>
    <row r="48" ht="15" customHeight="1">
      <c r="B48" s="7" t="n"/>
    </row>
    <row r="49" ht="15" customHeight="1">
      <c r="B49" s="93" t="inlineStr">
        <is>
          <t>Node 3</t>
        </is>
      </c>
      <c r="C49" s="91" t="n"/>
      <c r="D49" s="29" t="inlineStr">
        <is>
          <t xml:space="preserve">Q1’26 </t>
        </is>
      </c>
      <c r="E49" s="29" t="inlineStr">
        <is>
          <t xml:space="preserve">Q2’26 </t>
        </is>
      </c>
      <c r="F49" s="29" t="inlineStr">
        <is>
          <t xml:space="preserve">Q3’26 </t>
        </is>
      </c>
      <c r="G49" s="29" t="inlineStr">
        <is>
          <t xml:space="preserve">Q4’26 </t>
        </is>
      </c>
      <c r="H49" s="29" t="inlineStr">
        <is>
          <t xml:space="preserve">Q1’27 </t>
        </is>
      </c>
      <c r="I49" s="29" t="inlineStr">
        <is>
          <t xml:space="preserve">Q2’27 </t>
        </is>
      </c>
      <c r="J49" s="29" t="inlineStr">
        <is>
          <t xml:space="preserve">Q3’27 </t>
        </is>
      </c>
      <c r="K49" s="29" t="inlineStr">
        <is>
          <t xml:space="preserve">Q4’27 </t>
        </is>
      </c>
    </row>
    <row r="50" ht="15" customHeight="1">
      <c r="B50" s="18" t="inlineStr">
        <is>
          <t xml:space="preserve">Scen 1 </t>
        </is>
      </c>
      <c r="C50" s="66" t="n">
        <v>0.3</v>
      </c>
      <c r="D50" s="41" t="n">
        <v>3000</v>
      </c>
      <c r="E50" s="41" t="n">
        <v>4500</v>
      </c>
      <c r="F50" s="41" t="n">
        <v>8000</v>
      </c>
      <c r="G50" s="41" t="n">
        <v>11000</v>
      </c>
      <c r="H50" s="41" t="n">
        <v>14000</v>
      </c>
      <c r="I50" s="41" t="n">
        <v>17000</v>
      </c>
      <c r="J50" s="41" t="n">
        <v>20000</v>
      </c>
      <c r="K50" s="41" t="n">
        <v>23000</v>
      </c>
      <c r="Q50" s="6" t="n"/>
      <c r="R50" s="6" t="n"/>
      <c r="S50" s="6" t="n"/>
    </row>
    <row r="51" ht="15" customHeight="1">
      <c r="B51" s="18" t="inlineStr">
        <is>
          <t xml:space="preserve">Scen 2 </t>
        </is>
      </c>
      <c r="C51" s="66" t="n">
        <v>0.5</v>
      </c>
      <c r="D51" s="41" t="n">
        <v>3000</v>
      </c>
      <c r="E51" s="41" t="n">
        <v>4500</v>
      </c>
      <c r="F51" s="41" t="n">
        <v>7000</v>
      </c>
      <c r="G51" s="41" t="n">
        <v>8000</v>
      </c>
      <c r="H51" s="41" t="n">
        <v>9000</v>
      </c>
      <c r="I51" s="41" t="n">
        <v>11000</v>
      </c>
      <c r="J51" s="41" t="n">
        <v>13000</v>
      </c>
      <c r="K51" s="41" t="n">
        <v>16000</v>
      </c>
      <c r="Q51" s="6" t="n"/>
      <c r="R51" s="6" t="n"/>
      <c r="S51" s="6" t="n"/>
    </row>
    <row r="52" ht="15.75" customHeight="1">
      <c r="B52" s="18" t="inlineStr">
        <is>
          <t xml:space="preserve">Scen 3 </t>
        </is>
      </c>
      <c r="C52" s="66" t="n">
        <v>0.2</v>
      </c>
      <c r="D52" s="41" t="n">
        <v>3000</v>
      </c>
      <c r="E52" s="41" t="n">
        <v>3500</v>
      </c>
      <c r="F52" s="41" t="n">
        <v>4500</v>
      </c>
      <c r="G52" s="41" t="n">
        <v>5500</v>
      </c>
      <c r="H52" s="41" t="n">
        <v>7000</v>
      </c>
      <c r="I52" s="41" t="n">
        <v>8500</v>
      </c>
      <c r="J52" s="41" t="n">
        <v>10000</v>
      </c>
      <c r="K52" s="41" t="n">
        <v>10000</v>
      </c>
    </row>
    <row r="54">
      <c r="B54" s="76" t="inlineStr">
        <is>
          <t>To Fill</t>
        </is>
      </c>
      <c r="C54" s="88" t="n"/>
      <c r="D54" s="88" t="n"/>
    </row>
    <row r="55" ht="15.75" customHeight="1">
      <c r="B55" s="77" t="inlineStr">
        <is>
          <t>Node 1</t>
        </is>
      </c>
      <c r="C55" s="94" t="n"/>
      <c r="D55" s="69" t="inlineStr">
        <is>
          <t xml:space="preserve">Q1’26 </t>
        </is>
      </c>
      <c r="E55" s="67" t="inlineStr">
        <is>
          <t xml:space="preserve">Q2’26 </t>
        </is>
      </c>
      <c r="F55" s="68" t="inlineStr">
        <is>
          <t xml:space="preserve">Q3’26 </t>
        </is>
      </c>
      <c r="G55" s="68" t="inlineStr">
        <is>
          <t xml:space="preserve">Q4’26 </t>
        </is>
      </c>
      <c r="H55" s="68" t="inlineStr">
        <is>
          <t xml:space="preserve">Q1’27 </t>
        </is>
      </c>
      <c r="I55" s="68" t="inlineStr">
        <is>
          <t xml:space="preserve">Q2’27 </t>
        </is>
      </c>
      <c r="J55" s="68" t="inlineStr">
        <is>
          <t xml:space="preserve">Q3’27 </t>
        </is>
      </c>
      <c r="K55" s="68" t="inlineStr">
        <is>
          <t xml:space="preserve">Q4’27 </t>
        </is>
      </c>
    </row>
    <row r="56">
      <c r="B56" s="71" t="inlineStr">
        <is>
          <t>(i) Expected loading</t>
        </is>
      </c>
      <c r="C56" s="95" t="n"/>
      <c r="D56" s="70" t="n">
        <v>12000</v>
      </c>
      <c r="E56" s="70" t="n">
        <v>10900</v>
      </c>
      <c r="F56" s="70" t="n">
        <v>9550</v>
      </c>
      <c r="G56" s="70" t="n">
        <v>7850</v>
      </c>
      <c r="H56" s="70" t="n">
        <v>6100</v>
      </c>
      <c r="I56" s="70" t="n">
        <v>4500</v>
      </c>
      <c r="J56" s="70" t="n">
        <v>3800</v>
      </c>
      <c r="K56" s="70" t="n">
        <v>2200</v>
      </c>
    </row>
    <row r="57">
      <c r="B57" s="71" t="inlineStr">
        <is>
          <t>(ii) Combined Variance</t>
        </is>
      </c>
      <c r="C57" s="95" t="n"/>
      <c r="D57" s="70" t="n">
        <v>1440000</v>
      </c>
      <c r="E57" s="70" t="n">
        <v>3097000</v>
      </c>
      <c r="F57" s="70" t="n">
        <v>6388750</v>
      </c>
      <c r="G57" s="70" t="n">
        <v>6678750</v>
      </c>
      <c r="H57" s="70" t="n">
        <v>6321000</v>
      </c>
      <c r="I57" s="70" t="n">
        <v>3485000</v>
      </c>
      <c r="J57" s="70" t="n">
        <v>4548000</v>
      </c>
      <c r="K57" s="70" t="n">
        <v>2028000</v>
      </c>
    </row>
    <row r="58">
      <c r="B58" s="71" t="inlineStr">
        <is>
          <t>(iii) Probability</t>
        </is>
      </c>
      <c r="C58" s="95" t="n"/>
      <c r="D58" s="70" t="n">
        <v>0.5</v>
      </c>
      <c r="E58" s="70" t="n">
        <v>0.989492</v>
      </c>
      <c r="F58" s="70" t="n">
        <v>0.999731</v>
      </c>
      <c r="G58" s="70" t="n">
        <v>0.999268</v>
      </c>
      <c r="H58" s="70" t="n">
        <v>0.999571</v>
      </c>
      <c r="I58" s="70" t="n">
        <v>0.95221</v>
      </c>
      <c r="J58" s="70" t="n">
        <v>0.999571</v>
      </c>
      <c r="K58" s="70" t="n">
        <v>1</v>
      </c>
    </row>
    <row r="59">
      <c r="D59" s="84" t="n"/>
      <c r="E59" s="84" t="n"/>
      <c r="F59" s="84" t="n"/>
      <c r="G59" s="84" t="n"/>
      <c r="H59" s="84" t="n"/>
      <c r="I59" s="84" t="n"/>
      <c r="J59" s="84" t="n"/>
      <c r="K59" s="84" t="n"/>
    </row>
    <row r="60" ht="15.75" customHeight="1">
      <c r="B60" s="92" t="inlineStr">
        <is>
          <t>Node 2</t>
        </is>
      </c>
      <c r="C60" s="91" t="n"/>
      <c r="D60" s="69" t="inlineStr">
        <is>
          <t xml:space="preserve">Q1’26 </t>
        </is>
      </c>
      <c r="E60" s="67" t="inlineStr">
        <is>
          <t xml:space="preserve">Q2’26 </t>
        </is>
      </c>
      <c r="F60" s="68" t="inlineStr">
        <is>
          <t xml:space="preserve">Q3’26 </t>
        </is>
      </c>
      <c r="G60" s="68" t="inlineStr">
        <is>
          <t xml:space="preserve">Q4’26 </t>
        </is>
      </c>
      <c r="H60" s="68" t="inlineStr">
        <is>
          <t xml:space="preserve">Q1’27 </t>
        </is>
      </c>
      <c r="I60" s="68" t="inlineStr">
        <is>
          <t xml:space="preserve">Q2’27 </t>
        </is>
      </c>
      <c r="J60" s="68" t="inlineStr">
        <is>
          <t xml:space="preserve">Q3’27 </t>
        </is>
      </c>
      <c r="K60" s="68" t="inlineStr">
        <is>
          <t xml:space="preserve">Q4’27 </t>
        </is>
      </c>
    </row>
    <row r="61">
      <c r="B61" s="71" t="inlineStr">
        <is>
          <t>(i) Expected loading</t>
        </is>
      </c>
      <c r="C61" s="95" t="n"/>
      <c r="D61" s="70" t="n">
        <v>5000</v>
      </c>
      <c r="E61" s="70" t="n">
        <v>5250</v>
      </c>
      <c r="F61" s="70" t="n">
        <v>5500</v>
      </c>
      <c r="G61" s="70" t="n">
        <v>5550</v>
      </c>
      <c r="H61" s="70" t="n">
        <v>5700</v>
      </c>
      <c r="I61" s="70" t="n">
        <v>6250</v>
      </c>
      <c r="J61" s="70" t="n">
        <v>6600</v>
      </c>
      <c r="K61" s="70" t="n">
        <v>6850</v>
      </c>
    </row>
    <row r="62">
      <c r="B62" s="71" t="inlineStr">
        <is>
          <t>(ii) Combined Variance</t>
        </is>
      </c>
      <c r="C62" s="95" t="n"/>
      <c r="D62" s="70" t="n">
        <v>250000</v>
      </c>
      <c r="E62" s="70" t="n">
        <v>308450</v>
      </c>
      <c r="F62" s="70" t="n">
        <v>433800</v>
      </c>
      <c r="G62" s="70" t="n">
        <v>1068050</v>
      </c>
      <c r="H62" s="70" t="n">
        <v>2355000</v>
      </c>
      <c r="I62" s="70" t="n">
        <v>3483750</v>
      </c>
      <c r="J62" s="70" t="n">
        <v>6536000</v>
      </c>
      <c r="K62" s="70" t="n">
        <v>6834750</v>
      </c>
    </row>
    <row r="63">
      <c r="B63" s="71" t="inlineStr">
        <is>
          <t>(iii) Probability</t>
        </is>
      </c>
      <c r="C63" s="95" t="n"/>
      <c r="D63" s="70" t="n">
        <v>0.5</v>
      </c>
      <c r="E63" s="70" t="n">
        <v>0.70728</v>
      </c>
      <c r="F63" s="70" t="n">
        <v>0.841345</v>
      </c>
      <c r="G63" s="70" t="n">
        <v>0.916915</v>
      </c>
      <c r="H63" s="70" t="n">
        <v>0.923436</v>
      </c>
      <c r="I63" s="70" t="n">
        <v>0.969604</v>
      </c>
      <c r="J63" s="70" t="n">
        <v>0.986866</v>
      </c>
      <c r="K63" s="70" t="n">
        <v>0.95221</v>
      </c>
    </row>
    <row r="64">
      <c r="D64" s="84" t="n"/>
      <c r="E64" s="84" t="n"/>
      <c r="F64" s="84" t="n"/>
      <c r="G64" s="84" t="n"/>
      <c r="H64" s="84" t="n"/>
      <c r="I64" s="84" t="n"/>
      <c r="J64" s="84" t="n"/>
      <c r="K64" s="84" t="n"/>
    </row>
    <row r="65" ht="15.75" customHeight="1">
      <c r="B65" s="93" t="inlineStr">
        <is>
          <t>Node 3</t>
        </is>
      </c>
      <c r="C65" s="91" t="n"/>
      <c r="D65" s="69" t="inlineStr">
        <is>
          <t xml:space="preserve">Q1’26 </t>
        </is>
      </c>
      <c r="E65" s="67" t="inlineStr">
        <is>
          <t xml:space="preserve">Q2’26 </t>
        </is>
      </c>
      <c r="F65" s="68" t="inlineStr">
        <is>
          <t xml:space="preserve">Q3’26 </t>
        </is>
      </c>
      <c r="G65" s="68" t="inlineStr">
        <is>
          <t xml:space="preserve">Q4’26 </t>
        </is>
      </c>
      <c r="H65" s="68" t="inlineStr">
        <is>
          <t xml:space="preserve">Q1’27 </t>
        </is>
      </c>
      <c r="I65" s="68" t="inlineStr">
        <is>
          <t xml:space="preserve">Q2’27 </t>
        </is>
      </c>
      <c r="J65" s="68" t="inlineStr">
        <is>
          <t xml:space="preserve">Q3’27 </t>
        </is>
      </c>
      <c r="K65" s="68" t="inlineStr">
        <is>
          <t xml:space="preserve">Q4’27 </t>
        </is>
      </c>
    </row>
    <row r="66">
      <c r="B66" s="71" t="inlineStr">
        <is>
          <t>(i) Expected loading</t>
        </is>
      </c>
      <c r="C66" s="95" t="n"/>
      <c r="D66" s="70" t="n">
        <v>3000</v>
      </c>
      <c r="E66" s="70" t="n">
        <v>4300</v>
      </c>
      <c r="F66" s="70" t="n">
        <v>6800</v>
      </c>
      <c r="G66" s="70" t="n">
        <v>8400</v>
      </c>
      <c r="H66" s="70" t="n">
        <v>10100</v>
      </c>
      <c r="I66" s="70" t="n">
        <v>12300</v>
      </c>
      <c r="J66" s="70" t="n">
        <v>14500</v>
      </c>
      <c r="K66" s="70" t="n">
        <v>16900</v>
      </c>
    </row>
    <row r="67">
      <c r="B67" s="71" t="inlineStr">
        <is>
          <t>(ii) Combined Variance</t>
        </is>
      </c>
      <c r="C67" s="95" t="n"/>
      <c r="D67" s="70" t="n">
        <v>90000</v>
      </c>
      <c r="E67" s="70" t="n">
        <v>346500</v>
      </c>
      <c r="F67" s="70" t="n">
        <v>1987500</v>
      </c>
      <c r="G67" s="70" t="n">
        <v>4533500</v>
      </c>
      <c r="H67" s="70" t="n">
        <v>8181000</v>
      </c>
      <c r="I67" s="70" t="n">
        <v>11976500</v>
      </c>
      <c r="J67" s="70" t="n">
        <v>16495000</v>
      </c>
      <c r="K67" s="70" t="n">
        <v>24157000</v>
      </c>
    </row>
    <row r="68">
      <c r="B68" s="71" t="inlineStr">
        <is>
          <t>(iii) Probability</t>
        </is>
      </c>
      <c r="C68" s="95" t="n"/>
      <c r="D68" s="70" t="n">
        <v>0.5</v>
      </c>
      <c r="E68" s="70" t="n">
        <v>0.5</v>
      </c>
      <c r="F68" s="70" t="n">
        <v>0.89435</v>
      </c>
      <c r="G68" s="70" t="n">
        <v>0.996807</v>
      </c>
      <c r="H68" s="70" t="n">
        <v>0.999822</v>
      </c>
      <c r="I68" s="70" t="n">
        <v>0.999792</v>
      </c>
      <c r="J68" s="70" t="n">
        <v>0.999767</v>
      </c>
      <c r="K68" s="70" t="n">
        <v>0.998831</v>
      </c>
    </row>
  </sheetData>
  <mergeCells count="18">
    <mergeCell ref="B39:C39"/>
    <mergeCell ref="B55:C55"/>
    <mergeCell ref="B44:C44"/>
    <mergeCell ref="B62:C62"/>
    <mergeCell ref="B68:C68"/>
    <mergeCell ref="B67:C67"/>
    <mergeCell ref="X30:X35"/>
    <mergeCell ref="B61:C61"/>
    <mergeCell ref="B66:C66"/>
    <mergeCell ref="B60:C60"/>
    <mergeCell ref="B63:C63"/>
    <mergeCell ref="B56:C56"/>
    <mergeCell ref="B57:C57"/>
    <mergeCell ref="B49:C49"/>
    <mergeCell ref="B65:C65"/>
    <mergeCell ref="B54:D54"/>
    <mergeCell ref="B29:G33"/>
    <mergeCell ref="B58:C58"/>
  </mergeCells>
  <conditionalFormatting sqref="Y19:AD21">
    <cfRule type="cellIs" priority="1" operator="greaterThan" dxfId="0">
      <formula>0</formula>
    </cfRule>
  </conditionalFormatting>
  <conditionalFormatting sqref="Y10:AJ12">
    <cfRule type="cellIs" priority="2" operator="greaterThan" dxfId="0">
      <formula>0</formula>
    </cfRule>
  </conditionalFormatting>
  <pageMargins left="0.7" right="0.7" top="0.75" bottom="0.75" header="0.3" footer="0.3"/>
  <headerFooter>
    <oddHeader>&amp;L&amp;"Arial"&amp;1 &amp;K000000 Micron Confidential#_x000d_</oddHeader>
    <oddFooter>&amp;L&amp;"Arial"&amp;12 &amp;K000000_x000d_# Micron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 lissa</dc:creator>
  <dcterms:created xmlns:dcterms="http://purl.org/dc/terms/" xmlns:xsi="http://www.w3.org/2001/XMLSchema-instance" xsi:type="dcterms:W3CDTF">2026-01-02T07:44:17Z</dcterms:created>
  <dcterms:modified xmlns:dcterms="http://purl.org/dc/terms/" xmlns:xsi="http://www.w3.org/2001/XMLSchema-instance" xsi:type="dcterms:W3CDTF">2026-02-22T12:15:27Z</dcterms:modified>
  <cp:lastModifiedBy>me lissa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0x0101004C845C4208F93C44939006F0AC017EB2</vt:lpwstr>
  </property>
  <property name="MediaServiceImageTags" fmtid="{D5CDD505-2E9C-101B-9397-08002B2CF9AE}" pid="3">
    <vt:lpwstr xmlns:vt="http://schemas.openxmlformats.org/officeDocument/2006/docPropsVTypes"/>
  </property>
</Properties>
</file>